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GION\OneDrive - University of Canterbury\Python_V1\rainfall_analysis\Data\"/>
    </mc:Choice>
  </mc:AlternateContent>
  <xr:revisionPtr revIDLastSave="0" documentId="13_ncr:1_{E72BBFF1-DFBA-4110-8BA8-8DE4C631283E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Rainfall data" sheetId="1" r:id="rId1"/>
    <sheet name="Raingauge Coordin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663" i="1" l="1"/>
  <c r="L6662" i="1"/>
  <c r="L6661" i="1"/>
  <c r="L6659" i="1"/>
  <c r="L6657" i="1"/>
  <c r="L6656" i="1"/>
  <c r="L6655" i="1"/>
  <c r="L6647" i="1"/>
  <c r="L6645" i="1"/>
  <c r="L6640" i="1"/>
  <c r="K5827" i="1"/>
  <c r="Y6483" i="1"/>
  <c r="R6483" i="1"/>
  <c r="D6483" i="1"/>
  <c r="C6483" i="1"/>
  <c r="Y6361" i="1"/>
  <c r="Y6354" i="1"/>
  <c r="Y6347" i="1"/>
  <c r="Y6346" i="1"/>
  <c r="Y6333" i="1"/>
  <c r="X4512" i="1"/>
  <c r="C3895" i="1"/>
  <c r="C3894" i="1"/>
  <c r="C3889" i="1"/>
  <c r="C3888" i="1"/>
  <c r="C3886" i="1"/>
  <c r="C3885" i="1"/>
  <c r="O3653" i="1"/>
  <c r="O3652" i="1"/>
  <c r="O3651" i="1"/>
  <c r="O3650" i="1"/>
  <c r="O3649" i="1"/>
  <c r="O3648" i="1"/>
  <c r="O3647" i="1"/>
  <c r="O3644" i="1"/>
  <c r="O3643" i="1"/>
  <c r="O3642" i="1"/>
  <c r="O3641" i="1"/>
  <c r="O3640" i="1"/>
  <c r="O3639" i="1"/>
  <c r="O3638" i="1"/>
  <c r="O3637" i="1"/>
  <c r="O3636" i="1"/>
  <c r="O3635" i="1"/>
  <c r="O3634" i="1"/>
  <c r="O3632" i="1"/>
  <c r="O3631" i="1"/>
  <c r="O3630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2" i="1"/>
  <c r="O3601" i="1"/>
  <c r="O3600" i="1"/>
  <c r="O3599" i="1"/>
  <c r="O3598" i="1"/>
  <c r="O3597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7" i="1"/>
  <c r="O3574" i="1"/>
  <c r="O3573" i="1"/>
  <c r="O3572" i="1"/>
  <c r="O3570" i="1"/>
  <c r="O3568" i="1"/>
  <c r="O3567" i="1"/>
  <c r="O3566" i="1"/>
  <c r="O3565" i="1"/>
  <c r="O3564" i="1"/>
  <c r="O3563" i="1"/>
  <c r="O3562" i="1"/>
  <c r="O3500" i="1"/>
  <c r="O3498" i="1"/>
  <c r="O3497" i="1"/>
  <c r="O3496" i="1"/>
  <c r="O3495" i="1"/>
  <c r="O3494" i="1"/>
  <c r="O3492" i="1"/>
  <c r="O3491" i="1"/>
  <c r="O3490" i="1"/>
  <c r="O3489" i="1"/>
  <c r="O3488" i="1"/>
  <c r="O3485" i="1"/>
  <c r="O3484" i="1"/>
  <c r="O3483" i="1"/>
  <c r="O3480" i="1"/>
  <c r="O3479" i="1"/>
  <c r="O3478" i="1"/>
  <c r="O3477" i="1"/>
  <c r="O3476" i="1"/>
  <c r="O3475" i="1"/>
  <c r="O3474" i="1"/>
  <c r="O3473" i="1"/>
  <c r="O3470" i="1"/>
  <c r="L3653" i="1"/>
  <c r="L3652" i="1"/>
  <c r="L3651" i="1"/>
  <c r="L3650" i="1"/>
  <c r="L3649" i="1"/>
  <c r="L3648" i="1"/>
  <c r="L3647" i="1"/>
  <c r="L3646" i="1"/>
  <c r="L3645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7" i="1"/>
  <c r="L3626" i="1"/>
  <c r="L3625" i="1"/>
  <c r="L3624" i="1"/>
  <c r="L3623" i="1"/>
  <c r="L3591" i="1"/>
  <c r="L3590" i="1"/>
  <c r="L3589" i="1"/>
  <c r="L3588" i="1"/>
  <c r="L3587" i="1"/>
  <c r="L3586" i="1"/>
  <c r="L3585" i="1"/>
  <c r="L3584" i="1"/>
  <c r="L3582" i="1"/>
  <c r="L3581" i="1"/>
  <c r="L3580" i="1"/>
  <c r="L3579" i="1"/>
  <c r="L3578" i="1"/>
  <c r="L3577" i="1"/>
  <c r="L3574" i="1"/>
  <c r="L3573" i="1"/>
  <c r="L3572" i="1"/>
  <c r="L3569" i="1"/>
  <c r="L3568" i="1"/>
  <c r="L3566" i="1"/>
  <c r="L3565" i="1"/>
  <c r="L3564" i="1"/>
  <c r="L3563" i="1"/>
  <c r="L35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GRENADA HYDROMET</author>
    <author>Stephen benjamin</author>
  </authors>
  <commentList>
    <comment ref="I366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GRENADA HYDROMET:</t>
        </r>
        <r>
          <rPr>
            <sz val="9"/>
            <color indexed="81"/>
            <rFont val="Tahoma"/>
            <family val="2"/>
          </rPr>
          <t xml:space="preserve">
RAINFALL 13&amp;14
</t>
        </r>
      </text>
    </comment>
    <comment ref="M3804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Stephen benjamin:</t>
        </r>
        <r>
          <rPr>
            <sz val="9"/>
            <color indexed="81"/>
            <rFont val="Tahoma"/>
            <family val="2"/>
          </rPr>
          <t xml:space="preserve">
Gap in data due to miscommunication between plant operators.
Data reflective of total rainfall from the 2nd - 31st May 2015 to </t>
        </r>
      </text>
    </comment>
  </commentList>
</comments>
</file>

<file path=xl/sharedStrings.xml><?xml version="1.0" encoding="utf-8"?>
<sst xmlns="http://schemas.openxmlformats.org/spreadsheetml/2006/main" count="1527" uniqueCount="43">
  <si>
    <t>Tufton Hall (WTP)</t>
  </si>
  <si>
    <t>Concord (WTP)</t>
  </si>
  <si>
    <t>Mardigras (WTP)</t>
  </si>
  <si>
    <t>Annandale (WTP)</t>
  </si>
  <si>
    <t>Peggy's Whim (WTP)</t>
  </si>
  <si>
    <t>Petit Etang (WTP)</t>
  </si>
  <si>
    <t>Petit Martinique</t>
  </si>
  <si>
    <t>Guapo</t>
  </si>
  <si>
    <t xml:space="preserve">No data collected </t>
  </si>
  <si>
    <t>T</t>
  </si>
  <si>
    <t>?</t>
  </si>
  <si>
    <t xml:space="preserve">-   </t>
  </si>
  <si>
    <t>-</t>
  </si>
  <si>
    <t>Chemin II</t>
  </si>
  <si>
    <t>Bacolet III</t>
  </si>
  <si>
    <t xml:space="preserve"> </t>
  </si>
  <si>
    <t>Mt.Plaisir (WTP)</t>
  </si>
  <si>
    <t>Blaize (TANK)</t>
  </si>
  <si>
    <t>Mamma Cannes (WTP)</t>
  </si>
  <si>
    <t>Les Avocat (WTP)</t>
  </si>
  <si>
    <t>Pomme Rose (WTP)</t>
  </si>
  <si>
    <t>Grand Etang (LAKE)</t>
  </si>
  <si>
    <t>Dougaldston (WTP)</t>
  </si>
  <si>
    <t>Mt Reuil (WTP)</t>
  </si>
  <si>
    <t>Mirabeau (WTP)</t>
  </si>
  <si>
    <t>Mt Horne (WTP)</t>
  </si>
  <si>
    <t>Carriacou (WTP)</t>
  </si>
  <si>
    <t>Spring Garden (WTP)</t>
  </si>
  <si>
    <t>Bon Accord (WTP)</t>
  </si>
  <si>
    <t>Radix (WTP)</t>
  </si>
  <si>
    <t>Brandon Hall (WTP)</t>
  </si>
  <si>
    <t>Munich (WTP)</t>
  </si>
  <si>
    <t>Plaisance (WTP)</t>
  </si>
  <si>
    <t>Clozier (Tank)</t>
  </si>
  <si>
    <t>Stations</t>
  </si>
  <si>
    <t>Lat</t>
  </si>
  <si>
    <t>Lon</t>
  </si>
  <si>
    <t>Vendome (WTP)</t>
  </si>
  <si>
    <t>t</t>
  </si>
  <si>
    <t>Point Saline (MBIA)</t>
  </si>
  <si>
    <t>date</t>
  </si>
  <si>
    <t>Elevation</t>
  </si>
  <si>
    <t>Elevation_150m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</si>
</sst>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[$-409]d\-mmm\-yy;@"/>
    <numFmt numFmtId="166" formatCode="0.0"/>
  </numFmts>
  <fonts count="2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Arial"/>
      <family val="2"/>
      <charset val="1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Times New Roman"/>
      <family val="1"/>
    </font>
    <font>
      <i/>
      <sz val="11"/>
      <name val="Times New Roman"/>
      <family val="1"/>
    </font>
    <font>
      <sz val="11"/>
      <color rgb="FF9C0006"/>
      <name val="Times New Roman"/>
      <family val="1"/>
    </font>
    <font>
      <sz val="11"/>
      <name val="Calibri"/>
      <family val="2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2" fillId="0" borderId="0" applyBorder="0" applyProtection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51">
    <xf numFmtId="0" fontId="0" fillId="0" borderId="0" xfId="0"/>
    <xf numFmtId="2" fontId="6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 wrapText="1"/>
    </xf>
    <xf numFmtId="2" fontId="8" fillId="2" borderId="0" xfId="1" applyNumberFormat="1" applyFont="1" applyBorder="1" applyAlignment="1">
      <alignment horizontal="right"/>
    </xf>
    <xf numFmtId="2" fontId="6" fillId="0" borderId="0" xfId="0" applyNumberFormat="1" applyFont="1" applyAlignment="1">
      <alignment horizontal="right" wrapText="1"/>
    </xf>
    <xf numFmtId="166" fontId="6" fillId="0" borderId="0" xfId="2" applyNumberFormat="1" applyFont="1" applyBorder="1" applyAlignment="1">
      <alignment horizontal="right" indent="1"/>
    </xf>
    <xf numFmtId="166" fontId="6" fillId="0" borderId="0" xfId="2" applyNumberFormat="1" applyFont="1" applyBorder="1" applyAlignment="1">
      <alignment horizontal="right"/>
    </xf>
    <xf numFmtId="166" fontId="6" fillId="0" borderId="0" xfId="6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6" fontId="6" fillId="0" borderId="0" xfId="4" applyNumberFormat="1" applyFont="1" applyAlignment="1">
      <alignment horizontal="right"/>
    </xf>
    <xf numFmtId="166" fontId="6" fillId="0" borderId="0" xfId="0" applyNumberFormat="1" applyFont="1" applyAlignment="1">
      <alignment horizontal="right" indent="1"/>
    </xf>
    <xf numFmtId="2" fontId="6" fillId="0" borderId="0" xfId="2" applyNumberFormat="1" applyFont="1" applyBorder="1" applyAlignment="1">
      <alignment horizontal="right"/>
    </xf>
    <xf numFmtId="2" fontId="7" fillId="0" borderId="0" xfId="2" applyNumberFormat="1" applyFont="1" applyBorder="1" applyAlignment="1">
      <alignment horizontal="right"/>
    </xf>
    <xf numFmtId="166" fontId="6" fillId="0" borderId="0" xfId="2" applyNumberFormat="1" applyFont="1" applyBorder="1" applyAlignment="1">
      <alignment horizontal="right" wrapText="1"/>
    </xf>
    <xf numFmtId="166" fontId="6" fillId="0" borderId="0" xfId="8" applyNumberFormat="1" applyFont="1" applyAlignment="1">
      <alignment horizontal="right"/>
    </xf>
    <xf numFmtId="166" fontId="6" fillId="0" borderId="0" xfId="9" applyNumberFormat="1" applyFont="1" applyAlignment="1">
      <alignment horizontal="right"/>
    </xf>
    <xf numFmtId="166" fontId="6" fillId="0" borderId="0" xfId="7" applyNumberFormat="1" applyFont="1" applyAlignment="1">
      <alignment horizontal="right"/>
    </xf>
    <xf numFmtId="164" fontId="10" fillId="0" borderId="0" xfId="0" applyNumberFormat="1" applyFont="1"/>
    <xf numFmtId="49" fontId="10" fillId="0" borderId="0" xfId="2" applyNumberFormat="1" applyFont="1" applyBorder="1" applyProtection="1"/>
    <xf numFmtId="49" fontId="10" fillId="0" borderId="0" xfId="2" applyNumberFormat="1" applyFont="1" applyProtection="1"/>
    <xf numFmtId="0" fontId="11" fillId="0" borderId="0" xfId="0" applyFont="1"/>
    <xf numFmtId="165" fontId="6" fillId="0" borderId="0" xfId="0" applyNumberFormat="1" applyFont="1"/>
    <xf numFmtId="0" fontId="12" fillId="0" borderId="0" xfId="0" applyFont="1"/>
    <xf numFmtId="4" fontId="6" fillId="0" borderId="0" xfId="0" applyNumberFormat="1" applyFont="1" applyAlignment="1">
      <alignment horizontal="right"/>
    </xf>
    <xf numFmtId="4" fontId="7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2" fontId="12" fillId="0" borderId="0" xfId="0" applyNumberFormat="1" applyFont="1" applyAlignment="1">
      <alignment horizontal="right"/>
    </xf>
    <xf numFmtId="2" fontId="13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5" fillId="0" borderId="0" xfId="3" applyFont="1" applyAlignment="1">
      <alignment horizontal="right" vertical="center"/>
    </xf>
    <xf numFmtId="0" fontId="15" fillId="0" borderId="0" xfId="3" applyFont="1" applyAlignment="1">
      <alignment horizontal="right"/>
    </xf>
    <xf numFmtId="0" fontId="6" fillId="0" borderId="0" xfId="0" applyFont="1" applyAlignment="1">
      <alignment horizontal="right"/>
    </xf>
    <xf numFmtId="166" fontId="8" fillId="2" borderId="0" xfId="1" applyNumberFormat="1" applyFont="1" applyBorder="1" applyAlignment="1">
      <alignment horizontal="right"/>
    </xf>
    <xf numFmtId="164" fontId="12" fillId="0" borderId="0" xfId="0" applyNumberFormat="1" applyFont="1"/>
    <xf numFmtId="2" fontId="17" fillId="0" borderId="0" xfId="0" applyNumberFormat="1" applyFont="1" applyAlignment="1">
      <alignment horizontal="right"/>
    </xf>
    <xf numFmtId="2" fontId="18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8" fillId="2" borderId="0" xfId="1" applyFont="1" applyAlignment="1">
      <alignment horizontal="right"/>
    </xf>
    <xf numFmtId="166" fontId="6" fillId="0" borderId="0" xfId="5" applyNumberFormat="1" applyFont="1" applyAlignment="1">
      <alignment horizontal="right"/>
    </xf>
    <xf numFmtId="166" fontId="6" fillId="0" borderId="0" xfId="10" applyNumberFormat="1" applyFont="1" applyAlignment="1">
      <alignment horizontal="right"/>
    </xf>
    <xf numFmtId="166" fontId="6" fillId="0" borderId="0" xfId="0" applyNumberFormat="1" applyFont="1" applyAlignment="1">
      <alignment horizontal="right" wrapText="1"/>
    </xf>
    <xf numFmtId="0" fontId="20" fillId="0" borderId="0" xfId="0" applyFont="1"/>
    <xf numFmtId="49" fontId="21" fillId="3" borderId="0" xfId="2" applyNumberFormat="1" applyFont="1" applyFill="1" applyBorder="1" applyProtection="1"/>
    <xf numFmtId="0" fontId="20" fillId="3" borderId="0" xfId="0" applyFont="1" applyFill="1"/>
    <xf numFmtId="49" fontId="21" fillId="3" borderId="0" xfId="2" applyNumberFormat="1" applyFont="1" applyFill="1" applyProtection="1"/>
    <xf numFmtId="49" fontId="21" fillId="0" borderId="0" xfId="2" applyNumberFormat="1" applyFont="1" applyBorder="1" applyProtection="1"/>
  </cellXfs>
  <cellStyles count="11">
    <cellStyle name="Bad" xfId="1" builtinId="27"/>
    <cellStyle name="Normal" xfId="0" builtinId="0"/>
    <cellStyle name="Normal 2" xfId="3" xr:uid="{00000000-0005-0000-0000-000002000000}"/>
    <cellStyle name="Normal 3" xfId="2" xr:uid="{00000000-0005-0000-0000-000003000000}"/>
    <cellStyle name="Normal 4" xfId="6" xr:uid="{00000000-0005-0000-0000-000004000000}"/>
    <cellStyle name="Normal 5" xfId="9" xr:uid="{00000000-0005-0000-0000-000005000000}"/>
    <cellStyle name="Normal 6 2" xfId="4" xr:uid="{00000000-0005-0000-0000-000006000000}"/>
    <cellStyle name="Normal 7" xfId="5" xr:uid="{00000000-0005-0000-0000-000007000000}"/>
    <cellStyle name="Normal 7 2" xfId="10" xr:uid="{00000000-0005-0000-0000-000008000000}"/>
    <cellStyle name="Normal 8" xfId="7" xr:uid="{00000000-0005-0000-0000-000009000000}"/>
    <cellStyle name="Normal 8 2" xfId="8" xr:uid="{00000000-0005-0000-0000-00000A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right" textRotation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164" formatCode="m/d/yyyy;@"/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  <numFmt numFmtId="30" formatCode="@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D1048570" totalsRowShown="0" headerRowDxfId="34" dataDxfId="33" headerRowCellStyle="Normal 3">
  <autoFilter ref="A1:AD1048570" xr:uid="{00000000-0009-0000-0100-000001000000}"/>
  <tableColumns count="30">
    <tableColumn id="1" xr3:uid="{00000000-0010-0000-0000-000001000000}" name="date" dataDxfId="32"/>
    <tableColumn id="2" xr3:uid="{00000000-0010-0000-0000-000002000000}" name="Tufton Hall (WTP)" dataDxfId="31"/>
    <tableColumn id="3" xr3:uid="{00000000-0010-0000-0000-000003000000}" name="Mt.Plaisir (WTP)" dataDxfId="30"/>
    <tableColumn id="4" xr3:uid="{00000000-0010-0000-0000-000004000000}" name="Concord (WTP)" dataDxfId="29"/>
    <tableColumn id="5" xr3:uid="{00000000-0010-0000-0000-000005000000}" name="Blaize (TANK)" dataDxfId="28"/>
    <tableColumn id="6" xr3:uid="{00000000-0010-0000-0000-000006000000}" name="Mamma Cannes (WTP)" dataDxfId="27"/>
    <tableColumn id="7" xr3:uid="{00000000-0010-0000-0000-000007000000}" name="Les Avocat (WTP)" dataDxfId="26"/>
    <tableColumn id="8" xr3:uid="{00000000-0010-0000-0000-000008000000}" name="Pomme Rose (WTP)" dataDxfId="25"/>
    <tableColumn id="9" xr3:uid="{00000000-0010-0000-0000-000009000000}" name="Mardigras (WTP)" dataDxfId="24"/>
    <tableColumn id="10" xr3:uid="{00000000-0010-0000-0000-00000A000000}" name="Vendome (WTP)" dataDxfId="23"/>
    <tableColumn id="11" xr3:uid="{00000000-0010-0000-0000-00000B000000}" name="Annandale (WTP)" dataDxfId="22"/>
    <tableColumn id="12" xr3:uid="{00000000-0010-0000-0000-00000C000000}" name="Peggy's Whim (WTP)" dataDxfId="21"/>
    <tableColumn id="13" xr3:uid="{00000000-0010-0000-0000-00000D000000}" name="Petit Etang (WTP)" dataDxfId="20"/>
    <tableColumn id="14" xr3:uid="{00000000-0010-0000-0000-00000E000000}" name="Grand Etang (LAKE)" dataDxfId="19"/>
    <tableColumn id="15" xr3:uid="{00000000-0010-0000-0000-00000F000000}" name="Dougaldston (WTP)" dataDxfId="18"/>
    <tableColumn id="16" xr3:uid="{00000000-0010-0000-0000-000010000000}" name="Mt Reuil (WTP)" dataDxfId="17"/>
    <tableColumn id="17" xr3:uid="{00000000-0010-0000-0000-000011000000}" name="Mirabeau (WTP)" dataDxfId="16"/>
    <tableColumn id="18" xr3:uid="{00000000-0010-0000-0000-000012000000}" name="Mt Horne (WTP)" dataDxfId="15"/>
    <tableColumn id="19" xr3:uid="{00000000-0010-0000-0000-000013000000}" name="Petit Martinique" dataDxfId="14"/>
    <tableColumn id="20" xr3:uid="{00000000-0010-0000-0000-000014000000}" name="Carriacou (WTP)" dataDxfId="13"/>
    <tableColumn id="21" xr3:uid="{00000000-0010-0000-0000-000015000000}" name="Spring Garden (WTP)" dataDxfId="12"/>
    <tableColumn id="22" xr3:uid="{00000000-0010-0000-0000-000016000000}" name="Bon Accord (WTP)" dataDxfId="11"/>
    <tableColumn id="23" xr3:uid="{00000000-0010-0000-0000-000017000000}" name="Radix (WTP)" dataDxfId="10"/>
    <tableColumn id="24" xr3:uid="{00000000-0010-0000-0000-000018000000}" name="Brandon Hall (WTP)" dataDxfId="9"/>
    <tableColumn id="25" xr3:uid="{00000000-0010-0000-0000-000019000000}" name="Munich (WTP)" dataDxfId="8"/>
    <tableColumn id="26" xr3:uid="{00000000-0010-0000-0000-00001A000000}" name="Plaisance (WTP)" dataDxfId="7"/>
    <tableColumn id="27" xr3:uid="{00000000-0010-0000-0000-00001B000000}" name="Guapo" dataDxfId="6"/>
    <tableColumn id="30" xr3:uid="{00000000-0010-0000-0000-00001E000000}" name="Clozier (Tank)" dataDxfId="5"/>
    <tableColumn id="32" xr3:uid="{00000000-0010-0000-0000-000020000000}" name="Chemin II" dataDxfId="4"/>
    <tableColumn id="33" xr3:uid="{00000000-0010-0000-0000-000021000000}" name="Bacolet III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671"/>
  <sheetViews>
    <sheetView tabSelected="1" topLeftCell="J6620" zoomScale="60" zoomScaleNormal="60" workbookViewId="0">
      <selection activeCell="AC6645" sqref="AC6645"/>
    </sheetView>
  </sheetViews>
  <sheetFormatPr defaultColWidth="9.109375" defaultRowHeight="13.8" x14ac:dyDescent="0.25"/>
  <cols>
    <col min="1" max="1" width="12.109375" style="35" bestFit="1" customWidth="1"/>
    <col min="2" max="2" width="24.88671875" style="38" bestFit="1" customWidth="1"/>
    <col min="3" max="3" width="15.88671875" style="38" bestFit="1" customWidth="1"/>
    <col min="4" max="4" width="21.5546875" style="38" bestFit="1" customWidth="1"/>
    <col min="5" max="5" width="21.5546875" style="38" customWidth="1"/>
    <col min="6" max="6" width="30.5546875" style="38" bestFit="1" customWidth="1"/>
    <col min="7" max="7" width="23.88671875" style="38" bestFit="1" customWidth="1"/>
    <col min="8" max="8" width="26.44140625" style="38" bestFit="1" customWidth="1"/>
    <col min="9" max="9" width="24" style="38" bestFit="1" customWidth="1"/>
    <col min="10" max="10" width="24.5546875" style="38" bestFit="1" customWidth="1"/>
    <col min="11" max="11" width="24.33203125" style="38" bestFit="1" customWidth="1"/>
    <col min="12" max="12" width="27.88671875" style="38" bestFit="1" customWidth="1"/>
    <col min="13" max="13" width="24" style="38" bestFit="1" customWidth="1"/>
    <col min="14" max="14" width="26" style="38" bestFit="1" customWidth="1"/>
    <col min="15" max="15" width="21.88671875" style="38" customWidth="1"/>
    <col min="16" max="16" width="21.5546875" style="38" bestFit="1" customWidth="1"/>
    <col min="17" max="17" width="23.109375" style="38" bestFit="1" customWidth="1"/>
    <col min="18" max="18" width="22.5546875" style="38" bestFit="1" customWidth="1"/>
    <col min="19" max="19" width="19.6640625" style="38" customWidth="1"/>
    <col min="20" max="20" width="23.44140625" style="38" bestFit="1" customWidth="1"/>
    <col min="21" max="21" width="24" style="38" customWidth="1"/>
    <col min="22" max="22" width="25" style="38" bestFit="1" customWidth="1"/>
    <col min="23" max="23" width="18.33203125" style="38" bestFit="1" customWidth="1"/>
    <col min="24" max="24" width="27.33203125" style="38" bestFit="1" customWidth="1"/>
    <col min="25" max="25" width="20.6640625" style="38" bestFit="1" customWidth="1"/>
    <col min="26" max="26" width="23.109375" style="38" bestFit="1" customWidth="1"/>
    <col min="27" max="27" width="12" style="38" bestFit="1" customWidth="1"/>
    <col min="28" max="28" width="14.88671875" style="38" customWidth="1"/>
    <col min="29" max="29" width="18.6640625" style="38" bestFit="1" customWidth="1"/>
    <col min="30" max="30" width="20.6640625" style="38" bestFit="1" customWidth="1"/>
    <col min="31" max="16384" width="9.109375" style="23"/>
  </cols>
  <sheetData>
    <row r="1" spans="1:30" s="21" customFormat="1" ht="23.25" customHeight="1" x14ac:dyDescent="0.35">
      <c r="A1" s="18" t="s">
        <v>40</v>
      </c>
      <c r="B1" s="19" t="s">
        <v>0</v>
      </c>
      <c r="C1" s="19" t="s">
        <v>16</v>
      </c>
      <c r="D1" s="19" t="s">
        <v>1</v>
      </c>
      <c r="E1" s="19" t="s">
        <v>17</v>
      </c>
      <c r="F1" s="19" t="s">
        <v>18</v>
      </c>
      <c r="G1" s="19" t="s">
        <v>19</v>
      </c>
      <c r="H1" s="19" t="s">
        <v>20</v>
      </c>
      <c r="I1" s="19" t="s">
        <v>2</v>
      </c>
      <c r="J1" s="19" t="s">
        <v>37</v>
      </c>
      <c r="K1" s="19" t="s">
        <v>3</v>
      </c>
      <c r="L1" s="19" t="s">
        <v>4</v>
      </c>
      <c r="M1" s="19" t="s">
        <v>5</v>
      </c>
      <c r="N1" s="19" t="s">
        <v>21</v>
      </c>
      <c r="O1" s="19" t="s">
        <v>22</v>
      </c>
      <c r="P1" s="19" t="s">
        <v>23</v>
      </c>
      <c r="Q1" s="19" t="s">
        <v>24</v>
      </c>
      <c r="R1" s="19" t="s">
        <v>25</v>
      </c>
      <c r="S1" s="19" t="s">
        <v>6</v>
      </c>
      <c r="T1" s="19" t="s">
        <v>26</v>
      </c>
      <c r="U1" s="19" t="s">
        <v>27</v>
      </c>
      <c r="V1" s="19" t="s">
        <v>28</v>
      </c>
      <c r="W1" s="19" t="s">
        <v>29</v>
      </c>
      <c r="X1" s="19" t="s">
        <v>30</v>
      </c>
      <c r="Y1" s="19" t="s">
        <v>31</v>
      </c>
      <c r="Z1" s="19" t="s">
        <v>32</v>
      </c>
      <c r="AA1" s="19" t="s">
        <v>7</v>
      </c>
      <c r="AB1" s="19" t="s">
        <v>33</v>
      </c>
      <c r="AC1" s="20" t="s">
        <v>13</v>
      </c>
      <c r="AD1" s="20" t="s">
        <v>14</v>
      </c>
    </row>
    <row r="2" spans="1:30" x14ac:dyDescent="0.25">
      <c r="A2" s="22">
        <v>38353</v>
      </c>
      <c r="G2" s="33"/>
    </row>
    <row r="3" spans="1:30" x14ac:dyDescent="0.25">
      <c r="A3" s="22">
        <v>38354</v>
      </c>
      <c r="G3" s="33"/>
    </row>
    <row r="4" spans="1:30" x14ac:dyDescent="0.25">
      <c r="A4" s="22">
        <v>38355</v>
      </c>
      <c r="G4" s="33"/>
    </row>
    <row r="5" spans="1:30" x14ac:dyDescent="0.25">
      <c r="A5" s="22">
        <v>38356</v>
      </c>
      <c r="G5" s="33"/>
    </row>
    <row r="6" spans="1:30" x14ac:dyDescent="0.25">
      <c r="A6" s="22">
        <v>38357</v>
      </c>
      <c r="G6" s="33"/>
    </row>
    <row r="7" spans="1:30" x14ac:dyDescent="0.25">
      <c r="A7" s="22">
        <v>38358</v>
      </c>
      <c r="G7" s="33"/>
    </row>
    <row r="8" spans="1:30" x14ac:dyDescent="0.25">
      <c r="A8" s="22">
        <v>38359</v>
      </c>
      <c r="G8" s="33"/>
    </row>
    <row r="9" spans="1:30" x14ac:dyDescent="0.25">
      <c r="A9" s="22">
        <v>38360</v>
      </c>
      <c r="G9" s="33"/>
    </row>
    <row r="10" spans="1:30" x14ac:dyDescent="0.25">
      <c r="A10" s="22">
        <v>38361</v>
      </c>
      <c r="G10" s="33"/>
    </row>
    <row r="11" spans="1:30" x14ac:dyDescent="0.25">
      <c r="A11" s="22">
        <v>38362</v>
      </c>
      <c r="G11" s="33"/>
    </row>
    <row r="12" spans="1:30" x14ac:dyDescent="0.25">
      <c r="A12" s="22">
        <v>38363</v>
      </c>
      <c r="G12" s="33"/>
    </row>
    <row r="13" spans="1:30" x14ac:dyDescent="0.25">
      <c r="A13" s="22">
        <v>38364</v>
      </c>
      <c r="G13" s="33"/>
    </row>
    <row r="14" spans="1:30" x14ac:dyDescent="0.25">
      <c r="A14" s="22">
        <v>38365</v>
      </c>
      <c r="G14" s="33"/>
    </row>
    <row r="15" spans="1:30" x14ac:dyDescent="0.25">
      <c r="A15" s="22">
        <v>38366</v>
      </c>
      <c r="G15" s="33"/>
    </row>
    <row r="16" spans="1:30" x14ac:dyDescent="0.25">
      <c r="A16" s="22">
        <v>38367</v>
      </c>
      <c r="G16" s="33"/>
    </row>
    <row r="17" spans="1:7" x14ac:dyDescent="0.25">
      <c r="A17" s="22">
        <v>38368</v>
      </c>
      <c r="G17" s="33"/>
    </row>
    <row r="18" spans="1:7" x14ac:dyDescent="0.25">
      <c r="A18" s="22">
        <v>38369</v>
      </c>
      <c r="G18" s="33"/>
    </row>
    <row r="19" spans="1:7" x14ac:dyDescent="0.25">
      <c r="A19" s="22">
        <v>38370</v>
      </c>
      <c r="G19" s="33"/>
    </row>
    <row r="20" spans="1:7" x14ac:dyDescent="0.25">
      <c r="A20" s="22">
        <v>38371</v>
      </c>
      <c r="G20" s="33"/>
    </row>
    <row r="21" spans="1:7" x14ac:dyDescent="0.25">
      <c r="A21" s="22">
        <v>38372</v>
      </c>
      <c r="G21" s="33"/>
    </row>
    <row r="22" spans="1:7" x14ac:dyDescent="0.25">
      <c r="A22" s="22">
        <v>38373</v>
      </c>
      <c r="G22" s="33"/>
    </row>
    <row r="23" spans="1:7" x14ac:dyDescent="0.25">
      <c r="A23" s="22">
        <v>38374</v>
      </c>
      <c r="G23" s="33"/>
    </row>
    <row r="24" spans="1:7" x14ac:dyDescent="0.25">
      <c r="A24" s="22">
        <v>38375</v>
      </c>
      <c r="G24" s="33"/>
    </row>
    <row r="25" spans="1:7" x14ac:dyDescent="0.25">
      <c r="A25" s="22">
        <v>38376</v>
      </c>
      <c r="G25" s="33"/>
    </row>
    <row r="26" spans="1:7" x14ac:dyDescent="0.25">
      <c r="A26" s="22">
        <v>38377</v>
      </c>
      <c r="G26" s="33"/>
    </row>
    <row r="27" spans="1:7" x14ac:dyDescent="0.25">
      <c r="A27" s="22">
        <v>38378</v>
      </c>
      <c r="G27" s="33"/>
    </row>
    <row r="28" spans="1:7" x14ac:dyDescent="0.25">
      <c r="A28" s="22">
        <v>38379</v>
      </c>
      <c r="G28" s="33"/>
    </row>
    <row r="29" spans="1:7" x14ac:dyDescent="0.25">
      <c r="A29" s="22">
        <v>38380</v>
      </c>
      <c r="G29" s="33"/>
    </row>
    <row r="30" spans="1:7" x14ac:dyDescent="0.25">
      <c r="A30" s="22">
        <v>38381</v>
      </c>
      <c r="G30" s="33"/>
    </row>
    <row r="31" spans="1:7" x14ac:dyDescent="0.25">
      <c r="A31" s="22">
        <v>38382</v>
      </c>
      <c r="G31" s="33"/>
    </row>
    <row r="32" spans="1:7" x14ac:dyDescent="0.25">
      <c r="A32" s="22">
        <v>38383</v>
      </c>
      <c r="G32" s="33"/>
    </row>
    <row r="33" spans="1:7" x14ac:dyDescent="0.25">
      <c r="A33" s="22">
        <v>38384</v>
      </c>
      <c r="G33" s="24"/>
    </row>
    <row r="34" spans="1:7" x14ac:dyDescent="0.25">
      <c r="A34" s="22">
        <v>38385</v>
      </c>
      <c r="G34" s="24"/>
    </row>
    <row r="35" spans="1:7" x14ac:dyDescent="0.25">
      <c r="A35" s="22">
        <v>38386</v>
      </c>
      <c r="G35" s="24"/>
    </row>
    <row r="36" spans="1:7" x14ac:dyDescent="0.25">
      <c r="A36" s="22">
        <v>38387</v>
      </c>
      <c r="G36" s="24"/>
    </row>
    <row r="37" spans="1:7" x14ac:dyDescent="0.25">
      <c r="A37" s="22">
        <v>38388</v>
      </c>
      <c r="G37" s="25"/>
    </row>
    <row r="38" spans="1:7" x14ac:dyDescent="0.25">
      <c r="A38" s="22">
        <v>38389</v>
      </c>
      <c r="G38" s="24"/>
    </row>
    <row r="39" spans="1:7" x14ac:dyDescent="0.25">
      <c r="A39" s="22">
        <v>38390</v>
      </c>
      <c r="G39" s="24"/>
    </row>
    <row r="40" spans="1:7" x14ac:dyDescent="0.25">
      <c r="A40" s="22">
        <v>38391</v>
      </c>
      <c r="G40" s="25"/>
    </row>
    <row r="41" spans="1:7" x14ac:dyDescent="0.25">
      <c r="A41" s="22">
        <v>38392</v>
      </c>
      <c r="G41" s="24"/>
    </row>
    <row r="42" spans="1:7" x14ac:dyDescent="0.25">
      <c r="A42" s="22">
        <v>38393</v>
      </c>
      <c r="G42" s="24"/>
    </row>
    <row r="43" spans="1:7" x14ac:dyDescent="0.25">
      <c r="A43" s="22">
        <v>38394</v>
      </c>
      <c r="G43" s="24"/>
    </row>
    <row r="44" spans="1:7" x14ac:dyDescent="0.25">
      <c r="A44" s="22">
        <v>38395</v>
      </c>
      <c r="G44" s="24"/>
    </row>
    <row r="45" spans="1:7" x14ac:dyDescent="0.25">
      <c r="A45" s="22">
        <v>38396</v>
      </c>
      <c r="G45" s="25"/>
    </row>
    <row r="46" spans="1:7" x14ac:dyDescent="0.25">
      <c r="A46" s="22">
        <v>38397</v>
      </c>
      <c r="G46" s="25"/>
    </row>
    <row r="47" spans="1:7" x14ac:dyDescent="0.25">
      <c r="A47" s="22">
        <v>38398</v>
      </c>
      <c r="G47" s="25"/>
    </row>
    <row r="48" spans="1:7" x14ac:dyDescent="0.25">
      <c r="A48" s="22">
        <v>38399</v>
      </c>
      <c r="G48" s="25"/>
    </row>
    <row r="49" spans="1:7" x14ac:dyDescent="0.25">
      <c r="A49" s="22">
        <v>38400</v>
      </c>
      <c r="G49" s="24"/>
    </row>
    <row r="50" spans="1:7" x14ac:dyDescent="0.25">
      <c r="A50" s="22">
        <v>38401</v>
      </c>
      <c r="G50" s="24"/>
    </row>
    <row r="51" spans="1:7" x14ac:dyDescent="0.25">
      <c r="A51" s="22">
        <v>38402</v>
      </c>
      <c r="G51" s="25"/>
    </row>
    <row r="52" spans="1:7" x14ac:dyDescent="0.25">
      <c r="A52" s="22">
        <v>38403</v>
      </c>
      <c r="G52" s="25"/>
    </row>
    <row r="53" spans="1:7" x14ac:dyDescent="0.25">
      <c r="A53" s="22">
        <v>38404</v>
      </c>
      <c r="G53" s="24"/>
    </row>
    <row r="54" spans="1:7" x14ac:dyDescent="0.25">
      <c r="A54" s="22">
        <v>38405</v>
      </c>
      <c r="G54" s="24"/>
    </row>
    <row r="55" spans="1:7" x14ac:dyDescent="0.25">
      <c r="A55" s="22">
        <v>38406</v>
      </c>
      <c r="G55" s="24"/>
    </row>
    <row r="56" spans="1:7" x14ac:dyDescent="0.25">
      <c r="A56" s="22">
        <v>38407</v>
      </c>
      <c r="G56" s="24"/>
    </row>
    <row r="57" spans="1:7" x14ac:dyDescent="0.25">
      <c r="A57" s="22">
        <v>38408</v>
      </c>
      <c r="G57" s="24"/>
    </row>
    <row r="58" spans="1:7" x14ac:dyDescent="0.25">
      <c r="A58" s="22">
        <v>38409</v>
      </c>
      <c r="G58" s="24"/>
    </row>
    <row r="59" spans="1:7" x14ac:dyDescent="0.25">
      <c r="A59" s="22">
        <v>38410</v>
      </c>
      <c r="G59" s="24"/>
    </row>
    <row r="60" spans="1:7" x14ac:dyDescent="0.25">
      <c r="A60" s="22">
        <v>38411</v>
      </c>
      <c r="G60" s="24"/>
    </row>
    <row r="61" spans="1:7" x14ac:dyDescent="0.25">
      <c r="A61" s="22">
        <v>38412</v>
      </c>
      <c r="G61" s="33">
        <v>0</v>
      </c>
    </row>
    <row r="62" spans="1:7" x14ac:dyDescent="0.25">
      <c r="A62" s="22">
        <v>38413</v>
      </c>
      <c r="G62" s="33">
        <v>0</v>
      </c>
    </row>
    <row r="63" spans="1:7" x14ac:dyDescent="0.25">
      <c r="A63" s="22">
        <v>38414</v>
      </c>
      <c r="G63" s="33">
        <v>2.54</v>
      </c>
    </row>
    <row r="64" spans="1:7" x14ac:dyDescent="0.25">
      <c r="A64" s="22">
        <v>38415</v>
      </c>
      <c r="G64" s="33">
        <v>0</v>
      </c>
    </row>
    <row r="65" spans="1:7" x14ac:dyDescent="0.25">
      <c r="A65" s="22">
        <v>38416</v>
      </c>
      <c r="G65" s="33">
        <v>0</v>
      </c>
    </row>
    <row r="66" spans="1:7" x14ac:dyDescent="0.25">
      <c r="A66" s="22">
        <v>38417</v>
      </c>
      <c r="G66" s="33">
        <v>0</v>
      </c>
    </row>
    <row r="67" spans="1:7" x14ac:dyDescent="0.25">
      <c r="A67" s="22">
        <v>38418</v>
      </c>
      <c r="G67" s="33">
        <v>0</v>
      </c>
    </row>
    <row r="68" spans="1:7" x14ac:dyDescent="0.25">
      <c r="A68" s="22">
        <v>38419</v>
      </c>
      <c r="G68" s="33">
        <v>2.54</v>
      </c>
    </row>
    <row r="69" spans="1:7" x14ac:dyDescent="0.25">
      <c r="A69" s="22">
        <v>38420</v>
      </c>
      <c r="G69" s="33">
        <v>10.16</v>
      </c>
    </row>
    <row r="70" spans="1:7" x14ac:dyDescent="0.25">
      <c r="A70" s="22">
        <v>38421</v>
      </c>
      <c r="G70" s="33">
        <v>0</v>
      </c>
    </row>
    <row r="71" spans="1:7" x14ac:dyDescent="0.25">
      <c r="A71" s="22">
        <v>38422</v>
      </c>
      <c r="G71" s="33">
        <v>5.08</v>
      </c>
    </row>
    <row r="72" spans="1:7" x14ac:dyDescent="0.25">
      <c r="A72" s="22">
        <v>38423</v>
      </c>
      <c r="G72" s="33">
        <v>0</v>
      </c>
    </row>
    <row r="73" spans="1:7" x14ac:dyDescent="0.25">
      <c r="A73" s="22">
        <v>38424</v>
      </c>
      <c r="G73" s="33">
        <v>0</v>
      </c>
    </row>
    <row r="74" spans="1:7" x14ac:dyDescent="0.25">
      <c r="A74" s="22">
        <v>38425</v>
      </c>
      <c r="G74" s="33">
        <v>0</v>
      </c>
    </row>
    <row r="75" spans="1:7" x14ac:dyDescent="0.25">
      <c r="A75" s="22">
        <v>38426</v>
      </c>
      <c r="G75" s="33">
        <v>0</v>
      </c>
    </row>
    <row r="76" spans="1:7" x14ac:dyDescent="0.25">
      <c r="A76" s="22">
        <v>38427</v>
      </c>
      <c r="G76" s="33">
        <v>7.6199999999999992</v>
      </c>
    </row>
    <row r="77" spans="1:7" x14ac:dyDescent="0.25">
      <c r="A77" s="22">
        <v>38428</v>
      </c>
      <c r="G77" s="33">
        <v>5.08</v>
      </c>
    </row>
    <row r="78" spans="1:7" x14ac:dyDescent="0.25">
      <c r="A78" s="22">
        <v>38429</v>
      </c>
      <c r="G78" s="33">
        <v>0</v>
      </c>
    </row>
    <row r="79" spans="1:7" x14ac:dyDescent="0.25">
      <c r="A79" s="22">
        <v>38430</v>
      </c>
      <c r="G79" s="33">
        <v>2.54</v>
      </c>
    </row>
    <row r="80" spans="1:7" x14ac:dyDescent="0.25">
      <c r="A80" s="22">
        <v>38431</v>
      </c>
      <c r="G80" s="33">
        <v>5.08</v>
      </c>
    </row>
    <row r="81" spans="1:7" x14ac:dyDescent="0.25">
      <c r="A81" s="22">
        <v>38432</v>
      </c>
      <c r="G81" s="33">
        <v>2.54</v>
      </c>
    </row>
    <row r="82" spans="1:7" x14ac:dyDescent="0.25">
      <c r="A82" s="22">
        <v>38433</v>
      </c>
      <c r="G82" s="33">
        <v>5.08</v>
      </c>
    </row>
    <row r="83" spans="1:7" x14ac:dyDescent="0.25">
      <c r="A83" s="22">
        <v>38434</v>
      </c>
      <c r="G83" s="33">
        <v>0</v>
      </c>
    </row>
    <row r="84" spans="1:7" x14ac:dyDescent="0.25">
      <c r="A84" s="22">
        <v>38435</v>
      </c>
      <c r="G84" s="33">
        <v>22.86</v>
      </c>
    </row>
    <row r="85" spans="1:7" x14ac:dyDescent="0.25">
      <c r="A85" s="22">
        <v>38436</v>
      </c>
      <c r="G85" s="33">
        <v>2.54</v>
      </c>
    </row>
    <row r="86" spans="1:7" x14ac:dyDescent="0.25">
      <c r="A86" s="22">
        <v>38437</v>
      </c>
      <c r="G86" s="33">
        <v>20.32</v>
      </c>
    </row>
    <row r="87" spans="1:7" x14ac:dyDescent="0.25">
      <c r="A87" s="22">
        <v>38438</v>
      </c>
      <c r="G87" s="33">
        <v>15.239999999999998</v>
      </c>
    </row>
    <row r="88" spans="1:7" x14ac:dyDescent="0.25">
      <c r="A88" s="22">
        <v>38439</v>
      </c>
      <c r="G88" s="33">
        <v>12.7</v>
      </c>
    </row>
    <row r="89" spans="1:7" x14ac:dyDescent="0.25">
      <c r="A89" s="22">
        <v>38440</v>
      </c>
      <c r="G89" s="33">
        <v>2.54</v>
      </c>
    </row>
    <row r="90" spans="1:7" x14ac:dyDescent="0.25">
      <c r="A90" s="22">
        <v>38441</v>
      </c>
      <c r="G90" s="33">
        <v>5.08</v>
      </c>
    </row>
    <row r="91" spans="1:7" x14ac:dyDescent="0.25">
      <c r="A91" s="22">
        <v>38442</v>
      </c>
      <c r="G91" s="33"/>
    </row>
    <row r="92" spans="1:7" x14ac:dyDescent="0.25">
      <c r="A92" s="22">
        <v>38443</v>
      </c>
      <c r="G92" s="33">
        <v>0</v>
      </c>
    </row>
    <row r="93" spans="1:7" x14ac:dyDescent="0.25">
      <c r="A93" s="22">
        <v>38444</v>
      </c>
      <c r="G93" s="33">
        <v>0</v>
      </c>
    </row>
    <row r="94" spans="1:7" x14ac:dyDescent="0.25">
      <c r="A94" s="22">
        <v>38445</v>
      </c>
      <c r="G94" s="33">
        <v>0</v>
      </c>
    </row>
    <row r="95" spans="1:7" x14ac:dyDescent="0.25">
      <c r="A95" s="22">
        <v>38446</v>
      </c>
      <c r="G95" s="33">
        <v>0</v>
      </c>
    </row>
    <row r="96" spans="1:7" x14ac:dyDescent="0.25">
      <c r="A96" s="22">
        <v>38447</v>
      </c>
      <c r="G96" s="33">
        <v>0</v>
      </c>
    </row>
    <row r="97" spans="1:7" x14ac:dyDescent="0.25">
      <c r="A97" s="22">
        <v>38448</v>
      </c>
      <c r="G97" s="33">
        <v>0</v>
      </c>
    </row>
    <row r="98" spans="1:7" x14ac:dyDescent="0.25">
      <c r="A98" s="22">
        <v>38449</v>
      </c>
      <c r="G98" s="33">
        <v>0</v>
      </c>
    </row>
    <row r="99" spans="1:7" x14ac:dyDescent="0.25">
      <c r="A99" s="22">
        <v>38450</v>
      </c>
      <c r="G99" s="33">
        <v>0</v>
      </c>
    </row>
    <row r="100" spans="1:7" x14ac:dyDescent="0.25">
      <c r="A100" s="22">
        <v>38451</v>
      </c>
      <c r="G100" s="33">
        <v>0</v>
      </c>
    </row>
    <row r="101" spans="1:7" x14ac:dyDescent="0.25">
      <c r="A101" s="22">
        <v>38452</v>
      </c>
      <c r="G101" s="33">
        <v>0</v>
      </c>
    </row>
    <row r="102" spans="1:7" x14ac:dyDescent="0.25">
      <c r="A102" s="22">
        <v>38453</v>
      </c>
      <c r="G102" s="33">
        <v>0</v>
      </c>
    </row>
    <row r="103" spans="1:7" x14ac:dyDescent="0.25">
      <c r="A103" s="22">
        <v>38454</v>
      </c>
      <c r="G103" s="33">
        <v>0</v>
      </c>
    </row>
    <row r="104" spans="1:7" x14ac:dyDescent="0.25">
      <c r="A104" s="22">
        <v>38455</v>
      </c>
      <c r="G104" s="33">
        <v>5.08</v>
      </c>
    </row>
    <row r="105" spans="1:7" x14ac:dyDescent="0.25">
      <c r="A105" s="22">
        <v>38456</v>
      </c>
      <c r="G105" s="33">
        <v>0</v>
      </c>
    </row>
    <row r="106" spans="1:7" x14ac:dyDescent="0.25">
      <c r="A106" s="22">
        <v>38457</v>
      </c>
      <c r="G106" s="33">
        <v>0</v>
      </c>
    </row>
    <row r="107" spans="1:7" x14ac:dyDescent="0.25">
      <c r="A107" s="22">
        <v>38458</v>
      </c>
      <c r="G107" s="33">
        <v>0</v>
      </c>
    </row>
    <row r="108" spans="1:7" x14ac:dyDescent="0.25">
      <c r="A108" s="22">
        <v>38459</v>
      </c>
      <c r="G108" s="33">
        <v>0</v>
      </c>
    </row>
    <row r="109" spans="1:7" x14ac:dyDescent="0.25">
      <c r="A109" s="22">
        <v>38460</v>
      </c>
      <c r="G109" s="33">
        <v>0</v>
      </c>
    </row>
    <row r="110" spans="1:7" x14ac:dyDescent="0.25">
      <c r="A110" s="22">
        <v>38461</v>
      </c>
      <c r="G110" s="33">
        <v>0</v>
      </c>
    </row>
    <row r="111" spans="1:7" x14ac:dyDescent="0.25">
      <c r="A111" s="22">
        <v>38462</v>
      </c>
      <c r="G111" s="33">
        <v>2.54</v>
      </c>
    </row>
    <row r="112" spans="1:7" x14ac:dyDescent="0.25">
      <c r="A112" s="22">
        <v>38463</v>
      </c>
      <c r="G112" s="33">
        <v>0</v>
      </c>
    </row>
    <row r="113" spans="1:7" x14ac:dyDescent="0.25">
      <c r="A113" s="22">
        <v>38464</v>
      </c>
      <c r="G113" s="33">
        <v>0</v>
      </c>
    </row>
    <row r="114" spans="1:7" x14ac:dyDescent="0.25">
      <c r="A114" s="22">
        <v>38465</v>
      </c>
      <c r="G114" s="33">
        <v>0</v>
      </c>
    </row>
    <row r="115" spans="1:7" x14ac:dyDescent="0.25">
      <c r="A115" s="22">
        <v>38466</v>
      </c>
      <c r="G115" s="33">
        <v>5.08</v>
      </c>
    </row>
    <row r="116" spans="1:7" x14ac:dyDescent="0.25">
      <c r="A116" s="22">
        <v>38467</v>
      </c>
      <c r="G116" s="33">
        <v>5.08</v>
      </c>
    </row>
    <row r="117" spans="1:7" x14ac:dyDescent="0.25">
      <c r="A117" s="22">
        <v>38468</v>
      </c>
      <c r="G117" s="33">
        <v>5.08</v>
      </c>
    </row>
    <row r="118" spans="1:7" x14ac:dyDescent="0.25">
      <c r="A118" s="22">
        <v>38469</v>
      </c>
      <c r="G118" s="33">
        <v>0</v>
      </c>
    </row>
    <row r="119" spans="1:7" x14ac:dyDescent="0.25">
      <c r="A119" s="22">
        <v>38470</v>
      </c>
      <c r="G119" s="33">
        <v>0</v>
      </c>
    </row>
    <row r="120" spans="1:7" x14ac:dyDescent="0.25">
      <c r="A120" s="22">
        <v>38471</v>
      </c>
      <c r="G120" s="33">
        <v>5.08</v>
      </c>
    </row>
    <row r="121" spans="1:7" x14ac:dyDescent="0.25">
      <c r="A121" s="22">
        <v>38472</v>
      </c>
      <c r="G121" s="33">
        <v>2.794</v>
      </c>
    </row>
    <row r="122" spans="1:7" x14ac:dyDescent="0.25">
      <c r="A122" s="22">
        <v>38473</v>
      </c>
      <c r="G122" s="38">
        <v>1.27</v>
      </c>
    </row>
    <row r="123" spans="1:7" x14ac:dyDescent="0.25">
      <c r="A123" s="22">
        <v>38474</v>
      </c>
      <c r="G123" s="38">
        <v>0</v>
      </c>
    </row>
    <row r="124" spans="1:7" x14ac:dyDescent="0.25">
      <c r="A124" s="22">
        <v>38475</v>
      </c>
      <c r="G124" s="38">
        <v>0.50800000000000001</v>
      </c>
    </row>
    <row r="125" spans="1:7" x14ac:dyDescent="0.25">
      <c r="A125" s="22">
        <v>38476</v>
      </c>
      <c r="G125" s="38">
        <v>50.8</v>
      </c>
    </row>
    <row r="126" spans="1:7" x14ac:dyDescent="0.25">
      <c r="A126" s="22">
        <v>38477</v>
      </c>
      <c r="G126" s="38">
        <v>3.8099999999999996</v>
      </c>
    </row>
    <row r="127" spans="1:7" x14ac:dyDescent="0.25">
      <c r="A127" s="22">
        <v>38478</v>
      </c>
      <c r="G127" s="38">
        <v>0.7619999999999999</v>
      </c>
    </row>
    <row r="128" spans="1:7" x14ac:dyDescent="0.25">
      <c r="A128" s="22">
        <v>38479</v>
      </c>
      <c r="G128" s="38">
        <v>2.2859999999999996</v>
      </c>
    </row>
    <row r="129" spans="1:7" x14ac:dyDescent="0.25">
      <c r="A129" s="22">
        <v>38480</v>
      </c>
      <c r="G129" s="38">
        <v>0</v>
      </c>
    </row>
    <row r="130" spans="1:7" x14ac:dyDescent="0.25">
      <c r="A130" s="22">
        <v>38481</v>
      </c>
      <c r="G130" s="38">
        <v>0</v>
      </c>
    </row>
    <row r="131" spans="1:7" x14ac:dyDescent="0.25">
      <c r="A131" s="22">
        <v>38482</v>
      </c>
      <c r="G131" s="38">
        <v>1.016</v>
      </c>
    </row>
    <row r="132" spans="1:7" x14ac:dyDescent="0.25">
      <c r="A132" s="22">
        <v>38483</v>
      </c>
      <c r="G132" s="38">
        <v>0</v>
      </c>
    </row>
    <row r="133" spans="1:7" x14ac:dyDescent="0.25">
      <c r="A133" s="22">
        <v>38484</v>
      </c>
      <c r="G133" s="38">
        <v>0</v>
      </c>
    </row>
    <row r="134" spans="1:7" x14ac:dyDescent="0.25">
      <c r="A134" s="22">
        <v>38485</v>
      </c>
      <c r="G134" s="38">
        <v>0.50800000000000001</v>
      </c>
    </row>
    <row r="135" spans="1:7" x14ac:dyDescent="0.25">
      <c r="A135" s="22">
        <v>38486</v>
      </c>
      <c r="G135" s="38">
        <v>0</v>
      </c>
    </row>
    <row r="136" spans="1:7" x14ac:dyDescent="0.25">
      <c r="A136" s="22">
        <v>38487</v>
      </c>
      <c r="G136" s="38">
        <v>0.7619999999999999</v>
      </c>
    </row>
    <row r="137" spans="1:7" x14ac:dyDescent="0.25">
      <c r="A137" s="22">
        <v>38488</v>
      </c>
      <c r="G137" s="38">
        <v>0</v>
      </c>
    </row>
    <row r="138" spans="1:7" x14ac:dyDescent="0.25">
      <c r="A138" s="22">
        <v>38489</v>
      </c>
      <c r="G138" s="38">
        <v>0</v>
      </c>
    </row>
    <row r="139" spans="1:7" x14ac:dyDescent="0.25">
      <c r="A139" s="22">
        <v>38490</v>
      </c>
      <c r="G139" s="38">
        <v>0</v>
      </c>
    </row>
    <row r="140" spans="1:7" x14ac:dyDescent="0.25">
      <c r="A140" s="22">
        <v>38491</v>
      </c>
      <c r="G140" s="38">
        <v>0</v>
      </c>
    </row>
    <row r="141" spans="1:7" x14ac:dyDescent="0.25">
      <c r="A141" s="22">
        <v>38492</v>
      </c>
      <c r="G141" s="38">
        <v>0.50800000000000001</v>
      </c>
    </row>
    <row r="142" spans="1:7" x14ac:dyDescent="0.25">
      <c r="A142" s="22">
        <v>38493</v>
      </c>
      <c r="G142" s="38">
        <v>0</v>
      </c>
    </row>
    <row r="143" spans="1:7" x14ac:dyDescent="0.25">
      <c r="A143" s="22">
        <v>38494</v>
      </c>
      <c r="G143" s="38">
        <v>0</v>
      </c>
    </row>
    <row r="144" spans="1:7" x14ac:dyDescent="0.25">
      <c r="A144" s="22">
        <v>38495</v>
      </c>
      <c r="G144" s="38">
        <v>2.2859999999999996</v>
      </c>
    </row>
    <row r="145" spans="1:7" x14ac:dyDescent="0.25">
      <c r="A145" s="22">
        <v>38496</v>
      </c>
      <c r="G145" s="38">
        <v>0</v>
      </c>
    </row>
    <row r="146" spans="1:7" x14ac:dyDescent="0.25">
      <c r="A146" s="22">
        <v>38497</v>
      </c>
      <c r="G146" s="38">
        <v>0</v>
      </c>
    </row>
    <row r="147" spans="1:7" x14ac:dyDescent="0.25">
      <c r="A147" s="22">
        <v>38498</v>
      </c>
      <c r="G147" s="38">
        <v>2.2859999999999996</v>
      </c>
    </row>
    <row r="148" spans="1:7" x14ac:dyDescent="0.25">
      <c r="A148" s="22">
        <v>38499</v>
      </c>
      <c r="G148" s="38">
        <v>0.7619999999999999</v>
      </c>
    </row>
    <row r="149" spans="1:7" x14ac:dyDescent="0.25">
      <c r="A149" s="22">
        <v>38500</v>
      </c>
      <c r="G149" s="38">
        <v>0.7619999999999999</v>
      </c>
    </row>
    <row r="150" spans="1:7" x14ac:dyDescent="0.25">
      <c r="A150" s="22">
        <v>38501</v>
      </c>
      <c r="G150" s="38">
        <v>0</v>
      </c>
    </row>
    <row r="151" spans="1:7" x14ac:dyDescent="0.25">
      <c r="A151" s="22">
        <v>38502</v>
      </c>
      <c r="G151" s="38">
        <v>0.7619999999999999</v>
      </c>
    </row>
    <row r="152" spans="1:7" x14ac:dyDescent="0.25">
      <c r="A152" s="22">
        <v>38503</v>
      </c>
      <c r="G152" s="38">
        <v>1.778</v>
      </c>
    </row>
    <row r="153" spans="1:7" x14ac:dyDescent="0.25">
      <c r="A153" s="22">
        <v>38504</v>
      </c>
      <c r="G153" s="33">
        <v>7.5</v>
      </c>
    </row>
    <row r="154" spans="1:7" x14ac:dyDescent="0.25">
      <c r="A154" s="22">
        <v>38505</v>
      </c>
      <c r="G154" s="33">
        <v>10.4</v>
      </c>
    </row>
    <row r="155" spans="1:7" x14ac:dyDescent="0.25">
      <c r="A155" s="22">
        <v>38506</v>
      </c>
      <c r="G155" s="33">
        <v>37.5</v>
      </c>
    </row>
    <row r="156" spans="1:7" x14ac:dyDescent="0.25">
      <c r="A156" s="22">
        <v>38507</v>
      </c>
      <c r="G156" s="33">
        <v>24.1</v>
      </c>
    </row>
    <row r="157" spans="1:7" x14ac:dyDescent="0.25">
      <c r="A157" s="22">
        <v>38508</v>
      </c>
      <c r="G157" s="33">
        <v>7</v>
      </c>
    </row>
    <row r="158" spans="1:7" x14ac:dyDescent="0.25">
      <c r="A158" s="22">
        <v>38509</v>
      </c>
      <c r="G158" s="33">
        <v>37.5</v>
      </c>
    </row>
    <row r="159" spans="1:7" x14ac:dyDescent="0.25">
      <c r="A159" s="22">
        <v>38510</v>
      </c>
      <c r="G159" s="33">
        <v>4.8</v>
      </c>
    </row>
    <row r="160" spans="1:7" x14ac:dyDescent="0.25">
      <c r="A160" s="22">
        <v>38511</v>
      </c>
      <c r="G160" s="33">
        <v>8</v>
      </c>
    </row>
    <row r="161" spans="1:7" x14ac:dyDescent="0.25">
      <c r="A161" s="22">
        <v>38512</v>
      </c>
      <c r="G161" s="33">
        <v>2.5</v>
      </c>
    </row>
    <row r="162" spans="1:7" x14ac:dyDescent="0.25">
      <c r="A162" s="22">
        <v>38513</v>
      </c>
      <c r="G162" s="33">
        <v>2.2000000000000002</v>
      </c>
    </row>
    <row r="163" spans="1:7" x14ac:dyDescent="0.25">
      <c r="A163" s="22">
        <v>38514</v>
      </c>
      <c r="G163" s="33">
        <v>8.6</v>
      </c>
    </row>
    <row r="164" spans="1:7" x14ac:dyDescent="0.25">
      <c r="A164" s="22">
        <v>38515</v>
      </c>
      <c r="G164" s="33">
        <v>3</v>
      </c>
    </row>
    <row r="165" spans="1:7" x14ac:dyDescent="0.25">
      <c r="A165" s="22">
        <v>38516</v>
      </c>
      <c r="G165" s="33">
        <v>6</v>
      </c>
    </row>
    <row r="166" spans="1:7" x14ac:dyDescent="0.25">
      <c r="A166" s="22">
        <v>38517</v>
      </c>
      <c r="G166" s="33">
        <v>11</v>
      </c>
    </row>
    <row r="167" spans="1:7" x14ac:dyDescent="0.25">
      <c r="A167" s="22">
        <v>38518</v>
      </c>
      <c r="G167" s="33">
        <v>37.6</v>
      </c>
    </row>
    <row r="168" spans="1:7" x14ac:dyDescent="0.25">
      <c r="A168" s="22">
        <v>38519</v>
      </c>
      <c r="G168" s="33">
        <v>5</v>
      </c>
    </row>
    <row r="169" spans="1:7" x14ac:dyDescent="0.25">
      <c r="A169" s="22">
        <v>38520</v>
      </c>
      <c r="G169" s="33">
        <v>0</v>
      </c>
    </row>
    <row r="170" spans="1:7" x14ac:dyDescent="0.25">
      <c r="A170" s="22">
        <v>38521</v>
      </c>
      <c r="G170" s="33">
        <v>10.7</v>
      </c>
    </row>
    <row r="171" spans="1:7" x14ac:dyDescent="0.25">
      <c r="A171" s="22">
        <v>38522</v>
      </c>
      <c r="G171" s="33">
        <v>5</v>
      </c>
    </row>
    <row r="172" spans="1:7" x14ac:dyDescent="0.25">
      <c r="A172" s="22">
        <v>38523</v>
      </c>
      <c r="G172" s="33">
        <v>20.6</v>
      </c>
    </row>
    <row r="173" spans="1:7" x14ac:dyDescent="0.25">
      <c r="A173" s="22">
        <v>38524</v>
      </c>
      <c r="G173" s="33">
        <v>6.1</v>
      </c>
    </row>
    <row r="174" spans="1:7" x14ac:dyDescent="0.25">
      <c r="A174" s="22">
        <v>38525</v>
      </c>
      <c r="G174" s="33">
        <v>22.4</v>
      </c>
    </row>
    <row r="175" spans="1:7" x14ac:dyDescent="0.25">
      <c r="A175" s="22">
        <v>38526</v>
      </c>
      <c r="G175" s="33">
        <v>0</v>
      </c>
    </row>
    <row r="176" spans="1:7" x14ac:dyDescent="0.25">
      <c r="A176" s="22">
        <v>38527</v>
      </c>
      <c r="G176" s="33">
        <v>4</v>
      </c>
    </row>
    <row r="177" spans="1:7" x14ac:dyDescent="0.25">
      <c r="A177" s="22">
        <v>38528</v>
      </c>
      <c r="G177" s="33">
        <v>2.1</v>
      </c>
    </row>
    <row r="178" spans="1:7" x14ac:dyDescent="0.25">
      <c r="A178" s="22">
        <v>38529</v>
      </c>
      <c r="G178" s="33">
        <v>1</v>
      </c>
    </row>
    <row r="179" spans="1:7" x14ac:dyDescent="0.25">
      <c r="A179" s="22">
        <v>38530</v>
      </c>
      <c r="G179" s="33">
        <v>15.2</v>
      </c>
    </row>
    <row r="180" spans="1:7" x14ac:dyDescent="0.25">
      <c r="A180" s="22">
        <v>38531</v>
      </c>
      <c r="G180" s="33">
        <v>7.1</v>
      </c>
    </row>
    <row r="181" spans="1:7" x14ac:dyDescent="0.25">
      <c r="A181" s="22">
        <v>38532</v>
      </c>
      <c r="G181" s="33">
        <v>13.5</v>
      </c>
    </row>
    <row r="182" spans="1:7" x14ac:dyDescent="0.25">
      <c r="A182" s="22">
        <v>38533</v>
      </c>
      <c r="G182" s="33">
        <v>0</v>
      </c>
    </row>
    <row r="183" spans="1:7" x14ac:dyDescent="0.25">
      <c r="A183" s="22">
        <v>38534</v>
      </c>
      <c r="G183" s="33">
        <v>0</v>
      </c>
    </row>
    <row r="184" spans="1:7" x14ac:dyDescent="0.25">
      <c r="A184" s="22">
        <v>38535</v>
      </c>
      <c r="G184" s="33">
        <v>8.4</v>
      </c>
    </row>
    <row r="185" spans="1:7" x14ac:dyDescent="0.25">
      <c r="A185" s="22">
        <v>38536</v>
      </c>
      <c r="G185" s="33">
        <v>32.299999999999997</v>
      </c>
    </row>
    <row r="186" spans="1:7" x14ac:dyDescent="0.25">
      <c r="A186" s="22">
        <v>38537</v>
      </c>
      <c r="G186" s="33">
        <v>39</v>
      </c>
    </row>
    <row r="187" spans="1:7" x14ac:dyDescent="0.25">
      <c r="A187" s="22">
        <v>38538</v>
      </c>
      <c r="G187" s="33">
        <v>4.3</v>
      </c>
    </row>
    <row r="188" spans="1:7" x14ac:dyDescent="0.25">
      <c r="A188" s="22">
        <v>38539</v>
      </c>
      <c r="G188" s="33">
        <v>6.5</v>
      </c>
    </row>
    <row r="189" spans="1:7" x14ac:dyDescent="0.25">
      <c r="A189" s="22">
        <v>38540</v>
      </c>
      <c r="G189" s="33">
        <v>0</v>
      </c>
    </row>
    <row r="190" spans="1:7" x14ac:dyDescent="0.25">
      <c r="A190" s="22">
        <v>38541</v>
      </c>
      <c r="G190" s="33">
        <v>42.2</v>
      </c>
    </row>
    <row r="191" spans="1:7" x14ac:dyDescent="0.25">
      <c r="A191" s="22">
        <v>38542</v>
      </c>
      <c r="G191" s="33">
        <v>6.4</v>
      </c>
    </row>
    <row r="192" spans="1:7" x14ac:dyDescent="0.25">
      <c r="A192" s="22">
        <v>38543</v>
      </c>
      <c r="G192" s="33">
        <v>3.7</v>
      </c>
    </row>
    <row r="193" spans="1:7" x14ac:dyDescent="0.25">
      <c r="A193" s="22">
        <v>38544</v>
      </c>
      <c r="G193" s="33">
        <v>0</v>
      </c>
    </row>
    <row r="194" spans="1:7" x14ac:dyDescent="0.25">
      <c r="A194" s="22">
        <v>38545</v>
      </c>
      <c r="G194" s="33">
        <v>0</v>
      </c>
    </row>
    <row r="195" spans="1:7" x14ac:dyDescent="0.25">
      <c r="A195" s="22">
        <v>38546</v>
      </c>
      <c r="G195" s="33">
        <v>80.5</v>
      </c>
    </row>
    <row r="196" spans="1:7" x14ac:dyDescent="0.25">
      <c r="A196" s="22">
        <v>38547</v>
      </c>
      <c r="G196" s="33">
        <v>1</v>
      </c>
    </row>
    <row r="197" spans="1:7" x14ac:dyDescent="0.25">
      <c r="A197" s="22">
        <v>38548</v>
      </c>
      <c r="G197" s="33">
        <v>0</v>
      </c>
    </row>
    <row r="198" spans="1:7" x14ac:dyDescent="0.25">
      <c r="A198" s="22">
        <v>38549</v>
      </c>
      <c r="G198" s="33">
        <v>0.5</v>
      </c>
    </row>
    <row r="199" spans="1:7" x14ac:dyDescent="0.25">
      <c r="A199" s="22">
        <v>38550</v>
      </c>
      <c r="G199" s="33">
        <v>20.7</v>
      </c>
    </row>
    <row r="200" spans="1:7" x14ac:dyDescent="0.25">
      <c r="A200" s="22">
        <v>38551</v>
      </c>
      <c r="G200" s="33">
        <v>37.5</v>
      </c>
    </row>
    <row r="201" spans="1:7" x14ac:dyDescent="0.25">
      <c r="A201" s="22">
        <v>38552</v>
      </c>
      <c r="G201" s="33">
        <v>18.399999999999999</v>
      </c>
    </row>
    <row r="202" spans="1:7" x14ac:dyDescent="0.25">
      <c r="A202" s="22">
        <v>38553</v>
      </c>
      <c r="G202" s="33">
        <v>0</v>
      </c>
    </row>
    <row r="203" spans="1:7" x14ac:dyDescent="0.25">
      <c r="A203" s="22">
        <v>38554</v>
      </c>
      <c r="G203" s="33">
        <v>15.5</v>
      </c>
    </row>
    <row r="204" spans="1:7" x14ac:dyDescent="0.25">
      <c r="A204" s="22">
        <v>38555</v>
      </c>
      <c r="G204" s="33">
        <v>4</v>
      </c>
    </row>
    <row r="205" spans="1:7" x14ac:dyDescent="0.25">
      <c r="A205" s="22">
        <v>38556</v>
      </c>
      <c r="G205" s="33">
        <v>3.4</v>
      </c>
    </row>
    <row r="206" spans="1:7" x14ac:dyDescent="0.25">
      <c r="A206" s="22">
        <v>38557</v>
      </c>
      <c r="G206" s="33">
        <v>6.2</v>
      </c>
    </row>
    <row r="207" spans="1:7" x14ac:dyDescent="0.25">
      <c r="A207" s="22">
        <v>38558</v>
      </c>
      <c r="G207" s="33">
        <v>3.5</v>
      </c>
    </row>
    <row r="208" spans="1:7" x14ac:dyDescent="0.25">
      <c r="A208" s="22">
        <v>38559</v>
      </c>
      <c r="G208" s="33">
        <v>10.1</v>
      </c>
    </row>
    <row r="209" spans="1:7" x14ac:dyDescent="0.25">
      <c r="A209" s="22">
        <v>38560</v>
      </c>
      <c r="G209" s="33">
        <v>1</v>
      </c>
    </row>
    <row r="210" spans="1:7" x14ac:dyDescent="0.25">
      <c r="A210" s="22">
        <v>38561</v>
      </c>
      <c r="G210" s="33">
        <v>0.5</v>
      </c>
    </row>
    <row r="211" spans="1:7" x14ac:dyDescent="0.25">
      <c r="A211" s="22">
        <v>38562</v>
      </c>
      <c r="G211" s="33">
        <v>9.4</v>
      </c>
    </row>
    <row r="212" spans="1:7" x14ac:dyDescent="0.25">
      <c r="A212" s="22">
        <v>38563</v>
      </c>
      <c r="G212" s="33">
        <v>7.4</v>
      </c>
    </row>
    <row r="213" spans="1:7" x14ac:dyDescent="0.25">
      <c r="A213" s="22">
        <v>38564</v>
      </c>
      <c r="G213" s="33">
        <v>0.5</v>
      </c>
    </row>
    <row r="214" spans="1:7" x14ac:dyDescent="0.25">
      <c r="A214" s="22">
        <v>38565</v>
      </c>
      <c r="G214" s="33">
        <v>0</v>
      </c>
    </row>
    <row r="215" spans="1:7" x14ac:dyDescent="0.25">
      <c r="A215" s="22">
        <v>38566</v>
      </c>
      <c r="G215" s="33">
        <v>0.5</v>
      </c>
    </row>
    <row r="216" spans="1:7" x14ac:dyDescent="0.25">
      <c r="A216" s="22">
        <v>38567</v>
      </c>
      <c r="G216" s="33">
        <v>0</v>
      </c>
    </row>
    <row r="217" spans="1:7" x14ac:dyDescent="0.25">
      <c r="A217" s="22">
        <v>38568</v>
      </c>
      <c r="G217" s="33">
        <v>0</v>
      </c>
    </row>
    <row r="218" spans="1:7" x14ac:dyDescent="0.25">
      <c r="A218" s="22">
        <v>38569</v>
      </c>
      <c r="G218" s="33">
        <v>18</v>
      </c>
    </row>
    <row r="219" spans="1:7" x14ac:dyDescent="0.25">
      <c r="A219" s="22">
        <v>38570</v>
      </c>
      <c r="G219" s="33">
        <v>10</v>
      </c>
    </row>
    <row r="220" spans="1:7" x14ac:dyDescent="0.25">
      <c r="A220" s="22">
        <v>38571</v>
      </c>
      <c r="G220" s="33">
        <v>11</v>
      </c>
    </row>
    <row r="221" spans="1:7" x14ac:dyDescent="0.25">
      <c r="A221" s="22">
        <v>38572</v>
      </c>
      <c r="G221" s="33">
        <v>0.2</v>
      </c>
    </row>
    <row r="222" spans="1:7" x14ac:dyDescent="0.25">
      <c r="A222" s="22">
        <v>38573</v>
      </c>
      <c r="G222" s="33">
        <v>34.200000000000003</v>
      </c>
    </row>
    <row r="223" spans="1:7" x14ac:dyDescent="0.25">
      <c r="A223" s="22">
        <v>38574</v>
      </c>
      <c r="G223" s="33">
        <v>1.4</v>
      </c>
    </row>
    <row r="224" spans="1:7" x14ac:dyDescent="0.25">
      <c r="A224" s="22">
        <v>38575</v>
      </c>
      <c r="G224" s="33">
        <v>7.3</v>
      </c>
    </row>
    <row r="225" spans="1:7" x14ac:dyDescent="0.25">
      <c r="A225" s="22">
        <v>38576</v>
      </c>
      <c r="G225" s="33">
        <v>2.6</v>
      </c>
    </row>
    <row r="226" spans="1:7" x14ac:dyDescent="0.25">
      <c r="A226" s="22">
        <v>38577</v>
      </c>
      <c r="G226" s="33">
        <v>20.2</v>
      </c>
    </row>
    <row r="227" spans="1:7" x14ac:dyDescent="0.25">
      <c r="A227" s="22">
        <v>38578</v>
      </c>
      <c r="G227" s="33">
        <v>0.5</v>
      </c>
    </row>
    <row r="228" spans="1:7" x14ac:dyDescent="0.25">
      <c r="A228" s="22">
        <v>38579</v>
      </c>
      <c r="G228" s="33">
        <v>4.4000000000000004</v>
      </c>
    </row>
    <row r="229" spans="1:7" x14ac:dyDescent="0.25">
      <c r="A229" s="22">
        <v>38580</v>
      </c>
      <c r="G229" s="33">
        <v>10.6</v>
      </c>
    </row>
    <row r="230" spans="1:7" x14ac:dyDescent="0.25">
      <c r="A230" s="22">
        <v>38581</v>
      </c>
      <c r="G230" s="33">
        <v>1.5</v>
      </c>
    </row>
    <row r="231" spans="1:7" x14ac:dyDescent="0.25">
      <c r="A231" s="22">
        <v>38582</v>
      </c>
      <c r="G231" s="33">
        <v>1.8</v>
      </c>
    </row>
    <row r="232" spans="1:7" x14ac:dyDescent="0.25">
      <c r="A232" s="22">
        <v>38583</v>
      </c>
      <c r="G232" s="33">
        <v>1.5</v>
      </c>
    </row>
    <row r="233" spans="1:7" x14ac:dyDescent="0.25">
      <c r="A233" s="22">
        <v>38584</v>
      </c>
      <c r="G233" s="33">
        <v>0</v>
      </c>
    </row>
    <row r="234" spans="1:7" x14ac:dyDescent="0.25">
      <c r="A234" s="22">
        <v>38585</v>
      </c>
      <c r="G234" s="33">
        <v>0</v>
      </c>
    </row>
    <row r="235" spans="1:7" x14ac:dyDescent="0.25">
      <c r="A235" s="22">
        <v>38586</v>
      </c>
      <c r="G235" s="33">
        <v>2.1</v>
      </c>
    </row>
    <row r="236" spans="1:7" x14ac:dyDescent="0.25">
      <c r="A236" s="22">
        <v>38587</v>
      </c>
      <c r="G236" s="33">
        <v>5.9</v>
      </c>
    </row>
    <row r="237" spans="1:7" x14ac:dyDescent="0.25">
      <c r="A237" s="22">
        <v>38588</v>
      </c>
      <c r="G237" s="33">
        <v>1.3</v>
      </c>
    </row>
    <row r="238" spans="1:7" x14ac:dyDescent="0.25">
      <c r="A238" s="22">
        <v>38589</v>
      </c>
      <c r="G238" s="33">
        <v>0</v>
      </c>
    </row>
    <row r="239" spans="1:7" x14ac:dyDescent="0.25">
      <c r="A239" s="22">
        <v>38590</v>
      </c>
      <c r="G239" s="33">
        <v>7.3</v>
      </c>
    </row>
    <row r="240" spans="1:7" x14ac:dyDescent="0.25">
      <c r="A240" s="22">
        <v>38591</v>
      </c>
      <c r="G240" s="33">
        <v>0.2</v>
      </c>
    </row>
    <row r="241" spans="1:7" x14ac:dyDescent="0.25">
      <c r="A241" s="22">
        <v>38592</v>
      </c>
      <c r="G241" s="33">
        <v>3.4</v>
      </c>
    </row>
    <row r="242" spans="1:7" x14ac:dyDescent="0.25">
      <c r="A242" s="22">
        <v>38593</v>
      </c>
      <c r="G242" s="33">
        <v>0</v>
      </c>
    </row>
    <row r="243" spans="1:7" x14ac:dyDescent="0.25">
      <c r="A243" s="22">
        <v>38594</v>
      </c>
      <c r="G243" s="33">
        <v>0</v>
      </c>
    </row>
    <row r="244" spans="1:7" x14ac:dyDescent="0.25">
      <c r="A244" s="22">
        <v>38595</v>
      </c>
      <c r="G244" s="33">
        <v>0</v>
      </c>
    </row>
    <row r="245" spans="1:7" x14ac:dyDescent="0.25">
      <c r="A245" s="22">
        <v>38596</v>
      </c>
      <c r="G245" s="33"/>
    </row>
    <row r="246" spans="1:7" x14ac:dyDescent="0.25">
      <c r="A246" s="22">
        <v>38597</v>
      </c>
      <c r="G246" s="33"/>
    </row>
    <row r="247" spans="1:7" x14ac:dyDescent="0.25">
      <c r="A247" s="22">
        <v>38598</v>
      </c>
      <c r="G247" s="33"/>
    </row>
    <row r="248" spans="1:7" x14ac:dyDescent="0.25">
      <c r="A248" s="22">
        <v>38599</v>
      </c>
      <c r="G248" s="33"/>
    </row>
    <row r="249" spans="1:7" x14ac:dyDescent="0.25">
      <c r="A249" s="22">
        <v>38600</v>
      </c>
      <c r="G249" s="33"/>
    </row>
    <row r="250" spans="1:7" x14ac:dyDescent="0.25">
      <c r="A250" s="22">
        <v>38601</v>
      </c>
      <c r="G250" s="33"/>
    </row>
    <row r="251" spans="1:7" x14ac:dyDescent="0.25">
      <c r="A251" s="22">
        <v>38602</v>
      </c>
      <c r="G251" s="33"/>
    </row>
    <row r="252" spans="1:7" x14ac:dyDescent="0.25">
      <c r="A252" s="22">
        <v>38603</v>
      </c>
      <c r="G252" s="33"/>
    </row>
    <row r="253" spans="1:7" x14ac:dyDescent="0.25">
      <c r="A253" s="22">
        <v>38604</v>
      </c>
      <c r="G253" s="33"/>
    </row>
    <row r="254" spans="1:7" x14ac:dyDescent="0.25">
      <c r="A254" s="22">
        <v>38605</v>
      </c>
      <c r="G254" s="33"/>
    </row>
    <row r="255" spans="1:7" x14ac:dyDescent="0.25">
      <c r="A255" s="22">
        <v>38606</v>
      </c>
      <c r="G255" s="33"/>
    </row>
    <row r="256" spans="1:7" x14ac:dyDescent="0.25">
      <c r="A256" s="22">
        <v>38607</v>
      </c>
      <c r="G256" s="33"/>
    </row>
    <row r="257" spans="1:7" x14ac:dyDescent="0.25">
      <c r="A257" s="22">
        <v>38608</v>
      </c>
      <c r="G257" s="33"/>
    </row>
    <row r="258" spans="1:7" x14ac:dyDescent="0.25">
      <c r="A258" s="22">
        <v>38609</v>
      </c>
      <c r="G258" s="33"/>
    </row>
    <row r="259" spans="1:7" x14ac:dyDescent="0.25">
      <c r="A259" s="22">
        <v>38610</v>
      </c>
      <c r="G259" s="33"/>
    </row>
    <row r="260" spans="1:7" x14ac:dyDescent="0.25">
      <c r="A260" s="22">
        <v>38611</v>
      </c>
      <c r="G260" s="33"/>
    </row>
    <row r="261" spans="1:7" x14ac:dyDescent="0.25">
      <c r="A261" s="22">
        <v>38612</v>
      </c>
      <c r="G261" s="33"/>
    </row>
    <row r="262" spans="1:7" x14ac:dyDescent="0.25">
      <c r="A262" s="22">
        <v>38613</v>
      </c>
      <c r="G262" s="33"/>
    </row>
    <row r="263" spans="1:7" x14ac:dyDescent="0.25">
      <c r="A263" s="22">
        <v>38614</v>
      </c>
      <c r="G263" s="33"/>
    </row>
    <row r="264" spans="1:7" x14ac:dyDescent="0.25">
      <c r="A264" s="22">
        <v>38615</v>
      </c>
      <c r="G264" s="33"/>
    </row>
    <row r="265" spans="1:7" x14ac:dyDescent="0.25">
      <c r="A265" s="22">
        <v>38616</v>
      </c>
      <c r="G265" s="33"/>
    </row>
    <row r="266" spans="1:7" x14ac:dyDescent="0.25">
      <c r="A266" s="22">
        <v>38617</v>
      </c>
      <c r="G266" s="33"/>
    </row>
    <row r="267" spans="1:7" x14ac:dyDescent="0.25">
      <c r="A267" s="22">
        <v>38618</v>
      </c>
      <c r="G267" s="33"/>
    </row>
    <row r="268" spans="1:7" x14ac:dyDescent="0.25">
      <c r="A268" s="22">
        <v>38619</v>
      </c>
      <c r="G268" s="33"/>
    </row>
    <row r="269" spans="1:7" x14ac:dyDescent="0.25">
      <c r="A269" s="22">
        <v>38620</v>
      </c>
      <c r="G269" s="33"/>
    </row>
    <row r="270" spans="1:7" x14ac:dyDescent="0.25">
      <c r="A270" s="22">
        <v>38621</v>
      </c>
      <c r="G270" s="33"/>
    </row>
    <row r="271" spans="1:7" x14ac:dyDescent="0.25">
      <c r="A271" s="22">
        <v>38622</v>
      </c>
      <c r="G271" s="33"/>
    </row>
    <row r="272" spans="1:7" x14ac:dyDescent="0.25">
      <c r="A272" s="22">
        <v>38623</v>
      </c>
      <c r="G272" s="33"/>
    </row>
    <row r="273" spans="1:7" x14ac:dyDescent="0.25">
      <c r="A273" s="22">
        <v>38624</v>
      </c>
      <c r="G273" s="33"/>
    </row>
    <row r="274" spans="1:7" x14ac:dyDescent="0.25">
      <c r="A274" s="22">
        <v>38625</v>
      </c>
      <c r="G274" s="33"/>
    </row>
    <row r="275" spans="1:7" x14ac:dyDescent="0.25">
      <c r="A275" s="22">
        <v>38626</v>
      </c>
      <c r="G275" s="33"/>
    </row>
    <row r="276" spans="1:7" x14ac:dyDescent="0.25">
      <c r="A276" s="22">
        <v>38627</v>
      </c>
      <c r="G276" s="33"/>
    </row>
    <row r="277" spans="1:7" x14ac:dyDescent="0.25">
      <c r="A277" s="22">
        <v>38628</v>
      </c>
      <c r="G277" s="33"/>
    </row>
    <row r="278" spans="1:7" x14ac:dyDescent="0.25">
      <c r="A278" s="22">
        <v>38629</v>
      </c>
      <c r="G278" s="33"/>
    </row>
    <row r="279" spans="1:7" x14ac:dyDescent="0.25">
      <c r="A279" s="22">
        <v>38630</v>
      </c>
      <c r="G279" s="33"/>
    </row>
    <row r="280" spans="1:7" x14ac:dyDescent="0.25">
      <c r="A280" s="22">
        <v>38631</v>
      </c>
      <c r="G280" s="33"/>
    </row>
    <row r="281" spans="1:7" x14ac:dyDescent="0.25">
      <c r="A281" s="22">
        <v>38632</v>
      </c>
      <c r="G281" s="33"/>
    </row>
    <row r="282" spans="1:7" x14ac:dyDescent="0.25">
      <c r="A282" s="22">
        <v>38633</v>
      </c>
      <c r="G282" s="33"/>
    </row>
    <row r="283" spans="1:7" x14ac:dyDescent="0.25">
      <c r="A283" s="22">
        <v>38634</v>
      </c>
      <c r="G283" s="33"/>
    </row>
    <row r="284" spans="1:7" x14ac:dyDescent="0.25">
      <c r="A284" s="22">
        <v>38635</v>
      </c>
      <c r="G284" s="33"/>
    </row>
    <row r="285" spans="1:7" x14ac:dyDescent="0.25">
      <c r="A285" s="22">
        <v>38636</v>
      </c>
      <c r="G285" s="33"/>
    </row>
    <row r="286" spans="1:7" x14ac:dyDescent="0.25">
      <c r="A286" s="22">
        <v>38637</v>
      </c>
      <c r="G286" s="33"/>
    </row>
    <row r="287" spans="1:7" x14ac:dyDescent="0.25">
      <c r="A287" s="22">
        <v>38638</v>
      </c>
      <c r="G287" s="33"/>
    </row>
    <row r="288" spans="1:7" x14ac:dyDescent="0.25">
      <c r="A288" s="22">
        <v>38639</v>
      </c>
      <c r="G288" s="33"/>
    </row>
    <row r="289" spans="1:7" x14ac:dyDescent="0.25">
      <c r="A289" s="22">
        <v>38640</v>
      </c>
      <c r="G289" s="33"/>
    </row>
    <row r="290" spans="1:7" x14ac:dyDescent="0.25">
      <c r="A290" s="22">
        <v>38641</v>
      </c>
      <c r="G290" s="33"/>
    </row>
    <row r="291" spans="1:7" x14ac:dyDescent="0.25">
      <c r="A291" s="22">
        <v>38642</v>
      </c>
      <c r="G291" s="33"/>
    </row>
    <row r="292" spans="1:7" x14ac:dyDescent="0.25">
      <c r="A292" s="22">
        <v>38643</v>
      </c>
      <c r="G292" s="33"/>
    </row>
    <row r="293" spans="1:7" x14ac:dyDescent="0.25">
      <c r="A293" s="22">
        <v>38644</v>
      </c>
      <c r="G293" s="33"/>
    </row>
    <row r="294" spans="1:7" x14ac:dyDescent="0.25">
      <c r="A294" s="22">
        <v>38645</v>
      </c>
      <c r="G294" s="33"/>
    </row>
    <row r="295" spans="1:7" x14ac:dyDescent="0.25">
      <c r="A295" s="22">
        <v>38646</v>
      </c>
      <c r="G295" s="33"/>
    </row>
    <row r="296" spans="1:7" x14ac:dyDescent="0.25">
      <c r="A296" s="22">
        <v>38647</v>
      </c>
      <c r="G296" s="33"/>
    </row>
    <row r="297" spans="1:7" x14ac:dyDescent="0.25">
      <c r="A297" s="22">
        <v>38648</v>
      </c>
      <c r="G297" s="33"/>
    </row>
    <row r="298" spans="1:7" x14ac:dyDescent="0.25">
      <c r="A298" s="22">
        <v>38649</v>
      </c>
      <c r="G298" s="33"/>
    </row>
    <row r="299" spans="1:7" x14ac:dyDescent="0.25">
      <c r="A299" s="22">
        <v>38650</v>
      </c>
      <c r="G299" s="33"/>
    </row>
    <row r="300" spans="1:7" x14ac:dyDescent="0.25">
      <c r="A300" s="22">
        <v>38651</v>
      </c>
      <c r="G300" s="33"/>
    </row>
    <row r="301" spans="1:7" x14ac:dyDescent="0.25">
      <c r="A301" s="22">
        <v>38652</v>
      </c>
      <c r="G301" s="33"/>
    </row>
    <row r="302" spans="1:7" x14ac:dyDescent="0.25">
      <c r="A302" s="22">
        <v>38653</v>
      </c>
      <c r="G302" s="33"/>
    </row>
    <row r="303" spans="1:7" x14ac:dyDescent="0.25">
      <c r="A303" s="22">
        <v>38654</v>
      </c>
      <c r="G303" s="33"/>
    </row>
    <row r="304" spans="1:7" x14ac:dyDescent="0.25">
      <c r="A304" s="22">
        <v>38655</v>
      </c>
      <c r="G304" s="33"/>
    </row>
    <row r="305" spans="1:7" x14ac:dyDescent="0.25">
      <c r="A305" s="22">
        <v>38656</v>
      </c>
      <c r="G305" s="33"/>
    </row>
    <row r="306" spans="1:7" x14ac:dyDescent="0.25">
      <c r="A306" s="22">
        <v>38657</v>
      </c>
      <c r="G306" s="33">
        <v>1.2</v>
      </c>
    </row>
    <row r="307" spans="1:7" x14ac:dyDescent="0.25">
      <c r="A307" s="22">
        <v>38658</v>
      </c>
      <c r="G307" s="33">
        <v>0.7</v>
      </c>
    </row>
    <row r="308" spans="1:7" x14ac:dyDescent="0.25">
      <c r="A308" s="22">
        <v>38659</v>
      </c>
      <c r="G308" s="33">
        <v>0</v>
      </c>
    </row>
    <row r="309" spans="1:7" x14ac:dyDescent="0.25">
      <c r="A309" s="22">
        <v>38660</v>
      </c>
      <c r="G309" s="33">
        <v>19.3</v>
      </c>
    </row>
    <row r="310" spans="1:7" x14ac:dyDescent="0.25">
      <c r="A310" s="22">
        <v>38661</v>
      </c>
      <c r="G310" s="33">
        <v>8.5</v>
      </c>
    </row>
    <row r="311" spans="1:7" x14ac:dyDescent="0.25">
      <c r="A311" s="22">
        <v>38662</v>
      </c>
      <c r="G311" s="33">
        <v>32.9</v>
      </c>
    </row>
    <row r="312" spans="1:7" x14ac:dyDescent="0.25">
      <c r="A312" s="22">
        <v>38663</v>
      </c>
      <c r="G312" s="33">
        <v>13.8</v>
      </c>
    </row>
    <row r="313" spans="1:7" x14ac:dyDescent="0.25">
      <c r="A313" s="22">
        <v>38664</v>
      </c>
      <c r="G313" s="33">
        <v>1.4</v>
      </c>
    </row>
    <row r="314" spans="1:7" x14ac:dyDescent="0.25">
      <c r="A314" s="22">
        <v>38665</v>
      </c>
      <c r="G314" s="33">
        <v>45.3</v>
      </c>
    </row>
    <row r="315" spans="1:7" x14ac:dyDescent="0.25">
      <c r="A315" s="22">
        <v>38666</v>
      </c>
      <c r="G315" s="33">
        <v>6.9</v>
      </c>
    </row>
    <row r="316" spans="1:7" x14ac:dyDescent="0.25">
      <c r="A316" s="22">
        <v>38667</v>
      </c>
      <c r="G316" s="33">
        <v>20.6</v>
      </c>
    </row>
    <row r="317" spans="1:7" x14ac:dyDescent="0.25">
      <c r="A317" s="22">
        <v>38668</v>
      </c>
      <c r="G317" s="33">
        <v>4.8</v>
      </c>
    </row>
    <row r="318" spans="1:7" x14ac:dyDescent="0.25">
      <c r="A318" s="22">
        <v>38669</v>
      </c>
      <c r="G318" s="33">
        <v>12.5</v>
      </c>
    </row>
    <row r="319" spans="1:7" x14ac:dyDescent="0.25">
      <c r="A319" s="22">
        <v>38670</v>
      </c>
      <c r="G319" s="33">
        <v>18</v>
      </c>
    </row>
    <row r="320" spans="1:7" x14ac:dyDescent="0.25">
      <c r="A320" s="22">
        <v>38671</v>
      </c>
      <c r="G320" s="33">
        <v>6.3</v>
      </c>
    </row>
    <row r="321" spans="1:7" x14ac:dyDescent="0.25">
      <c r="A321" s="22">
        <v>38672</v>
      </c>
      <c r="G321" s="33">
        <v>0.6</v>
      </c>
    </row>
    <row r="322" spans="1:7" x14ac:dyDescent="0.25">
      <c r="A322" s="22">
        <v>38673</v>
      </c>
      <c r="G322" s="33">
        <v>34</v>
      </c>
    </row>
    <row r="323" spans="1:7" x14ac:dyDescent="0.25">
      <c r="A323" s="22">
        <v>38674</v>
      </c>
      <c r="G323" s="33">
        <v>5.5</v>
      </c>
    </row>
    <row r="324" spans="1:7" x14ac:dyDescent="0.25">
      <c r="A324" s="22">
        <v>38675</v>
      </c>
      <c r="G324" s="33">
        <v>2</v>
      </c>
    </row>
    <row r="325" spans="1:7" x14ac:dyDescent="0.25">
      <c r="A325" s="22">
        <v>38676</v>
      </c>
      <c r="G325" s="33">
        <v>25.3</v>
      </c>
    </row>
    <row r="326" spans="1:7" x14ac:dyDescent="0.25">
      <c r="A326" s="22">
        <v>38677</v>
      </c>
      <c r="G326" s="33">
        <v>0</v>
      </c>
    </row>
    <row r="327" spans="1:7" x14ac:dyDescent="0.25">
      <c r="A327" s="22">
        <v>38678</v>
      </c>
      <c r="G327" s="33">
        <v>9.5</v>
      </c>
    </row>
    <row r="328" spans="1:7" x14ac:dyDescent="0.25">
      <c r="A328" s="22">
        <v>38679</v>
      </c>
      <c r="G328" s="33">
        <v>0</v>
      </c>
    </row>
    <row r="329" spans="1:7" x14ac:dyDescent="0.25">
      <c r="A329" s="22">
        <v>38680</v>
      </c>
      <c r="G329" s="33">
        <v>0</v>
      </c>
    </row>
    <row r="330" spans="1:7" x14ac:dyDescent="0.25">
      <c r="A330" s="22">
        <v>38681</v>
      </c>
      <c r="G330" s="33">
        <v>0</v>
      </c>
    </row>
    <row r="331" spans="1:7" x14ac:dyDescent="0.25">
      <c r="A331" s="22">
        <v>38682</v>
      </c>
      <c r="G331" s="33">
        <v>0</v>
      </c>
    </row>
    <row r="332" spans="1:7" x14ac:dyDescent="0.25">
      <c r="A332" s="22">
        <v>38683</v>
      </c>
      <c r="G332" s="33">
        <v>0</v>
      </c>
    </row>
    <row r="333" spans="1:7" x14ac:dyDescent="0.25">
      <c r="A333" s="22">
        <v>38684</v>
      </c>
      <c r="G333" s="33">
        <v>0</v>
      </c>
    </row>
    <row r="334" spans="1:7" x14ac:dyDescent="0.25">
      <c r="A334" s="22">
        <v>38685</v>
      </c>
      <c r="G334" s="33">
        <v>12.5</v>
      </c>
    </row>
    <row r="335" spans="1:7" x14ac:dyDescent="0.25">
      <c r="A335" s="22">
        <v>38686</v>
      </c>
      <c r="G335" s="33">
        <v>5.7</v>
      </c>
    </row>
    <row r="336" spans="1:7" x14ac:dyDescent="0.25">
      <c r="A336" s="22">
        <v>38687</v>
      </c>
      <c r="G336" s="33">
        <v>6.4</v>
      </c>
    </row>
    <row r="337" spans="1:7" x14ac:dyDescent="0.25">
      <c r="A337" s="22">
        <v>38688</v>
      </c>
      <c r="G337" s="33">
        <v>0</v>
      </c>
    </row>
    <row r="338" spans="1:7" x14ac:dyDescent="0.25">
      <c r="A338" s="22">
        <v>38689</v>
      </c>
      <c r="G338" s="33">
        <v>7.5</v>
      </c>
    </row>
    <row r="339" spans="1:7" x14ac:dyDescent="0.25">
      <c r="A339" s="22">
        <v>38690</v>
      </c>
      <c r="G339" s="33">
        <v>0</v>
      </c>
    </row>
    <row r="340" spans="1:7" x14ac:dyDescent="0.25">
      <c r="A340" s="22">
        <v>38691</v>
      </c>
      <c r="G340" s="33">
        <v>3.4</v>
      </c>
    </row>
    <row r="341" spans="1:7" x14ac:dyDescent="0.25">
      <c r="A341" s="22">
        <v>38692</v>
      </c>
      <c r="G341" s="33">
        <v>2.6</v>
      </c>
    </row>
    <row r="342" spans="1:7" x14ac:dyDescent="0.25">
      <c r="A342" s="22">
        <v>38693</v>
      </c>
      <c r="G342" s="33">
        <v>0</v>
      </c>
    </row>
    <row r="343" spans="1:7" x14ac:dyDescent="0.25">
      <c r="A343" s="22">
        <v>38694</v>
      </c>
      <c r="G343" s="33">
        <v>0</v>
      </c>
    </row>
    <row r="344" spans="1:7" x14ac:dyDescent="0.25">
      <c r="A344" s="22">
        <v>38695</v>
      </c>
      <c r="G344" s="33">
        <v>3</v>
      </c>
    </row>
    <row r="345" spans="1:7" x14ac:dyDescent="0.25">
      <c r="A345" s="22">
        <v>38696</v>
      </c>
      <c r="G345" s="33">
        <v>5.0999999999999996</v>
      </c>
    </row>
    <row r="346" spans="1:7" x14ac:dyDescent="0.25">
      <c r="A346" s="22">
        <v>38697</v>
      </c>
      <c r="G346" s="33">
        <v>0</v>
      </c>
    </row>
    <row r="347" spans="1:7" x14ac:dyDescent="0.25">
      <c r="A347" s="22">
        <v>38698</v>
      </c>
      <c r="G347" s="33">
        <v>10.5</v>
      </c>
    </row>
    <row r="348" spans="1:7" x14ac:dyDescent="0.25">
      <c r="A348" s="22">
        <v>38699</v>
      </c>
      <c r="G348" s="33">
        <v>0</v>
      </c>
    </row>
    <row r="349" spans="1:7" x14ac:dyDescent="0.25">
      <c r="A349" s="22">
        <v>38700</v>
      </c>
      <c r="G349" s="33">
        <v>0</v>
      </c>
    </row>
    <row r="350" spans="1:7" x14ac:dyDescent="0.25">
      <c r="A350" s="22">
        <v>38701</v>
      </c>
      <c r="G350" s="33">
        <v>0</v>
      </c>
    </row>
    <row r="351" spans="1:7" x14ac:dyDescent="0.25">
      <c r="A351" s="22">
        <v>38702</v>
      </c>
      <c r="G351" s="33">
        <v>0</v>
      </c>
    </row>
    <row r="352" spans="1:7" x14ac:dyDescent="0.25">
      <c r="A352" s="22">
        <v>38703</v>
      </c>
      <c r="G352" s="33">
        <v>0</v>
      </c>
    </row>
    <row r="353" spans="1:7" x14ac:dyDescent="0.25">
      <c r="A353" s="22">
        <v>38704</v>
      </c>
      <c r="G353" s="33">
        <v>56.2</v>
      </c>
    </row>
    <row r="354" spans="1:7" x14ac:dyDescent="0.25">
      <c r="A354" s="22">
        <v>38705</v>
      </c>
      <c r="G354" s="33">
        <v>0</v>
      </c>
    </row>
    <row r="355" spans="1:7" x14ac:dyDescent="0.25">
      <c r="A355" s="22">
        <v>38706</v>
      </c>
      <c r="G355" s="33">
        <v>1.7</v>
      </c>
    </row>
    <row r="356" spans="1:7" x14ac:dyDescent="0.25">
      <c r="A356" s="22">
        <v>38707</v>
      </c>
      <c r="G356" s="33">
        <v>0</v>
      </c>
    </row>
    <row r="357" spans="1:7" x14ac:dyDescent="0.25">
      <c r="A357" s="22">
        <v>38708</v>
      </c>
      <c r="G357" s="33">
        <v>0</v>
      </c>
    </row>
    <row r="358" spans="1:7" x14ac:dyDescent="0.25">
      <c r="A358" s="22">
        <v>38709</v>
      </c>
      <c r="G358" s="33">
        <v>0</v>
      </c>
    </row>
    <row r="359" spans="1:7" x14ac:dyDescent="0.25">
      <c r="A359" s="22">
        <v>38710</v>
      </c>
      <c r="G359" s="33">
        <v>11.6</v>
      </c>
    </row>
    <row r="360" spans="1:7" x14ac:dyDescent="0.25">
      <c r="A360" s="22">
        <v>38711</v>
      </c>
      <c r="G360" s="33">
        <v>4.9000000000000004</v>
      </c>
    </row>
    <row r="361" spans="1:7" x14ac:dyDescent="0.25">
      <c r="A361" s="22">
        <v>38712</v>
      </c>
      <c r="G361" s="33">
        <v>3.5</v>
      </c>
    </row>
    <row r="362" spans="1:7" x14ac:dyDescent="0.25">
      <c r="A362" s="22">
        <v>38713</v>
      </c>
      <c r="G362" s="33">
        <v>20.3</v>
      </c>
    </row>
    <row r="363" spans="1:7" x14ac:dyDescent="0.25">
      <c r="A363" s="22">
        <v>38714</v>
      </c>
      <c r="G363" s="33">
        <v>39</v>
      </c>
    </row>
    <row r="364" spans="1:7" x14ac:dyDescent="0.25">
      <c r="A364" s="22">
        <v>38715</v>
      </c>
      <c r="G364" s="33">
        <v>1.2</v>
      </c>
    </row>
    <row r="365" spans="1:7" x14ac:dyDescent="0.25">
      <c r="A365" s="22">
        <v>38716</v>
      </c>
      <c r="G365" s="33">
        <v>0</v>
      </c>
    </row>
    <row r="366" spans="1:7" x14ac:dyDescent="0.25">
      <c r="A366" s="22">
        <v>38717</v>
      </c>
    </row>
    <row r="367" spans="1:7" x14ac:dyDescent="0.25">
      <c r="A367" s="22">
        <v>38718</v>
      </c>
    </row>
    <row r="368" spans="1:7" x14ac:dyDescent="0.25">
      <c r="A368" s="22">
        <v>38719</v>
      </c>
    </row>
    <row r="369" spans="1:1" x14ac:dyDescent="0.25">
      <c r="A369" s="22">
        <v>38720</v>
      </c>
    </row>
    <row r="370" spans="1:1" x14ac:dyDescent="0.25">
      <c r="A370" s="22">
        <v>38721</v>
      </c>
    </row>
    <row r="371" spans="1:1" x14ac:dyDescent="0.25">
      <c r="A371" s="22">
        <v>38722</v>
      </c>
    </row>
    <row r="372" spans="1:1" x14ac:dyDescent="0.25">
      <c r="A372" s="22">
        <v>38723</v>
      </c>
    </row>
    <row r="373" spans="1:1" x14ac:dyDescent="0.25">
      <c r="A373" s="22">
        <v>38724</v>
      </c>
    </row>
    <row r="374" spans="1:1" x14ac:dyDescent="0.25">
      <c r="A374" s="22">
        <v>38725</v>
      </c>
    </row>
    <row r="375" spans="1:1" x14ac:dyDescent="0.25">
      <c r="A375" s="22">
        <v>38726</v>
      </c>
    </row>
    <row r="376" spans="1:1" x14ac:dyDescent="0.25">
      <c r="A376" s="22">
        <v>38727</v>
      </c>
    </row>
    <row r="377" spans="1:1" x14ac:dyDescent="0.25">
      <c r="A377" s="22">
        <v>38728</v>
      </c>
    </row>
    <row r="378" spans="1:1" x14ac:dyDescent="0.25">
      <c r="A378" s="22">
        <v>38729</v>
      </c>
    </row>
    <row r="379" spans="1:1" x14ac:dyDescent="0.25">
      <c r="A379" s="22">
        <v>38730</v>
      </c>
    </row>
    <row r="380" spans="1:1" x14ac:dyDescent="0.25">
      <c r="A380" s="22">
        <v>38731</v>
      </c>
    </row>
    <row r="381" spans="1:1" x14ac:dyDescent="0.25">
      <c r="A381" s="22">
        <v>38732</v>
      </c>
    </row>
    <row r="382" spans="1:1" x14ac:dyDescent="0.25">
      <c r="A382" s="22">
        <v>38733</v>
      </c>
    </row>
    <row r="383" spans="1:1" x14ac:dyDescent="0.25">
      <c r="A383" s="22">
        <v>38734</v>
      </c>
    </row>
    <row r="384" spans="1:1" x14ac:dyDescent="0.25">
      <c r="A384" s="22">
        <v>38735</v>
      </c>
    </row>
    <row r="385" spans="1:7" x14ac:dyDescent="0.25">
      <c r="A385" s="22">
        <v>38736</v>
      </c>
    </row>
    <row r="386" spans="1:7" x14ac:dyDescent="0.25">
      <c r="A386" s="22">
        <v>38737</v>
      </c>
    </row>
    <row r="387" spans="1:7" x14ac:dyDescent="0.25">
      <c r="A387" s="22">
        <v>38738</v>
      </c>
    </row>
    <row r="388" spans="1:7" x14ac:dyDescent="0.25">
      <c r="A388" s="22">
        <v>38739</v>
      </c>
    </row>
    <row r="389" spans="1:7" x14ac:dyDescent="0.25">
      <c r="A389" s="22">
        <v>38740</v>
      </c>
    </row>
    <row r="390" spans="1:7" x14ac:dyDescent="0.25">
      <c r="A390" s="22">
        <v>38741</v>
      </c>
    </row>
    <row r="391" spans="1:7" x14ac:dyDescent="0.25">
      <c r="A391" s="22">
        <v>38742</v>
      </c>
    </row>
    <row r="392" spans="1:7" x14ac:dyDescent="0.25">
      <c r="A392" s="22">
        <v>38743</v>
      </c>
    </row>
    <row r="393" spans="1:7" x14ac:dyDescent="0.25">
      <c r="A393" s="22">
        <v>38744</v>
      </c>
    </row>
    <row r="394" spans="1:7" x14ac:dyDescent="0.25">
      <c r="A394" s="22">
        <v>38745</v>
      </c>
    </row>
    <row r="395" spans="1:7" x14ac:dyDescent="0.25">
      <c r="A395" s="22">
        <v>38746</v>
      </c>
    </row>
    <row r="396" spans="1:7" x14ac:dyDescent="0.25">
      <c r="A396" s="22">
        <v>38747</v>
      </c>
    </row>
    <row r="397" spans="1:7" x14ac:dyDescent="0.25">
      <c r="A397" s="22">
        <v>38748</v>
      </c>
    </row>
    <row r="398" spans="1:7" x14ac:dyDescent="0.25">
      <c r="A398" s="22">
        <v>38749</v>
      </c>
      <c r="G398" s="26"/>
    </row>
    <row r="399" spans="1:7" x14ac:dyDescent="0.25">
      <c r="A399" s="22">
        <v>38750</v>
      </c>
      <c r="G399" s="26"/>
    </row>
    <row r="400" spans="1:7" x14ac:dyDescent="0.25">
      <c r="A400" s="22">
        <v>38751</v>
      </c>
      <c r="G400" s="26"/>
    </row>
    <row r="401" spans="1:7" x14ac:dyDescent="0.25">
      <c r="A401" s="22">
        <v>38752</v>
      </c>
      <c r="G401" s="26"/>
    </row>
    <row r="402" spans="1:7" x14ac:dyDescent="0.25">
      <c r="A402" s="22">
        <v>38753</v>
      </c>
      <c r="G402" s="27"/>
    </row>
    <row r="403" spans="1:7" x14ac:dyDescent="0.25">
      <c r="A403" s="22">
        <v>38754</v>
      </c>
      <c r="G403" s="26"/>
    </row>
    <row r="404" spans="1:7" x14ac:dyDescent="0.25">
      <c r="A404" s="22">
        <v>38755</v>
      </c>
      <c r="G404" s="26"/>
    </row>
    <row r="405" spans="1:7" x14ac:dyDescent="0.25">
      <c r="A405" s="22">
        <v>38756</v>
      </c>
      <c r="G405" s="27"/>
    </row>
    <row r="406" spans="1:7" x14ac:dyDescent="0.25">
      <c r="A406" s="22">
        <v>38757</v>
      </c>
      <c r="G406" s="26"/>
    </row>
    <row r="407" spans="1:7" x14ac:dyDescent="0.25">
      <c r="A407" s="22">
        <v>38758</v>
      </c>
      <c r="G407" s="26"/>
    </row>
    <row r="408" spans="1:7" x14ac:dyDescent="0.25">
      <c r="A408" s="22">
        <v>38759</v>
      </c>
      <c r="G408" s="26"/>
    </row>
    <row r="409" spans="1:7" x14ac:dyDescent="0.25">
      <c r="A409" s="22">
        <v>38760</v>
      </c>
      <c r="G409" s="26"/>
    </row>
    <row r="410" spans="1:7" x14ac:dyDescent="0.25">
      <c r="A410" s="22">
        <v>38761</v>
      </c>
      <c r="G410" s="27"/>
    </row>
    <row r="411" spans="1:7" x14ac:dyDescent="0.25">
      <c r="A411" s="22">
        <v>38762</v>
      </c>
      <c r="G411" s="27"/>
    </row>
    <row r="412" spans="1:7" x14ac:dyDescent="0.25">
      <c r="A412" s="22">
        <v>38763</v>
      </c>
      <c r="G412" s="27"/>
    </row>
    <row r="413" spans="1:7" x14ac:dyDescent="0.25">
      <c r="A413" s="22">
        <v>38764</v>
      </c>
      <c r="G413" s="27"/>
    </row>
    <row r="414" spans="1:7" x14ac:dyDescent="0.25">
      <c r="A414" s="22">
        <v>38765</v>
      </c>
      <c r="G414" s="26"/>
    </row>
    <row r="415" spans="1:7" x14ac:dyDescent="0.25">
      <c r="A415" s="22">
        <v>38766</v>
      </c>
      <c r="G415" s="26"/>
    </row>
    <row r="416" spans="1:7" x14ac:dyDescent="0.25">
      <c r="A416" s="22">
        <v>38767</v>
      </c>
      <c r="G416" s="27"/>
    </row>
    <row r="417" spans="1:7" x14ac:dyDescent="0.25">
      <c r="A417" s="22">
        <v>38768</v>
      </c>
      <c r="G417" s="27"/>
    </row>
    <row r="418" spans="1:7" x14ac:dyDescent="0.25">
      <c r="A418" s="22">
        <v>38769</v>
      </c>
      <c r="G418" s="26"/>
    </row>
    <row r="419" spans="1:7" x14ac:dyDescent="0.25">
      <c r="A419" s="22">
        <v>38770</v>
      </c>
      <c r="G419" s="26"/>
    </row>
    <row r="420" spans="1:7" x14ac:dyDescent="0.25">
      <c r="A420" s="22">
        <v>38771</v>
      </c>
      <c r="G420" s="26"/>
    </row>
    <row r="421" spans="1:7" x14ac:dyDescent="0.25">
      <c r="A421" s="22">
        <v>38772</v>
      </c>
      <c r="G421" s="26"/>
    </row>
    <row r="422" spans="1:7" x14ac:dyDescent="0.25">
      <c r="A422" s="22">
        <v>38773</v>
      </c>
      <c r="G422" s="26"/>
    </row>
    <row r="423" spans="1:7" x14ac:dyDescent="0.25">
      <c r="A423" s="22">
        <v>38774</v>
      </c>
      <c r="G423" s="26"/>
    </row>
    <row r="424" spans="1:7" x14ac:dyDescent="0.25">
      <c r="A424" s="22">
        <v>38775</v>
      </c>
      <c r="G424" s="26"/>
    </row>
    <row r="425" spans="1:7" x14ac:dyDescent="0.25">
      <c r="A425" s="22">
        <v>38776</v>
      </c>
      <c r="G425" s="26"/>
    </row>
    <row r="426" spans="1:7" x14ac:dyDescent="0.25">
      <c r="A426" s="22">
        <v>38777</v>
      </c>
    </row>
    <row r="427" spans="1:7" x14ac:dyDescent="0.25">
      <c r="A427" s="22">
        <v>38778</v>
      </c>
    </row>
    <row r="428" spans="1:7" x14ac:dyDescent="0.25">
      <c r="A428" s="22">
        <v>38779</v>
      </c>
    </row>
    <row r="429" spans="1:7" x14ac:dyDescent="0.25">
      <c r="A429" s="22">
        <v>38780</v>
      </c>
    </row>
    <row r="430" spans="1:7" x14ac:dyDescent="0.25">
      <c r="A430" s="22">
        <v>38781</v>
      </c>
    </row>
    <row r="431" spans="1:7" x14ac:dyDescent="0.25">
      <c r="A431" s="22">
        <v>38782</v>
      </c>
    </row>
    <row r="432" spans="1:7" x14ac:dyDescent="0.25">
      <c r="A432" s="22">
        <v>38783</v>
      </c>
    </row>
    <row r="433" spans="1:1" x14ac:dyDescent="0.25">
      <c r="A433" s="22">
        <v>38784</v>
      </c>
    </row>
    <row r="434" spans="1:1" x14ac:dyDescent="0.25">
      <c r="A434" s="22">
        <v>38785</v>
      </c>
    </row>
    <row r="435" spans="1:1" x14ac:dyDescent="0.25">
      <c r="A435" s="22">
        <v>38786</v>
      </c>
    </row>
    <row r="436" spans="1:1" x14ac:dyDescent="0.25">
      <c r="A436" s="22">
        <v>38787</v>
      </c>
    </row>
    <row r="437" spans="1:1" x14ac:dyDescent="0.25">
      <c r="A437" s="22">
        <v>38788</v>
      </c>
    </row>
    <row r="438" spans="1:1" x14ac:dyDescent="0.25">
      <c r="A438" s="22">
        <v>38789</v>
      </c>
    </row>
    <row r="439" spans="1:1" x14ac:dyDescent="0.25">
      <c r="A439" s="22">
        <v>38790</v>
      </c>
    </row>
    <row r="440" spans="1:1" x14ac:dyDescent="0.25">
      <c r="A440" s="22">
        <v>38791</v>
      </c>
    </row>
    <row r="441" spans="1:1" x14ac:dyDescent="0.25">
      <c r="A441" s="22">
        <v>38792</v>
      </c>
    </row>
    <row r="442" spans="1:1" x14ac:dyDescent="0.25">
      <c r="A442" s="22">
        <v>38793</v>
      </c>
    </row>
    <row r="443" spans="1:1" x14ac:dyDescent="0.25">
      <c r="A443" s="22">
        <v>38794</v>
      </c>
    </row>
    <row r="444" spans="1:1" x14ac:dyDescent="0.25">
      <c r="A444" s="22">
        <v>38795</v>
      </c>
    </row>
    <row r="445" spans="1:1" x14ac:dyDescent="0.25">
      <c r="A445" s="22">
        <v>38796</v>
      </c>
    </row>
    <row r="446" spans="1:1" x14ac:dyDescent="0.25">
      <c r="A446" s="22">
        <v>38797</v>
      </c>
    </row>
    <row r="447" spans="1:1" x14ac:dyDescent="0.25">
      <c r="A447" s="22">
        <v>38798</v>
      </c>
    </row>
    <row r="448" spans="1:1" x14ac:dyDescent="0.25">
      <c r="A448" s="22">
        <v>38799</v>
      </c>
    </row>
    <row r="449" spans="1:1" x14ac:dyDescent="0.25">
      <c r="A449" s="22">
        <v>38800</v>
      </c>
    </row>
    <row r="450" spans="1:1" x14ac:dyDescent="0.25">
      <c r="A450" s="22">
        <v>38801</v>
      </c>
    </row>
    <row r="451" spans="1:1" x14ac:dyDescent="0.25">
      <c r="A451" s="22">
        <v>38802</v>
      </c>
    </row>
    <row r="452" spans="1:1" x14ac:dyDescent="0.25">
      <c r="A452" s="22">
        <v>38803</v>
      </c>
    </row>
    <row r="453" spans="1:1" x14ac:dyDescent="0.25">
      <c r="A453" s="22">
        <v>38804</v>
      </c>
    </row>
    <row r="454" spans="1:1" x14ac:dyDescent="0.25">
      <c r="A454" s="22">
        <v>38805</v>
      </c>
    </row>
    <row r="455" spans="1:1" x14ac:dyDescent="0.25">
      <c r="A455" s="22">
        <v>38806</v>
      </c>
    </row>
    <row r="456" spans="1:1" x14ac:dyDescent="0.25">
      <c r="A456" s="22">
        <v>38807</v>
      </c>
    </row>
    <row r="457" spans="1:1" x14ac:dyDescent="0.25">
      <c r="A457" s="22">
        <v>38808</v>
      </c>
    </row>
    <row r="458" spans="1:1" x14ac:dyDescent="0.25">
      <c r="A458" s="22">
        <v>38809</v>
      </c>
    </row>
    <row r="459" spans="1:1" x14ac:dyDescent="0.25">
      <c r="A459" s="22">
        <v>38810</v>
      </c>
    </row>
    <row r="460" spans="1:1" x14ac:dyDescent="0.25">
      <c r="A460" s="22">
        <v>38811</v>
      </c>
    </row>
    <row r="461" spans="1:1" x14ac:dyDescent="0.25">
      <c r="A461" s="22">
        <v>38812</v>
      </c>
    </row>
    <row r="462" spans="1:1" x14ac:dyDescent="0.25">
      <c r="A462" s="22">
        <v>38813</v>
      </c>
    </row>
    <row r="463" spans="1:1" x14ac:dyDescent="0.25">
      <c r="A463" s="22">
        <v>38814</v>
      </c>
    </row>
    <row r="464" spans="1:1" x14ac:dyDescent="0.25">
      <c r="A464" s="22">
        <v>38815</v>
      </c>
    </row>
    <row r="465" spans="1:1" x14ac:dyDescent="0.25">
      <c r="A465" s="22">
        <v>38816</v>
      </c>
    </row>
    <row r="466" spans="1:1" x14ac:dyDescent="0.25">
      <c r="A466" s="22">
        <v>38817</v>
      </c>
    </row>
    <row r="467" spans="1:1" x14ac:dyDescent="0.25">
      <c r="A467" s="22">
        <v>38818</v>
      </c>
    </row>
    <row r="468" spans="1:1" x14ac:dyDescent="0.25">
      <c r="A468" s="22">
        <v>38819</v>
      </c>
    </row>
    <row r="469" spans="1:1" x14ac:dyDescent="0.25">
      <c r="A469" s="22">
        <v>38820</v>
      </c>
    </row>
    <row r="470" spans="1:1" x14ac:dyDescent="0.25">
      <c r="A470" s="22">
        <v>38821</v>
      </c>
    </row>
    <row r="471" spans="1:1" x14ac:dyDescent="0.25">
      <c r="A471" s="22">
        <v>38822</v>
      </c>
    </row>
    <row r="472" spans="1:1" x14ac:dyDescent="0.25">
      <c r="A472" s="22">
        <v>38823</v>
      </c>
    </row>
    <row r="473" spans="1:1" x14ac:dyDescent="0.25">
      <c r="A473" s="22">
        <v>38824</v>
      </c>
    </row>
    <row r="474" spans="1:1" x14ac:dyDescent="0.25">
      <c r="A474" s="22">
        <v>38825</v>
      </c>
    </row>
    <row r="475" spans="1:1" x14ac:dyDescent="0.25">
      <c r="A475" s="22">
        <v>38826</v>
      </c>
    </row>
    <row r="476" spans="1:1" x14ac:dyDescent="0.25">
      <c r="A476" s="22">
        <v>38827</v>
      </c>
    </row>
    <row r="477" spans="1:1" x14ac:dyDescent="0.25">
      <c r="A477" s="22">
        <v>38828</v>
      </c>
    </row>
    <row r="478" spans="1:1" x14ac:dyDescent="0.25">
      <c r="A478" s="22">
        <v>38829</v>
      </c>
    </row>
    <row r="479" spans="1:1" x14ac:dyDescent="0.25">
      <c r="A479" s="22">
        <v>38830</v>
      </c>
    </row>
    <row r="480" spans="1:1" x14ac:dyDescent="0.25">
      <c r="A480" s="22">
        <v>38831</v>
      </c>
    </row>
    <row r="481" spans="1:1" x14ac:dyDescent="0.25">
      <c r="A481" s="22">
        <v>38832</v>
      </c>
    </row>
    <row r="482" spans="1:1" x14ac:dyDescent="0.25">
      <c r="A482" s="22">
        <v>38833</v>
      </c>
    </row>
    <row r="483" spans="1:1" x14ac:dyDescent="0.25">
      <c r="A483" s="22">
        <v>38834</v>
      </c>
    </row>
    <row r="484" spans="1:1" x14ac:dyDescent="0.25">
      <c r="A484" s="22">
        <v>38835</v>
      </c>
    </row>
    <row r="485" spans="1:1" x14ac:dyDescent="0.25">
      <c r="A485" s="22">
        <v>38836</v>
      </c>
    </row>
    <row r="486" spans="1:1" x14ac:dyDescent="0.25">
      <c r="A486" s="22">
        <v>38837</v>
      </c>
    </row>
    <row r="487" spans="1:1" x14ac:dyDescent="0.25">
      <c r="A487" s="22">
        <v>38838</v>
      </c>
    </row>
    <row r="488" spans="1:1" x14ac:dyDescent="0.25">
      <c r="A488" s="22">
        <v>38839</v>
      </c>
    </row>
    <row r="489" spans="1:1" x14ac:dyDescent="0.25">
      <c r="A489" s="22">
        <v>38840</v>
      </c>
    </row>
    <row r="490" spans="1:1" x14ac:dyDescent="0.25">
      <c r="A490" s="22">
        <v>38841</v>
      </c>
    </row>
    <row r="491" spans="1:1" x14ac:dyDescent="0.25">
      <c r="A491" s="22">
        <v>38842</v>
      </c>
    </row>
    <row r="492" spans="1:1" x14ac:dyDescent="0.25">
      <c r="A492" s="22">
        <v>38843</v>
      </c>
    </row>
    <row r="493" spans="1:1" x14ac:dyDescent="0.25">
      <c r="A493" s="22">
        <v>38844</v>
      </c>
    </row>
    <row r="494" spans="1:1" x14ac:dyDescent="0.25">
      <c r="A494" s="22">
        <v>38845</v>
      </c>
    </row>
    <row r="495" spans="1:1" x14ac:dyDescent="0.25">
      <c r="A495" s="22">
        <v>38846</v>
      </c>
    </row>
    <row r="496" spans="1:1" x14ac:dyDescent="0.25">
      <c r="A496" s="22">
        <v>38847</v>
      </c>
    </row>
    <row r="497" spans="1:1" x14ac:dyDescent="0.25">
      <c r="A497" s="22">
        <v>38848</v>
      </c>
    </row>
    <row r="498" spans="1:1" x14ac:dyDescent="0.25">
      <c r="A498" s="22">
        <v>38849</v>
      </c>
    </row>
    <row r="499" spans="1:1" x14ac:dyDescent="0.25">
      <c r="A499" s="22">
        <v>38850</v>
      </c>
    </row>
    <row r="500" spans="1:1" x14ac:dyDescent="0.25">
      <c r="A500" s="22">
        <v>38851</v>
      </c>
    </row>
    <row r="501" spans="1:1" x14ac:dyDescent="0.25">
      <c r="A501" s="22">
        <v>38852</v>
      </c>
    </row>
    <row r="502" spans="1:1" x14ac:dyDescent="0.25">
      <c r="A502" s="22">
        <v>38853</v>
      </c>
    </row>
    <row r="503" spans="1:1" x14ac:dyDescent="0.25">
      <c r="A503" s="22">
        <v>38854</v>
      </c>
    </row>
    <row r="504" spans="1:1" x14ac:dyDescent="0.25">
      <c r="A504" s="22">
        <v>38855</v>
      </c>
    </row>
    <row r="505" spans="1:1" x14ac:dyDescent="0.25">
      <c r="A505" s="22">
        <v>38856</v>
      </c>
    </row>
    <row r="506" spans="1:1" x14ac:dyDescent="0.25">
      <c r="A506" s="22">
        <v>38857</v>
      </c>
    </row>
    <row r="507" spans="1:1" x14ac:dyDescent="0.25">
      <c r="A507" s="22">
        <v>38858</v>
      </c>
    </row>
    <row r="508" spans="1:1" x14ac:dyDescent="0.25">
      <c r="A508" s="22">
        <v>38859</v>
      </c>
    </row>
    <row r="509" spans="1:1" x14ac:dyDescent="0.25">
      <c r="A509" s="22">
        <v>38860</v>
      </c>
    </row>
    <row r="510" spans="1:1" x14ac:dyDescent="0.25">
      <c r="A510" s="22">
        <v>38861</v>
      </c>
    </row>
    <row r="511" spans="1:1" x14ac:dyDescent="0.25">
      <c r="A511" s="22">
        <v>38862</v>
      </c>
    </row>
    <row r="512" spans="1:1" x14ac:dyDescent="0.25">
      <c r="A512" s="22">
        <v>38863</v>
      </c>
    </row>
    <row r="513" spans="1:1" x14ac:dyDescent="0.25">
      <c r="A513" s="22">
        <v>38864</v>
      </c>
    </row>
    <row r="514" spans="1:1" x14ac:dyDescent="0.25">
      <c r="A514" s="22">
        <v>38865</v>
      </c>
    </row>
    <row r="515" spans="1:1" x14ac:dyDescent="0.25">
      <c r="A515" s="22">
        <v>38866</v>
      </c>
    </row>
    <row r="516" spans="1:1" x14ac:dyDescent="0.25">
      <c r="A516" s="22">
        <v>38867</v>
      </c>
    </row>
    <row r="517" spans="1:1" x14ac:dyDescent="0.25">
      <c r="A517" s="22">
        <v>38868</v>
      </c>
    </row>
    <row r="518" spans="1:1" x14ac:dyDescent="0.25">
      <c r="A518" s="22">
        <v>38869</v>
      </c>
    </row>
    <row r="519" spans="1:1" x14ac:dyDescent="0.25">
      <c r="A519" s="22">
        <v>38870</v>
      </c>
    </row>
    <row r="520" spans="1:1" x14ac:dyDescent="0.25">
      <c r="A520" s="22">
        <v>38871</v>
      </c>
    </row>
    <row r="521" spans="1:1" x14ac:dyDescent="0.25">
      <c r="A521" s="22">
        <v>38872</v>
      </c>
    </row>
    <row r="522" spans="1:1" x14ac:dyDescent="0.25">
      <c r="A522" s="22">
        <v>38873</v>
      </c>
    </row>
    <row r="523" spans="1:1" x14ac:dyDescent="0.25">
      <c r="A523" s="22">
        <v>38874</v>
      </c>
    </row>
    <row r="524" spans="1:1" x14ac:dyDescent="0.25">
      <c r="A524" s="22">
        <v>38875</v>
      </c>
    </row>
    <row r="525" spans="1:1" x14ac:dyDescent="0.25">
      <c r="A525" s="22">
        <v>38876</v>
      </c>
    </row>
    <row r="526" spans="1:1" x14ac:dyDescent="0.25">
      <c r="A526" s="22">
        <v>38877</v>
      </c>
    </row>
    <row r="527" spans="1:1" x14ac:dyDescent="0.25">
      <c r="A527" s="22">
        <v>38878</v>
      </c>
    </row>
    <row r="528" spans="1:1" x14ac:dyDescent="0.25">
      <c r="A528" s="22">
        <v>38879</v>
      </c>
    </row>
    <row r="529" spans="1:1" x14ac:dyDescent="0.25">
      <c r="A529" s="22">
        <v>38880</v>
      </c>
    </row>
    <row r="530" spans="1:1" x14ac:dyDescent="0.25">
      <c r="A530" s="22">
        <v>38881</v>
      </c>
    </row>
    <row r="531" spans="1:1" x14ac:dyDescent="0.25">
      <c r="A531" s="22">
        <v>38882</v>
      </c>
    </row>
    <row r="532" spans="1:1" x14ac:dyDescent="0.25">
      <c r="A532" s="22">
        <v>38883</v>
      </c>
    </row>
    <row r="533" spans="1:1" x14ac:dyDescent="0.25">
      <c r="A533" s="22">
        <v>38884</v>
      </c>
    </row>
    <row r="534" spans="1:1" x14ac:dyDescent="0.25">
      <c r="A534" s="22">
        <v>38885</v>
      </c>
    </row>
    <row r="535" spans="1:1" x14ac:dyDescent="0.25">
      <c r="A535" s="22">
        <v>38886</v>
      </c>
    </row>
    <row r="536" spans="1:1" x14ac:dyDescent="0.25">
      <c r="A536" s="22">
        <v>38887</v>
      </c>
    </row>
    <row r="537" spans="1:1" x14ac:dyDescent="0.25">
      <c r="A537" s="22">
        <v>38888</v>
      </c>
    </row>
    <row r="538" spans="1:1" x14ac:dyDescent="0.25">
      <c r="A538" s="22">
        <v>38889</v>
      </c>
    </row>
    <row r="539" spans="1:1" x14ac:dyDescent="0.25">
      <c r="A539" s="22">
        <v>38890</v>
      </c>
    </row>
    <row r="540" spans="1:1" x14ac:dyDescent="0.25">
      <c r="A540" s="22">
        <v>38891</v>
      </c>
    </row>
    <row r="541" spans="1:1" x14ac:dyDescent="0.25">
      <c r="A541" s="22">
        <v>38892</v>
      </c>
    </row>
    <row r="542" spans="1:1" x14ac:dyDescent="0.25">
      <c r="A542" s="22">
        <v>38893</v>
      </c>
    </row>
    <row r="543" spans="1:1" x14ac:dyDescent="0.25">
      <c r="A543" s="22">
        <v>38894</v>
      </c>
    </row>
    <row r="544" spans="1:1" x14ac:dyDescent="0.25">
      <c r="A544" s="22">
        <v>38895</v>
      </c>
    </row>
    <row r="545" spans="1:1" x14ac:dyDescent="0.25">
      <c r="A545" s="22">
        <v>38896</v>
      </c>
    </row>
    <row r="546" spans="1:1" x14ac:dyDescent="0.25">
      <c r="A546" s="22">
        <v>38897</v>
      </c>
    </row>
    <row r="547" spans="1:1" x14ac:dyDescent="0.25">
      <c r="A547" s="22">
        <v>38898</v>
      </c>
    </row>
    <row r="548" spans="1:1" x14ac:dyDescent="0.25">
      <c r="A548" s="22">
        <v>38899</v>
      </c>
    </row>
    <row r="549" spans="1:1" x14ac:dyDescent="0.25">
      <c r="A549" s="22">
        <v>38900</v>
      </c>
    </row>
    <row r="550" spans="1:1" x14ac:dyDescent="0.25">
      <c r="A550" s="22">
        <v>38901</v>
      </c>
    </row>
    <row r="551" spans="1:1" x14ac:dyDescent="0.25">
      <c r="A551" s="22">
        <v>38902</v>
      </c>
    </row>
    <row r="552" spans="1:1" x14ac:dyDescent="0.25">
      <c r="A552" s="22">
        <v>38903</v>
      </c>
    </row>
    <row r="553" spans="1:1" x14ac:dyDescent="0.25">
      <c r="A553" s="22">
        <v>38904</v>
      </c>
    </row>
    <row r="554" spans="1:1" x14ac:dyDescent="0.25">
      <c r="A554" s="22">
        <v>38905</v>
      </c>
    </row>
    <row r="555" spans="1:1" x14ac:dyDescent="0.25">
      <c r="A555" s="22">
        <v>38906</v>
      </c>
    </row>
    <row r="556" spans="1:1" x14ac:dyDescent="0.25">
      <c r="A556" s="22">
        <v>38907</v>
      </c>
    </row>
    <row r="557" spans="1:1" x14ac:dyDescent="0.25">
      <c r="A557" s="22">
        <v>38908</v>
      </c>
    </row>
    <row r="558" spans="1:1" x14ac:dyDescent="0.25">
      <c r="A558" s="22">
        <v>38909</v>
      </c>
    </row>
    <row r="559" spans="1:1" x14ac:dyDescent="0.25">
      <c r="A559" s="22">
        <v>38910</v>
      </c>
    </row>
    <row r="560" spans="1:1" x14ac:dyDescent="0.25">
      <c r="A560" s="22">
        <v>38911</v>
      </c>
    </row>
    <row r="561" spans="1:1" x14ac:dyDescent="0.25">
      <c r="A561" s="22">
        <v>38912</v>
      </c>
    </row>
    <row r="562" spans="1:1" x14ac:dyDescent="0.25">
      <c r="A562" s="22">
        <v>38913</v>
      </c>
    </row>
    <row r="563" spans="1:1" x14ac:dyDescent="0.25">
      <c r="A563" s="22">
        <v>38914</v>
      </c>
    </row>
    <row r="564" spans="1:1" x14ac:dyDescent="0.25">
      <c r="A564" s="22">
        <v>38915</v>
      </c>
    </row>
    <row r="565" spans="1:1" x14ac:dyDescent="0.25">
      <c r="A565" s="22">
        <v>38916</v>
      </c>
    </row>
    <row r="566" spans="1:1" x14ac:dyDescent="0.25">
      <c r="A566" s="22">
        <v>38917</v>
      </c>
    </row>
    <row r="567" spans="1:1" x14ac:dyDescent="0.25">
      <c r="A567" s="22">
        <v>38918</v>
      </c>
    </row>
    <row r="568" spans="1:1" x14ac:dyDescent="0.25">
      <c r="A568" s="22">
        <v>38919</v>
      </c>
    </row>
    <row r="569" spans="1:1" x14ac:dyDescent="0.25">
      <c r="A569" s="22">
        <v>38920</v>
      </c>
    </row>
    <row r="570" spans="1:1" x14ac:dyDescent="0.25">
      <c r="A570" s="22">
        <v>38921</v>
      </c>
    </row>
    <row r="571" spans="1:1" x14ac:dyDescent="0.25">
      <c r="A571" s="22">
        <v>38922</v>
      </c>
    </row>
    <row r="572" spans="1:1" x14ac:dyDescent="0.25">
      <c r="A572" s="22">
        <v>38923</v>
      </c>
    </row>
    <row r="573" spans="1:1" x14ac:dyDescent="0.25">
      <c r="A573" s="22">
        <v>38924</v>
      </c>
    </row>
    <row r="574" spans="1:1" x14ac:dyDescent="0.25">
      <c r="A574" s="22">
        <v>38925</v>
      </c>
    </row>
    <row r="575" spans="1:1" x14ac:dyDescent="0.25">
      <c r="A575" s="22">
        <v>38926</v>
      </c>
    </row>
    <row r="576" spans="1:1" x14ac:dyDescent="0.25">
      <c r="A576" s="22">
        <v>38927</v>
      </c>
    </row>
    <row r="577" spans="1:1" x14ac:dyDescent="0.25">
      <c r="A577" s="22">
        <v>38928</v>
      </c>
    </row>
    <row r="578" spans="1:1" x14ac:dyDescent="0.25">
      <c r="A578" s="22">
        <v>38929</v>
      </c>
    </row>
    <row r="579" spans="1:1" x14ac:dyDescent="0.25">
      <c r="A579" s="22">
        <v>38930</v>
      </c>
    </row>
    <row r="580" spans="1:1" x14ac:dyDescent="0.25">
      <c r="A580" s="22">
        <v>38931</v>
      </c>
    </row>
    <row r="581" spans="1:1" x14ac:dyDescent="0.25">
      <c r="A581" s="22">
        <v>38932</v>
      </c>
    </row>
    <row r="582" spans="1:1" x14ac:dyDescent="0.25">
      <c r="A582" s="22">
        <v>38933</v>
      </c>
    </row>
    <row r="583" spans="1:1" x14ac:dyDescent="0.25">
      <c r="A583" s="22">
        <v>38934</v>
      </c>
    </row>
    <row r="584" spans="1:1" x14ac:dyDescent="0.25">
      <c r="A584" s="22">
        <v>38935</v>
      </c>
    </row>
    <row r="585" spans="1:1" x14ac:dyDescent="0.25">
      <c r="A585" s="22">
        <v>38936</v>
      </c>
    </row>
    <row r="586" spans="1:1" x14ac:dyDescent="0.25">
      <c r="A586" s="22">
        <v>38937</v>
      </c>
    </row>
    <row r="587" spans="1:1" x14ac:dyDescent="0.25">
      <c r="A587" s="22">
        <v>38938</v>
      </c>
    </row>
    <row r="588" spans="1:1" x14ac:dyDescent="0.25">
      <c r="A588" s="22">
        <v>38939</v>
      </c>
    </row>
    <row r="589" spans="1:1" x14ac:dyDescent="0.25">
      <c r="A589" s="22">
        <v>38940</v>
      </c>
    </row>
    <row r="590" spans="1:1" x14ac:dyDescent="0.25">
      <c r="A590" s="22">
        <v>38941</v>
      </c>
    </row>
    <row r="591" spans="1:1" x14ac:dyDescent="0.25">
      <c r="A591" s="22">
        <v>38942</v>
      </c>
    </row>
    <row r="592" spans="1:1" x14ac:dyDescent="0.25">
      <c r="A592" s="22">
        <v>38943</v>
      </c>
    </row>
    <row r="593" spans="1:1" x14ac:dyDescent="0.25">
      <c r="A593" s="22">
        <v>38944</v>
      </c>
    </row>
    <row r="594" spans="1:1" x14ac:dyDescent="0.25">
      <c r="A594" s="22">
        <v>38945</v>
      </c>
    </row>
    <row r="595" spans="1:1" x14ac:dyDescent="0.25">
      <c r="A595" s="22">
        <v>38946</v>
      </c>
    </row>
    <row r="596" spans="1:1" x14ac:dyDescent="0.25">
      <c r="A596" s="22">
        <v>38947</v>
      </c>
    </row>
    <row r="597" spans="1:1" x14ac:dyDescent="0.25">
      <c r="A597" s="22">
        <v>38948</v>
      </c>
    </row>
    <row r="598" spans="1:1" x14ac:dyDescent="0.25">
      <c r="A598" s="22">
        <v>38949</v>
      </c>
    </row>
    <row r="599" spans="1:1" x14ac:dyDescent="0.25">
      <c r="A599" s="22">
        <v>38950</v>
      </c>
    </row>
    <row r="600" spans="1:1" x14ac:dyDescent="0.25">
      <c r="A600" s="22">
        <v>38951</v>
      </c>
    </row>
    <row r="601" spans="1:1" x14ac:dyDescent="0.25">
      <c r="A601" s="22">
        <v>38952</v>
      </c>
    </row>
    <row r="602" spans="1:1" x14ac:dyDescent="0.25">
      <c r="A602" s="22">
        <v>38953</v>
      </c>
    </row>
    <row r="603" spans="1:1" x14ac:dyDescent="0.25">
      <c r="A603" s="22">
        <v>38954</v>
      </c>
    </row>
    <row r="604" spans="1:1" x14ac:dyDescent="0.25">
      <c r="A604" s="22">
        <v>38955</v>
      </c>
    </row>
    <row r="605" spans="1:1" x14ac:dyDescent="0.25">
      <c r="A605" s="22">
        <v>38956</v>
      </c>
    </row>
    <row r="606" spans="1:1" x14ac:dyDescent="0.25">
      <c r="A606" s="22">
        <v>38957</v>
      </c>
    </row>
    <row r="607" spans="1:1" x14ac:dyDescent="0.25">
      <c r="A607" s="22">
        <v>38958</v>
      </c>
    </row>
    <row r="608" spans="1:1" x14ac:dyDescent="0.25">
      <c r="A608" s="22">
        <v>38959</v>
      </c>
    </row>
    <row r="609" spans="1:7" x14ac:dyDescent="0.25">
      <c r="A609" s="22">
        <v>38960</v>
      </c>
    </row>
    <row r="610" spans="1:7" x14ac:dyDescent="0.25">
      <c r="A610" s="22">
        <v>38961</v>
      </c>
      <c r="G610" s="38">
        <v>0</v>
      </c>
    </row>
    <row r="611" spans="1:7" x14ac:dyDescent="0.25">
      <c r="A611" s="22">
        <v>38962</v>
      </c>
      <c r="G611" s="38">
        <v>35.5</v>
      </c>
    </row>
    <row r="612" spans="1:7" x14ac:dyDescent="0.25">
      <c r="A612" s="22">
        <v>38963</v>
      </c>
      <c r="G612" s="38">
        <v>0.7</v>
      </c>
    </row>
    <row r="613" spans="1:7" x14ac:dyDescent="0.25">
      <c r="A613" s="22">
        <v>38964</v>
      </c>
      <c r="G613" s="38">
        <v>25.7</v>
      </c>
    </row>
    <row r="614" spans="1:7" x14ac:dyDescent="0.25">
      <c r="A614" s="22">
        <v>38965</v>
      </c>
      <c r="G614" s="38">
        <v>43.8</v>
      </c>
    </row>
    <row r="615" spans="1:7" x14ac:dyDescent="0.25">
      <c r="A615" s="22">
        <v>38966</v>
      </c>
      <c r="G615" s="38">
        <v>0</v>
      </c>
    </row>
    <row r="616" spans="1:7" x14ac:dyDescent="0.25">
      <c r="A616" s="22">
        <v>38967</v>
      </c>
      <c r="G616" s="38">
        <v>0</v>
      </c>
    </row>
    <row r="617" spans="1:7" x14ac:dyDescent="0.25">
      <c r="A617" s="22">
        <v>38968</v>
      </c>
      <c r="G617" s="38">
        <v>0</v>
      </c>
    </row>
    <row r="618" spans="1:7" x14ac:dyDescent="0.25">
      <c r="A618" s="22">
        <v>38969</v>
      </c>
      <c r="G618" s="38">
        <v>0</v>
      </c>
    </row>
    <row r="619" spans="1:7" x14ac:dyDescent="0.25">
      <c r="A619" s="22">
        <v>38970</v>
      </c>
      <c r="G619" s="38">
        <v>0</v>
      </c>
    </row>
    <row r="620" spans="1:7" x14ac:dyDescent="0.25">
      <c r="A620" s="22">
        <v>38971</v>
      </c>
      <c r="G620" s="38">
        <v>9.6999999999999993</v>
      </c>
    </row>
    <row r="621" spans="1:7" x14ac:dyDescent="0.25">
      <c r="A621" s="22">
        <v>38972</v>
      </c>
      <c r="G621" s="38">
        <v>70.099999999999994</v>
      </c>
    </row>
    <row r="622" spans="1:7" x14ac:dyDescent="0.25">
      <c r="A622" s="22">
        <v>38973</v>
      </c>
      <c r="G622" s="38">
        <v>57.4</v>
      </c>
    </row>
    <row r="623" spans="1:7" x14ac:dyDescent="0.25">
      <c r="A623" s="22">
        <v>38974</v>
      </c>
      <c r="G623" s="38">
        <v>41.1</v>
      </c>
    </row>
    <row r="624" spans="1:7" x14ac:dyDescent="0.25">
      <c r="A624" s="22">
        <v>38975</v>
      </c>
      <c r="G624" s="38">
        <v>0</v>
      </c>
    </row>
    <row r="625" spans="1:7" x14ac:dyDescent="0.25">
      <c r="A625" s="22">
        <v>38976</v>
      </c>
      <c r="G625" s="38">
        <v>0</v>
      </c>
    </row>
    <row r="626" spans="1:7" x14ac:dyDescent="0.25">
      <c r="A626" s="22">
        <v>38977</v>
      </c>
      <c r="G626" s="38">
        <v>0</v>
      </c>
    </row>
    <row r="627" spans="1:7" x14ac:dyDescent="0.25">
      <c r="A627" s="22">
        <v>38978</v>
      </c>
      <c r="G627" s="38">
        <v>0</v>
      </c>
    </row>
    <row r="628" spans="1:7" x14ac:dyDescent="0.25">
      <c r="A628" s="22">
        <v>38979</v>
      </c>
      <c r="G628" s="38">
        <v>0</v>
      </c>
    </row>
    <row r="629" spans="1:7" x14ac:dyDescent="0.25">
      <c r="A629" s="22">
        <v>38980</v>
      </c>
      <c r="G629" s="38">
        <v>0</v>
      </c>
    </row>
    <row r="630" spans="1:7" x14ac:dyDescent="0.25">
      <c r="A630" s="22">
        <v>38981</v>
      </c>
      <c r="G630" s="38">
        <v>1</v>
      </c>
    </row>
    <row r="631" spans="1:7" x14ac:dyDescent="0.25">
      <c r="A631" s="22">
        <v>38982</v>
      </c>
      <c r="G631" s="38">
        <v>0</v>
      </c>
    </row>
    <row r="632" spans="1:7" x14ac:dyDescent="0.25">
      <c r="A632" s="22">
        <v>38983</v>
      </c>
      <c r="G632" s="38">
        <v>6</v>
      </c>
    </row>
    <row r="633" spans="1:7" x14ac:dyDescent="0.25">
      <c r="A633" s="22">
        <v>38984</v>
      </c>
      <c r="G633" s="38">
        <v>13.2</v>
      </c>
    </row>
    <row r="634" spans="1:7" x14ac:dyDescent="0.25">
      <c r="A634" s="22">
        <v>38985</v>
      </c>
      <c r="G634" s="38">
        <v>4.4000000000000004</v>
      </c>
    </row>
    <row r="635" spans="1:7" x14ac:dyDescent="0.25">
      <c r="A635" s="22">
        <v>38986</v>
      </c>
      <c r="G635" s="38">
        <v>15.8</v>
      </c>
    </row>
    <row r="636" spans="1:7" x14ac:dyDescent="0.25">
      <c r="A636" s="22">
        <v>38987</v>
      </c>
      <c r="G636" s="38">
        <v>1</v>
      </c>
    </row>
    <row r="637" spans="1:7" x14ac:dyDescent="0.25">
      <c r="A637" s="22">
        <v>38988</v>
      </c>
      <c r="G637" s="38">
        <v>29.2</v>
      </c>
    </row>
    <row r="638" spans="1:7" x14ac:dyDescent="0.25">
      <c r="A638" s="22">
        <v>38989</v>
      </c>
      <c r="G638" s="38">
        <v>19.7</v>
      </c>
    </row>
    <row r="639" spans="1:7" x14ac:dyDescent="0.25">
      <c r="A639" s="22">
        <v>38990</v>
      </c>
      <c r="G639" s="38">
        <v>16.100000000000001</v>
      </c>
    </row>
    <row r="640" spans="1:7" x14ac:dyDescent="0.25">
      <c r="A640" s="22">
        <v>38991</v>
      </c>
      <c r="G640" s="38">
        <v>7.5</v>
      </c>
    </row>
    <row r="641" spans="1:7" x14ac:dyDescent="0.25">
      <c r="A641" s="22">
        <v>38992</v>
      </c>
      <c r="G641" s="38">
        <v>0</v>
      </c>
    </row>
    <row r="642" spans="1:7" x14ac:dyDescent="0.25">
      <c r="A642" s="22">
        <v>38993</v>
      </c>
      <c r="G642" s="38">
        <v>0</v>
      </c>
    </row>
    <row r="643" spans="1:7" x14ac:dyDescent="0.25">
      <c r="A643" s="22">
        <v>38994</v>
      </c>
      <c r="G643" s="38">
        <v>3.1</v>
      </c>
    </row>
    <row r="644" spans="1:7" x14ac:dyDescent="0.25">
      <c r="A644" s="22">
        <v>38995</v>
      </c>
      <c r="G644" s="38">
        <v>18.2</v>
      </c>
    </row>
    <row r="645" spans="1:7" x14ac:dyDescent="0.25">
      <c r="A645" s="22">
        <v>38996</v>
      </c>
      <c r="G645" s="38">
        <v>13.1</v>
      </c>
    </row>
    <row r="646" spans="1:7" x14ac:dyDescent="0.25">
      <c r="A646" s="22">
        <v>38997</v>
      </c>
      <c r="G646" s="38">
        <v>11.3</v>
      </c>
    </row>
    <row r="647" spans="1:7" x14ac:dyDescent="0.25">
      <c r="A647" s="22">
        <v>38998</v>
      </c>
      <c r="G647" s="38">
        <v>1.2</v>
      </c>
    </row>
    <row r="648" spans="1:7" x14ac:dyDescent="0.25">
      <c r="A648" s="22">
        <v>38999</v>
      </c>
      <c r="G648" s="38">
        <v>0</v>
      </c>
    </row>
    <row r="649" spans="1:7" x14ac:dyDescent="0.25">
      <c r="A649" s="22">
        <v>39000</v>
      </c>
      <c r="G649" s="38">
        <v>0</v>
      </c>
    </row>
    <row r="650" spans="1:7" x14ac:dyDescent="0.25">
      <c r="A650" s="22">
        <v>39001</v>
      </c>
      <c r="G650" s="38">
        <v>0</v>
      </c>
    </row>
    <row r="651" spans="1:7" x14ac:dyDescent="0.25">
      <c r="A651" s="22">
        <v>39002</v>
      </c>
      <c r="G651" s="38">
        <v>12.2</v>
      </c>
    </row>
    <row r="652" spans="1:7" x14ac:dyDescent="0.25">
      <c r="A652" s="22">
        <v>39003</v>
      </c>
      <c r="G652" s="38">
        <v>45.4</v>
      </c>
    </row>
    <row r="653" spans="1:7" x14ac:dyDescent="0.25">
      <c r="A653" s="22">
        <v>39004</v>
      </c>
      <c r="G653" s="38">
        <v>1.2</v>
      </c>
    </row>
    <row r="654" spans="1:7" x14ac:dyDescent="0.25">
      <c r="A654" s="22">
        <v>39005</v>
      </c>
      <c r="G654" s="38">
        <v>0</v>
      </c>
    </row>
    <row r="655" spans="1:7" x14ac:dyDescent="0.25">
      <c r="A655" s="22">
        <v>39006</v>
      </c>
      <c r="G655" s="38">
        <v>0</v>
      </c>
    </row>
    <row r="656" spans="1:7" x14ac:dyDescent="0.25">
      <c r="A656" s="22">
        <v>39007</v>
      </c>
      <c r="G656" s="38">
        <v>1.2</v>
      </c>
    </row>
    <row r="657" spans="1:7" x14ac:dyDescent="0.25">
      <c r="A657" s="22">
        <v>39008</v>
      </c>
      <c r="G657" s="38">
        <v>0</v>
      </c>
    </row>
    <row r="658" spans="1:7" x14ac:dyDescent="0.25">
      <c r="A658" s="22">
        <v>39009</v>
      </c>
      <c r="G658" s="38">
        <v>0</v>
      </c>
    </row>
    <row r="659" spans="1:7" x14ac:dyDescent="0.25">
      <c r="A659" s="22">
        <v>39010</v>
      </c>
      <c r="G659" s="38">
        <v>31.3</v>
      </c>
    </row>
    <row r="660" spans="1:7" x14ac:dyDescent="0.25">
      <c r="A660" s="22">
        <v>39011</v>
      </c>
      <c r="G660" s="38">
        <v>33.1</v>
      </c>
    </row>
    <row r="661" spans="1:7" x14ac:dyDescent="0.25">
      <c r="A661" s="22">
        <v>39012</v>
      </c>
      <c r="G661" s="38">
        <v>14.8</v>
      </c>
    </row>
    <row r="662" spans="1:7" x14ac:dyDescent="0.25">
      <c r="A662" s="22">
        <v>39013</v>
      </c>
      <c r="G662" s="38">
        <v>0</v>
      </c>
    </row>
    <row r="663" spans="1:7" x14ac:dyDescent="0.25">
      <c r="A663" s="22">
        <v>39014</v>
      </c>
      <c r="G663" s="38">
        <v>3.4</v>
      </c>
    </row>
    <row r="664" spans="1:7" x14ac:dyDescent="0.25">
      <c r="A664" s="22">
        <v>39015</v>
      </c>
      <c r="G664" s="38">
        <v>5.9</v>
      </c>
    </row>
    <row r="665" spans="1:7" x14ac:dyDescent="0.25">
      <c r="A665" s="22">
        <v>39016</v>
      </c>
      <c r="G665" s="38">
        <v>3.9</v>
      </c>
    </row>
    <row r="666" spans="1:7" x14ac:dyDescent="0.25">
      <c r="A666" s="22">
        <v>39017</v>
      </c>
      <c r="G666" s="38">
        <v>4.3</v>
      </c>
    </row>
    <row r="667" spans="1:7" x14ac:dyDescent="0.25">
      <c r="A667" s="22">
        <v>39018</v>
      </c>
      <c r="G667" s="38">
        <v>5.4</v>
      </c>
    </row>
    <row r="668" spans="1:7" x14ac:dyDescent="0.25">
      <c r="A668" s="22">
        <v>39019</v>
      </c>
      <c r="G668" s="38">
        <v>50.6</v>
      </c>
    </row>
    <row r="669" spans="1:7" x14ac:dyDescent="0.25">
      <c r="A669" s="22">
        <v>39020</v>
      </c>
      <c r="G669" s="38">
        <v>0</v>
      </c>
    </row>
    <row r="670" spans="1:7" x14ac:dyDescent="0.25">
      <c r="A670" s="22">
        <v>39021</v>
      </c>
      <c r="G670" s="38">
        <v>18.2</v>
      </c>
    </row>
    <row r="671" spans="1:7" x14ac:dyDescent="0.25">
      <c r="A671" s="22">
        <v>39022</v>
      </c>
    </row>
    <row r="672" spans="1:7" x14ac:dyDescent="0.25">
      <c r="A672" s="22">
        <v>39023</v>
      </c>
    </row>
    <row r="673" spans="1:1" x14ac:dyDescent="0.25">
      <c r="A673" s="22">
        <v>39024</v>
      </c>
    </row>
    <row r="674" spans="1:1" x14ac:dyDescent="0.25">
      <c r="A674" s="22">
        <v>39025</v>
      </c>
    </row>
    <row r="675" spans="1:1" x14ac:dyDescent="0.25">
      <c r="A675" s="22">
        <v>39026</v>
      </c>
    </row>
    <row r="676" spans="1:1" x14ac:dyDescent="0.25">
      <c r="A676" s="22">
        <v>39027</v>
      </c>
    </row>
    <row r="677" spans="1:1" x14ac:dyDescent="0.25">
      <c r="A677" s="22">
        <v>39028</v>
      </c>
    </row>
    <row r="678" spans="1:1" x14ac:dyDescent="0.25">
      <c r="A678" s="22">
        <v>39029</v>
      </c>
    </row>
    <row r="679" spans="1:1" x14ac:dyDescent="0.25">
      <c r="A679" s="22">
        <v>39030</v>
      </c>
    </row>
    <row r="680" spans="1:1" x14ac:dyDescent="0.25">
      <c r="A680" s="22">
        <v>39031</v>
      </c>
    </row>
    <row r="681" spans="1:1" x14ac:dyDescent="0.25">
      <c r="A681" s="22">
        <v>39032</v>
      </c>
    </row>
    <row r="682" spans="1:1" x14ac:dyDescent="0.25">
      <c r="A682" s="22">
        <v>39033</v>
      </c>
    </row>
    <row r="683" spans="1:1" x14ac:dyDescent="0.25">
      <c r="A683" s="22">
        <v>39034</v>
      </c>
    </row>
    <row r="684" spans="1:1" x14ac:dyDescent="0.25">
      <c r="A684" s="22">
        <v>39035</v>
      </c>
    </row>
    <row r="685" spans="1:1" x14ac:dyDescent="0.25">
      <c r="A685" s="22">
        <v>39036</v>
      </c>
    </row>
    <row r="686" spans="1:1" x14ac:dyDescent="0.25">
      <c r="A686" s="22">
        <v>39037</v>
      </c>
    </row>
    <row r="687" spans="1:1" x14ac:dyDescent="0.25">
      <c r="A687" s="22">
        <v>39038</v>
      </c>
    </row>
    <row r="688" spans="1:1" x14ac:dyDescent="0.25">
      <c r="A688" s="22">
        <v>39039</v>
      </c>
    </row>
    <row r="689" spans="1:1" x14ac:dyDescent="0.25">
      <c r="A689" s="22">
        <v>39040</v>
      </c>
    </row>
    <row r="690" spans="1:1" x14ac:dyDescent="0.25">
      <c r="A690" s="22">
        <v>39041</v>
      </c>
    </row>
    <row r="691" spans="1:1" x14ac:dyDescent="0.25">
      <c r="A691" s="22">
        <v>39042</v>
      </c>
    </row>
    <row r="692" spans="1:1" x14ac:dyDescent="0.25">
      <c r="A692" s="22">
        <v>39043</v>
      </c>
    </row>
    <row r="693" spans="1:1" x14ac:dyDescent="0.25">
      <c r="A693" s="22">
        <v>39044</v>
      </c>
    </row>
    <row r="694" spans="1:1" x14ac:dyDescent="0.25">
      <c r="A694" s="22">
        <v>39045</v>
      </c>
    </row>
    <row r="695" spans="1:1" x14ac:dyDescent="0.25">
      <c r="A695" s="22">
        <v>39046</v>
      </c>
    </row>
    <row r="696" spans="1:1" x14ac:dyDescent="0.25">
      <c r="A696" s="22">
        <v>39047</v>
      </c>
    </row>
    <row r="697" spans="1:1" x14ac:dyDescent="0.25">
      <c r="A697" s="22">
        <v>39048</v>
      </c>
    </row>
    <row r="698" spans="1:1" x14ac:dyDescent="0.25">
      <c r="A698" s="22">
        <v>39049</v>
      </c>
    </row>
    <row r="699" spans="1:1" x14ac:dyDescent="0.25">
      <c r="A699" s="22">
        <v>39050</v>
      </c>
    </row>
    <row r="700" spans="1:1" x14ac:dyDescent="0.25">
      <c r="A700" s="22">
        <v>39051</v>
      </c>
    </row>
    <row r="701" spans="1:1" x14ac:dyDescent="0.25">
      <c r="A701" s="22">
        <v>39052</v>
      </c>
    </row>
    <row r="702" spans="1:1" x14ac:dyDescent="0.25">
      <c r="A702" s="22">
        <v>39053</v>
      </c>
    </row>
    <row r="703" spans="1:1" x14ac:dyDescent="0.25">
      <c r="A703" s="22">
        <v>39054</v>
      </c>
    </row>
    <row r="704" spans="1:1" x14ac:dyDescent="0.25">
      <c r="A704" s="22">
        <v>39055</v>
      </c>
    </row>
    <row r="705" spans="1:1" x14ac:dyDescent="0.25">
      <c r="A705" s="22">
        <v>39056</v>
      </c>
    </row>
    <row r="706" spans="1:1" x14ac:dyDescent="0.25">
      <c r="A706" s="22">
        <v>39057</v>
      </c>
    </row>
    <row r="707" spans="1:1" x14ac:dyDescent="0.25">
      <c r="A707" s="22">
        <v>39058</v>
      </c>
    </row>
    <row r="708" spans="1:1" x14ac:dyDescent="0.25">
      <c r="A708" s="22">
        <v>39059</v>
      </c>
    </row>
    <row r="709" spans="1:1" x14ac:dyDescent="0.25">
      <c r="A709" s="22">
        <v>39060</v>
      </c>
    </row>
    <row r="710" spans="1:1" x14ac:dyDescent="0.25">
      <c r="A710" s="22">
        <v>39061</v>
      </c>
    </row>
    <row r="711" spans="1:1" x14ac:dyDescent="0.25">
      <c r="A711" s="22">
        <v>39062</v>
      </c>
    </row>
    <row r="712" spans="1:1" x14ac:dyDescent="0.25">
      <c r="A712" s="22">
        <v>39063</v>
      </c>
    </row>
    <row r="713" spans="1:1" x14ac:dyDescent="0.25">
      <c r="A713" s="22">
        <v>39064</v>
      </c>
    </row>
    <row r="714" spans="1:1" x14ac:dyDescent="0.25">
      <c r="A714" s="22">
        <v>39065</v>
      </c>
    </row>
    <row r="715" spans="1:1" x14ac:dyDescent="0.25">
      <c r="A715" s="22">
        <v>39066</v>
      </c>
    </row>
    <row r="716" spans="1:1" x14ac:dyDescent="0.25">
      <c r="A716" s="22">
        <v>39067</v>
      </c>
    </row>
    <row r="717" spans="1:1" x14ac:dyDescent="0.25">
      <c r="A717" s="22">
        <v>39068</v>
      </c>
    </row>
    <row r="718" spans="1:1" x14ac:dyDescent="0.25">
      <c r="A718" s="22">
        <v>39069</v>
      </c>
    </row>
    <row r="719" spans="1:1" x14ac:dyDescent="0.25">
      <c r="A719" s="22">
        <v>39070</v>
      </c>
    </row>
    <row r="720" spans="1:1" x14ac:dyDescent="0.25">
      <c r="A720" s="22">
        <v>39071</v>
      </c>
    </row>
    <row r="721" spans="1:7" x14ac:dyDescent="0.25">
      <c r="A721" s="22">
        <v>39072</v>
      </c>
    </row>
    <row r="722" spans="1:7" x14ac:dyDescent="0.25">
      <c r="A722" s="22">
        <v>39073</v>
      </c>
    </row>
    <row r="723" spans="1:7" x14ac:dyDescent="0.25">
      <c r="A723" s="22">
        <v>39074</v>
      </c>
    </row>
    <row r="724" spans="1:7" x14ac:dyDescent="0.25">
      <c r="A724" s="22">
        <v>39075</v>
      </c>
    </row>
    <row r="725" spans="1:7" x14ac:dyDescent="0.25">
      <c r="A725" s="22">
        <v>39076</v>
      </c>
    </row>
    <row r="726" spans="1:7" x14ac:dyDescent="0.25">
      <c r="A726" s="22">
        <v>39077</v>
      </c>
    </row>
    <row r="727" spans="1:7" x14ac:dyDescent="0.25">
      <c r="A727" s="22">
        <v>39078</v>
      </c>
    </row>
    <row r="728" spans="1:7" x14ac:dyDescent="0.25">
      <c r="A728" s="22">
        <v>39079</v>
      </c>
    </row>
    <row r="729" spans="1:7" x14ac:dyDescent="0.25">
      <c r="A729" s="22">
        <v>39080</v>
      </c>
    </row>
    <row r="730" spans="1:7" x14ac:dyDescent="0.25">
      <c r="A730" s="22">
        <v>39081</v>
      </c>
    </row>
    <row r="731" spans="1:7" x14ac:dyDescent="0.25">
      <c r="A731" s="22">
        <v>39082</v>
      </c>
    </row>
    <row r="732" spans="1:7" x14ac:dyDescent="0.25">
      <c r="A732" s="22">
        <v>39083</v>
      </c>
      <c r="G732" s="33"/>
    </row>
    <row r="733" spans="1:7" x14ac:dyDescent="0.25">
      <c r="A733" s="22">
        <v>39084</v>
      </c>
      <c r="G733" s="33"/>
    </row>
    <row r="734" spans="1:7" x14ac:dyDescent="0.25">
      <c r="A734" s="22">
        <v>39085</v>
      </c>
      <c r="G734" s="33"/>
    </row>
    <row r="735" spans="1:7" x14ac:dyDescent="0.25">
      <c r="A735" s="22">
        <v>39086</v>
      </c>
      <c r="G735" s="33"/>
    </row>
    <row r="736" spans="1:7" x14ac:dyDescent="0.25">
      <c r="A736" s="22">
        <v>39087</v>
      </c>
      <c r="G736" s="33"/>
    </row>
    <row r="737" spans="1:7" x14ac:dyDescent="0.25">
      <c r="A737" s="22">
        <v>39088</v>
      </c>
      <c r="G737" s="33"/>
    </row>
    <row r="738" spans="1:7" x14ac:dyDescent="0.25">
      <c r="A738" s="22">
        <v>39089</v>
      </c>
      <c r="G738" s="33"/>
    </row>
    <row r="739" spans="1:7" x14ac:dyDescent="0.25">
      <c r="A739" s="22">
        <v>39090</v>
      </c>
      <c r="G739" s="33"/>
    </row>
    <row r="740" spans="1:7" x14ac:dyDescent="0.25">
      <c r="A740" s="22">
        <v>39091</v>
      </c>
      <c r="G740" s="33"/>
    </row>
    <row r="741" spans="1:7" x14ac:dyDescent="0.25">
      <c r="A741" s="22">
        <v>39092</v>
      </c>
      <c r="G741" s="33"/>
    </row>
    <row r="742" spans="1:7" x14ac:dyDescent="0.25">
      <c r="A742" s="22">
        <v>39093</v>
      </c>
      <c r="G742" s="33"/>
    </row>
    <row r="743" spans="1:7" x14ac:dyDescent="0.25">
      <c r="A743" s="22">
        <v>39094</v>
      </c>
      <c r="G743" s="33"/>
    </row>
    <row r="744" spans="1:7" x14ac:dyDescent="0.25">
      <c r="A744" s="22">
        <v>39095</v>
      </c>
      <c r="G744" s="33"/>
    </row>
    <row r="745" spans="1:7" x14ac:dyDescent="0.25">
      <c r="A745" s="22">
        <v>39096</v>
      </c>
      <c r="G745" s="33"/>
    </row>
    <row r="746" spans="1:7" x14ac:dyDescent="0.25">
      <c r="A746" s="22">
        <v>39097</v>
      </c>
      <c r="G746" s="33"/>
    </row>
    <row r="747" spans="1:7" x14ac:dyDescent="0.25">
      <c r="A747" s="22">
        <v>39098</v>
      </c>
      <c r="G747" s="33"/>
    </row>
    <row r="748" spans="1:7" x14ac:dyDescent="0.25">
      <c r="A748" s="22">
        <v>39099</v>
      </c>
      <c r="G748" s="33"/>
    </row>
    <row r="749" spans="1:7" x14ac:dyDescent="0.25">
      <c r="A749" s="22">
        <v>39100</v>
      </c>
      <c r="G749" s="33"/>
    </row>
    <row r="750" spans="1:7" x14ac:dyDescent="0.25">
      <c r="A750" s="22">
        <v>39101</v>
      </c>
      <c r="G750" s="33"/>
    </row>
    <row r="751" spans="1:7" x14ac:dyDescent="0.25">
      <c r="A751" s="22">
        <v>39102</v>
      </c>
      <c r="G751" s="33"/>
    </row>
    <row r="752" spans="1:7" x14ac:dyDescent="0.25">
      <c r="A752" s="22">
        <v>39103</v>
      </c>
      <c r="G752" s="33"/>
    </row>
    <row r="753" spans="1:7" x14ac:dyDescent="0.25">
      <c r="A753" s="22">
        <v>39104</v>
      </c>
      <c r="G753" s="33"/>
    </row>
    <row r="754" spans="1:7" x14ac:dyDescent="0.25">
      <c r="A754" s="22">
        <v>39105</v>
      </c>
      <c r="G754" s="33"/>
    </row>
    <row r="755" spans="1:7" x14ac:dyDescent="0.25">
      <c r="A755" s="22">
        <v>39106</v>
      </c>
      <c r="G755" s="33"/>
    </row>
    <row r="756" spans="1:7" x14ac:dyDescent="0.25">
      <c r="A756" s="22">
        <v>39107</v>
      </c>
      <c r="G756" s="33"/>
    </row>
    <row r="757" spans="1:7" x14ac:dyDescent="0.25">
      <c r="A757" s="22">
        <v>39108</v>
      </c>
      <c r="G757" s="33"/>
    </row>
    <row r="758" spans="1:7" x14ac:dyDescent="0.25">
      <c r="A758" s="22">
        <v>39109</v>
      </c>
      <c r="G758" s="33"/>
    </row>
    <row r="759" spans="1:7" x14ac:dyDescent="0.25">
      <c r="A759" s="22">
        <v>39110</v>
      </c>
      <c r="G759" s="33"/>
    </row>
    <row r="760" spans="1:7" x14ac:dyDescent="0.25">
      <c r="A760" s="22">
        <v>39111</v>
      </c>
      <c r="G760" s="33"/>
    </row>
    <row r="761" spans="1:7" x14ac:dyDescent="0.25">
      <c r="A761" s="22">
        <v>39112</v>
      </c>
      <c r="G761" s="33"/>
    </row>
    <row r="762" spans="1:7" x14ac:dyDescent="0.25">
      <c r="A762" s="22">
        <v>39113</v>
      </c>
      <c r="G762" s="33"/>
    </row>
    <row r="763" spans="1:7" x14ac:dyDescent="0.25">
      <c r="A763" s="22">
        <v>39114</v>
      </c>
      <c r="G763" s="24"/>
    </row>
    <row r="764" spans="1:7" x14ac:dyDescent="0.25">
      <c r="A764" s="22">
        <v>39115</v>
      </c>
      <c r="G764" s="24"/>
    </row>
    <row r="765" spans="1:7" x14ac:dyDescent="0.25">
      <c r="A765" s="22">
        <v>39116</v>
      </c>
      <c r="G765" s="24"/>
    </row>
    <row r="766" spans="1:7" x14ac:dyDescent="0.25">
      <c r="A766" s="22">
        <v>39117</v>
      </c>
      <c r="G766" s="24"/>
    </row>
    <row r="767" spans="1:7" x14ac:dyDescent="0.25">
      <c r="A767" s="22">
        <v>39118</v>
      </c>
      <c r="G767" s="25"/>
    </row>
    <row r="768" spans="1:7" x14ac:dyDescent="0.25">
      <c r="A768" s="22">
        <v>39119</v>
      </c>
      <c r="G768" s="24"/>
    </row>
    <row r="769" spans="1:7" x14ac:dyDescent="0.25">
      <c r="A769" s="22">
        <v>39120</v>
      </c>
      <c r="G769" s="24"/>
    </row>
    <row r="770" spans="1:7" x14ac:dyDescent="0.25">
      <c r="A770" s="22">
        <v>39121</v>
      </c>
      <c r="G770" s="25"/>
    </row>
    <row r="771" spans="1:7" x14ac:dyDescent="0.25">
      <c r="A771" s="22">
        <v>39122</v>
      </c>
      <c r="G771" s="24"/>
    </row>
    <row r="772" spans="1:7" x14ac:dyDescent="0.25">
      <c r="A772" s="22">
        <v>39123</v>
      </c>
      <c r="G772" s="24"/>
    </row>
    <row r="773" spans="1:7" x14ac:dyDescent="0.25">
      <c r="A773" s="22">
        <v>39124</v>
      </c>
      <c r="G773" s="24"/>
    </row>
    <row r="774" spans="1:7" x14ac:dyDescent="0.25">
      <c r="A774" s="22">
        <v>39125</v>
      </c>
      <c r="G774" s="24"/>
    </row>
    <row r="775" spans="1:7" x14ac:dyDescent="0.25">
      <c r="A775" s="22">
        <v>39126</v>
      </c>
      <c r="G775" s="25"/>
    </row>
    <row r="776" spans="1:7" x14ac:dyDescent="0.25">
      <c r="A776" s="22">
        <v>39127</v>
      </c>
      <c r="G776" s="25"/>
    </row>
    <row r="777" spans="1:7" x14ac:dyDescent="0.25">
      <c r="A777" s="22">
        <v>39128</v>
      </c>
      <c r="G777" s="25"/>
    </row>
    <row r="778" spans="1:7" x14ac:dyDescent="0.25">
      <c r="A778" s="22">
        <v>39129</v>
      </c>
      <c r="G778" s="25"/>
    </row>
    <row r="779" spans="1:7" x14ac:dyDescent="0.25">
      <c r="A779" s="22">
        <v>39130</v>
      </c>
      <c r="G779" s="24"/>
    </row>
    <row r="780" spans="1:7" x14ac:dyDescent="0.25">
      <c r="A780" s="22">
        <v>39131</v>
      </c>
      <c r="G780" s="24"/>
    </row>
    <row r="781" spans="1:7" x14ac:dyDescent="0.25">
      <c r="A781" s="22">
        <v>39132</v>
      </c>
      <c r="G781" s="25"/>
    </row>
    <row r="782" spans="1:7" x14ac:dyDescent="0.25">
      <c r="A782" s="22">
        <v>39133</v>
      </c>
      <c r="G782" s="25"/>
    </row>
    <row r="783" spans="1:7" x14ac:dyDescent="0.25">
      <c r="A783" s="22">
        <v>39134</v>
      </c>
      <c r="G783" s="24"/>
    </row>
    <row r="784" spans="1:7" x14ac:dyDescent="0.25">
      <c r="A784" s="22">
        <v>39135</v>
      </c>
      <c r="G784" s="24"/>
    </row>
    <row r="785" spans="1:7" x14ac:dyDescent="0.25">
      <c r="A785" s="22">
        <v>39136</v>
      </c>
      <c r="G785" s="24"/>
    </row>
    <row r="786" spans="1:7" x14ac:dyDescent="0.25">
      <c r="A786" s="22">
        <v>39137</v>
      </c>
      <c r="G786" s="24"/>
    </row>
    <row r="787" spans="1:7" x14ac:dyDescent="0.25">
      <c r="A787" s="22">
        <v>39138</v>
      </c>
      <c r="G787" s="24"/>
    </row>
    <row r="788" spans="1:7" x14ac:dyDescent="0.25">
      <c r="A788" s="22">
        <v>39139</v>
      </c>
      <c r="G788" s="24"/>
    </row>
    <row r="789" spans="1:7" x14ac:dyDescent="0.25">
      <c r="A789" s="22">
        <v>39140</v>
      </c>
      <c r="G789" s="24"/>
    </row>
    <row r="790" spans="1:7" x14ac:dyDescent="0.25">
      <c r="A790" s="22">
        <v>39141</v>
      </c>
      <c r="G790" s="24"/>
    </row>
    <row r="791" spans="1:7" x14ac:dyDescent="0.25">
      <c r="A791" s="22">
        <v>39142</v>
      </c>
      <c r="G791" s="33">
        <v>0</v>
      </c>
    </row>
    <row r="792" spans="1:7" x14ac:dyDescent="0.25">
      <c r="A792" s="22">
        <v>39143</v>
      </c>
      <c r="G792" s="33">
        <v>0</v>
      </c>
    </row>
    <row r="793" spans="1:7" x14ac:dyDescent="0.25">
      <c r="A793" s="22">
        <v>39144</v>
      </c>
      <c r="G793" s="33">
        <v>0</v>
      </c>
    </row>
    <row r="794" spans="1:7" x14ac:dyDescent="0.25">
      <c r="A794" s="22">
        <v>39145</v>
      </c>
      <c r="G794" s="33">
        <v>0</v>
      </c>
    </row>
    <row r="795" spans="1:7" x14ac:dyDescent="0.25">
      <c r="A795" s="22">
        <v>39146</v>
      </c>
      <c r="G795" s="33">
        <v>0</v>
      </c>
    </row>
    <row r="796" spans="1:7" x14ac:dyDescent="0.25">
      <c r="A796" s="22">
        <v>39147</v>
      </c>
      <c r="G796" s="33">
        <v>0</v>
      </c>
    </row>
    <row r="797" spans="1:7" x14ac:dyDescent="0.25">
      <c r="A797" s="22">
        <v>39148</v>
      </c>
      <c r="G797" s="33">
        <v>0</v>
      </c>
    </row>
    <row r="798" spans="1:7" x14ac:dyDescent="0.25">
      <c r="A798" s="22">
        <v>39149</v>
      </c>
      <c r="G798" s="33">
        <v>0</v>
      </c>
    </row>
    <row r="799" spans="1:7" x14ac:dyDescent="0.25">
      <c r="A799" s="22">
        <v>39150</v>
      </c>
      <c r="G799" s="33">
        <v>0</v>
      </c>
    </row>
    <row r="800" spans="1:7" x14ac:dyDescent="0.25">
      <c r="A800" s="22">
        <v>39151</v>
      </c>
      <c r="G800" s="33">
        <v>0</v>
      </c>
    </row>
    <row r="801" spans="1:7" x14ac:dyDescent="0.25">
      <c r="A801" s="22">
        <v>39152</v>
      </c>
      <c r="G801" s="33">
        <v>8.1</v>
      </c>
    </row>
    <row r="802" spans="1:7" x14ac:dyDescent="0.25">
      <c r="A802" s="22">
        <v>39153</v>
      </c>
      <c r="G802" s="33">
        <v>3</v>
      </c>
    </row>
    <row r="803" spans="1:7" x14ac:dyDescent="0.25">
      <c r="A803" s="22">
        <v>39154</v>
      </c>
      <c r="G803" s="33">
        <v>0</v>
      </c>
    </row>
    <row r="804" spans="1:7" x14ac:dyDescent="0.25">
      <c r="A804" s="22">
        <v>39155</v>
      </c>
      <c r="G804" s="33">
        <v>0</v>
      </c>
    </row>
    <row r="805" spans="1:7" x14ac:dyDescent="0.25">
      <c r="A805" s="22">
        <v>39156</v>
      </c>
      <c r="G805" s="33">
        <v>0</v>
      </c>
    </row>
    <row r="806" spans="1:7" x14ac:dyDescent="0.25">
      <c r="A806" s="22">
        <v>39157</v>
      </c>
      <c r="G806" s="33">
        <v>0</v>
      </c>
    </row>
    <row r="807" spans="1:7" x14ac:dyDescent="0.25">
      <c r="A807" s="22">
        <v>39158</v>
      </c>
      <c r="G807" s="33">
        <v>0</v>
      </c>
    </row>
    <row r="808" spans="1:7" x14ac:dyDescent="0.25">
      <c r="A808" s="22">
        <v>39159</v>
      </c>
      <c r="G808" s="33">
        <v>2.5</v>
      </c>
    </row>
    <row r="809" spans="1:7" x14ac:dyDescent="0.25">
      <c r="A809" s="22">
        <v>39160</v>
      </c>
      <c r="G809" s="33">
        <v>0</v>
      </c>
    </row>
    <row r="810" spans="1:7" x14ac:dyDescent="0.25">
      <c r="A810" s="22">
        <v>39161</v>
      </c>
      <c r="G810" s="33">
        <v>7.9</v>
      </c>
    </row>
    <row r="811" spans="1:7" x14ac:dyDescent="0.25">
      <c r="A811" s="22">
        <v>39162</v>
      </c>
      <c r="G811" s="33">
        <v>6</v>
      </c>
    </row>
    <row r="812" spans="1:7" x14ac:dyDescent="0.25">
      <c r="A812" s="22">
        <v>39163</v>
      </c>
      <c r="G812" s="33">
        <v>2.5</v>
      </c>
    </row>
    <row r="813" spans="1:7" x14ac:dyDescent="0.25">
      <c r="A813" s="22">
        <v>39164</v>
      </c>
      <c r="G813" s="33">
        <v>0</v>
      </c>
    </row>
    <row r="814" spans="1:7" x14ac:dyDescent="0.25">
      <c r="A814" s="22">
        <v>39165</v>
      </c>
      <c r="G814" s="33">
        <v>4</v>
      </c>
    </row>
    <row r="815" spans="1:7" x14ac:dyDescent="0.25">
      <c r="A815" s="22">
        <v>39166</v>
      </c>
      <c r="G815" s="33">
        <v>3.1</v>
      </c>
    </row>
    <row r="816" spans="1:7" x14ac:dyDescent="0.25">
      <c r="A816" s="22">
        <v>39167</v>
      </c>
      <c r="G816" s="33">
        <v>15.9</v>
      </c>
    </row>
    <row r="817" spans="1:7" x14ac:dyDescent="0.25">
      <c r="A817" s="22">
        <v>39168</v>
      </c>
      <c r="G817" s="33">
        <v>2.5</v>
      </c>
    </row>
    <row r="818" spans="1:7" x14ac:dyDescent="0.25">
      <c r="A818" s="22">
        <v>39169</v>
      </c>
      <c r="G818" s="33">
        <v>0</v>
      </c>
    </row>
    <row r="819" spans="1:7" x14ac:dyDescent="0.25">
      <c r="A819" s="22">
        <v>39170</v>
      </c>
      <c r="G819" s="33">
        <v>8</v>
      </c>
    </row>
    <row r="820" spans="1:7" x14ac:dyDescent="0.25">
      <c r="A820" s="22">
        <v>39171</v>
      </c>
      <c r="G820" s="33">
        <v>17</v>
      </c>
    </row>
    <row r="821" spans="1:7" x14ac:dyDescent="0.25">
      <c r="A821" s="22">
        <v>39172</v>
      </c>
      <c r="G821" s="33">
        <v>0</v>
      </c>
    </row>
    <row r="822" spans="1:7" x14ac:dyDescent="0.25">
      <c r="A822" s="22">
        <v>39173</v>
      </c>
      <c r="G822" s="33">
        <v>1.9</v>
      </c>
    </row>
    <row r="823" spans="1:7" x14ac:dyDescent="0.25">
      <c r="A823" s="22">
        <v>39174</v>
      </c>
      <c r="G823" s="33">
        <v>24.2</v>
      </c>
    </row>
    <row r="824" spans="1:7" x14ac:dyDescent="0.25">
      <c r="A824" s="22">
        <v>39175</v>
      </c>
      <c r="G824" s="33">
        <v>2.9</v>
      </c>
    </row>
    <row r="825" spans="1:7" x14ac:dyDescent="0.25">
      <c r="A825" s="22">
        <v>39176</v>
      </c>
      <c r="G825" s="33">
        <v>8.4</v>
      </c>
    </row>
    <row r="826" spans="1:7" x14ac:dyDescent="0.25">
      <c r="A826" s="22">
        <v>39177</v>
      </c>
      <c r="G826" s="33">
        <v>4.3</v>
      </c>
    </row>
    <row r="827" spans="1:7" x14ac:dyDescent="0.25">
      <c r="A827" s="22">
        <v>39178</v>
      </c>
      <c r="G827" s="33">
        <v>0</v>
      </c>
    </row>
    <row r="828" spans="1:7" x14ac:dyDescent="0.25">
      <c r="A828" s="22">
        <v>39179</v>
      </c>
      <c r="G828" s="33">
        <v>0</v>
      </c>
    </row>
    <row r="829" spans="1:7" x14ac:dyDescent="0.25">
      <c r="A829" s="22">
        <v>39180</v>
      </c>
      <c r="G829" s="33">
        <v>0</v>
      </c>
    </row>
    <row r="830" spans="1:7" x14ac:dyDescent="0.25">
      <c r="A830" s="22">
        <v>39181</v>
      </c>
      <c r="G830" s="33">
        <v>7.1</v>
      </c>
    </row>
    <row r="831" spans="1:7" x14ac:dyDescent="0.25">
      <c r="A831" s="22">
        <v>39182</v>
      </c>
      <c r="G831" s="33">
        <v>0</v>
      </c>
    </row>
    <row r="832" spans="1:7" x14ac:dyDescent="0.25">
      <c r="A832" s="22">
        <v>39183</v>
      </c>
      <c r="G832" s="33">
        <v>0</v>
      </c>
    </row>
    <row r="833" spans="1:7" x14ac:dyDescent="0.25">
      <c r="A833" s="22">
        <v>39184</v>
      </c>
      <c r="G833" s="33">
        <v>0</v>
      </c>
    </row>
    <row r="834" spans="1:7" x14ac:dyDescent="0.25">
      <c r="A834" s="22">
        <v>39185</v>
      </c>
      <c r="G834" s="33">
        <v>1.5</v>
      </c>
    </row>
    <row r="835" spans="1:7" x14ac:dyDescent="0.25">
      <c r="A835" s="22">
        <v>39186</v>
      </c>
      <c r="G835" s="33">
        <v>0</v>
      </c>
    </row>
    <row r="836" spans="1:7" x14ac:dyDescent="0.25">
      <c r="A836" s="22">
        <v>39187</v>
      </c>
      <c r="G836" s="33">
        <v>0</v>
      </c>
    </row>
    <row r="837" spans="1:7" x14ac:dyDescent="0.25">
      <c r="A837" s="22">
        <v>39188</v>
      </c>
      <c r="G837" s="33">
        <v>0</v>
      </c>
    </row>
    <row r="838" spans="1:7" x14ac:dyDescent="0.25">
      <c r="A838" s="22">
        <v>39189</v>
      </c>
      <c r="G838" s="33">
        <v>0</v>
      </c>
    </row>
    <row r="839" spans="1:7" x14ac:dyDescent="0.25">
      <c r="A839" s="22">
        <v>39190</v>
      </c>
      <c r="G839" s="33">
        <v>0</v>
      </c>
    </row>
    <row r="840" spans="1:7" x14ac:dyDescent="0.25">
      <c r="A840" s="22">
        <v>39191</v>
      </c>
      <c r="G840" s="33">
        <v>0</v>
      </c>
    </row>
    <row r="841" spans="1:7" x14ac:dyDescent="0.25">
      <c r="A841" s="22">
        <v>39192</v>
      </c>
      <c r="G841" s="33">
        <v>0</v>
      </c>
    </row>
    <row r="842" spans="1:7" x14ac:dyDescent="0.25">
      <c r="A842" s="22">
        <v>39193</v>
      </c>
      <c r="G842" s="33">
        <v>0</v>
      </c>
    </row>
    <row r="843" spans="1:7" x14ac:dyDescent="0.25">
      <c r="A843" s="22">
        <v>39194</v>
      </c>
      <c r="G843" s="33">
        <v>0</v>
      </c>
    </row>
    <row r="844" spans="1:7" x14ac:dyDescent="0.25">
      <c r="A844" s="22">
        <v>39195</v>
      </c>
      <c r="G844" s="33">
        <v>0</v>
      </c>
    </row>
    <row r="845" spans="1:7" x14ac:dyDescent="0.25">
      <c r="A845" s="22">
        <v>39196</v>
      </c>
      <c r="G845" s="33">
        <v>0</v>
      </c>
    </row>
    <row r="846" spans="1:7" x14ac:dyDescent="0.25">
      <c r="A846" s="22">
        <v>39197</v>
      </c>
      <c r="G846" s="33">
        <v>4.2</v>
      </c>
    </row>
    <row r="847" spans="1:7" x14ac:dyDescent="0.25">
      <c r="A847" s="22">
        <v>39198</v>
      </c>
      <c r="G847" s="33">
        <v>4.3</v>
      </c>
    </row>
    <row r="848" spans="1:7" x14ac:dyDescent="0.25">
      <c r="A848" s="22">
        <v>39199</v>
      </c>
      <c r="G848" s="33">
        <v>4.7</v>
      </c>
    </row>
    <row r="849" spans="1:7" x14ac:dyDescent="0.25">
      <c r="A849" s="22">
        <v>39200</v>
      </c>
      <c r="G849" s="33">
        <v>11.2</v>
      </c>
    </row>
    <row r="850" spans="1:7" x14ac:dyDescent="0.25">
      <c r="A850" s="22">
        <v>39201</v>
      </c>
      <c r="G850" s="33">
        <v>3</v>
      </c>
    </row>
    <row r="851" spans="1:7" x14ac:dyDescent="0.25">
      <c r="A851" s="22">
        <v>39202</v>
      </c>
      <c r="G851" s="33">
        <v>1.9</v>
      </c>
    </row>
    <row r="852" spans="1:7" x14ac:dyDescent="0.25">
      <c r="A852" s="22">
        <v>39203</v>
      </c>
      <c r="G852" s="33">
        <v>0</v>
      </c>
    </row>
    <row r="853" spans="1:7" x14ac:dyDescent="0.25">
      <c r="A853" s="22">
        <v>39204</v>
      </c>
      <c r="G853" s="33">
        <v>0</v>
      </c>
    </row>
    <row r="854" spans="1:7" x14ac:dyDescent="0.25">
      <c r="A854" s="22">
        <v>39205</v>
      </c>
      <c r="G854" s="33">
        <v>0</v>
      </c>
    </row>
    <row r="855" spans="1:7" x14ac:dyDescent="0.25">
      <c r="A855" s="22">
        <v>39206</v>
      </c>
      <c r="G855" s="33">
        <v>0</v>
      </c>
    </row>
    <row r="856" spans="1:7" x14ac:dyDescent="0.25">
      <c r="A856" s="22">
        <v>39207</v>
      </c>
      <c r="G856" s="33">
        <v>0</v>
      </c>
    </row>
    <row r="857" spans="1:7" x14ac:dyDescent="0.25">
      <c r="A857" s="22">
        <v>39208</v>
      </c>
      <c r="G857" s="33">
        <v>0</v>
      </c>
    </row>
    <row r="858" spans="1:7" x14ac:dyDescent="0.25">
      <c r="A858" s="22">
        <v>39209</v>
      </c>
      <c r="G858" s="33">
        <v>0</v>
      </c>
    </row>
    <row r="859" spans="1:7" x14ac:dyDescent="0.25">
      <c r="A859" s="22">
        <v>39210</v>
      </c>
      <c r="G859" s="33">
        <v>0</v>
      </c>
    </row>
    <row r="860" spans="1:7" x14ac:dyDescent="0.25">
      <c r="A860" s="22">
        <v>39211</v>
      </c>
      <c r="G860" s="33">
        <v>0</v>
      </c>
    </row>
    <row r="861" spans="1:7" x14ac:dyDescent="0.25">
      <c r="A861" s="22">
        <v>39212</v>
      </c>
      <c r="G861" s="33">
        <v>0</v>
      </c>
    </row>
    <row r="862" spans="1:7" x14ac:dyDescent="0.25">
      <c r="A862" s="22">
        <v>39213</v>
      </c>
      <c r="G862" s="33">
        <v>0</v>
      </c>
    </row>
    <row r="863" spans="1:7" x14ac:dyDescent="0.25">
      <c r="A863" s="22">
        <v>39214</v>
      </c>
      <c r="G863" s="33">
        <v>0</v>
      </c>
    </row>
    <row r="864" spans="1:7" x14ac:dyDescent="0.25">
      <c r="A864" s="22">
        <v>39215</v>
      </c>
      <c r="G864" s="33">
        <v>0</v>
      </c>
    </row>
    <row r="865" spans="1:7" x14ac:dyDescent="0.25">
      <c r="A865" s="22">
        <v>39216</v>
      </c>
      <c r="G865" s="33">
        <v>0</v>
      </c>
    </row>
    <row r="866" spans="1:7" x14ac:dyDescent="0.25">
      <c r="A866" s="22">
        <v>39217</v>
      </c>
      <c r="G866" s="33">
        <v>0</v>
      </c>
    </row>
    <row r="867" spans="1:7" x14ac:dyDescent="0.25">
      <c r="A867" s="22">
        <v>39218</v>
      </c>
      <c r="G867" s="33">
        <v>0</v>
      </c>
    </row>
    <row r="868" spans="1:7" x14ac:dyDescent="0.25">
      <c r="A868" s="22">
        <v>39219</v>
      </c>
      <c r="G868" s="33">
        <v>0</v>
      </c>
    </row>
    <row r="869" spans="1:7" x14ac:dyDescent="0.25">
      <c r="A869" s="22">
        <v>39220</v>
      </c>
      <c r="G869" s="33">
        <v>0</v>
      </c>
    </row>
    <row r="870" spans="1:7" x14ac:dyDescent="0.25">
      <c r="A870" s="22">
        <v>39221</v>
      </c>
      <c r="G870" s="33">
        <v>0</v>
      </c>
    </row>
    <row r="871" spans="1:7" x14ac:dyDescent="0.25">
      <c r="A871" s="22">
        <v>39222</v>
      </c>
      <c r="G871" s="33">
        <v>8.9</v>
      </c>
    </row>
    <row r="872" spans="1:7" x14ac:dyDescent="0.25">
      <c r="A872" s="22">
        <v>39223</v>
      </c>
      <c r="G872" s="33">
        <v>0</v>
      </c>
    </row>
    <row r="873" spans="1:7" x14ac:dyDescent="0.25">
      <c r="A873" s="22">
        <v>39224</v>
      </c>
      <c r="G873" s="33">
        <v>0</v>
      </c>
    </row>
    <row r="874" spans="1:7" x14ac:dyDescent="0.25">
      <c r="A874" s="22">
        <v>39225</v>
      </c>
      <c r="G874" s="33">
        <v>6.2</v>
      </c>
    </row>
    <row r="875" spans="1:7" x14ac:dyDescent="0.25">
      <c r="A875" s="22">
        <v>39226</v>
      </c>
      <c r="G875" s="33">
        <v>0</v>
      </c>
    </row>
    <row r="876" spans="1:7" x14ac:dyDescent="0.25">
      <c r="A876" s="22">
        <v>39227</v>
      </c>
      <c r="G876" s="33">
        <v>0</v>
      </c>
    </row>
    <row r="877" spans="1:7" x14ac:dyDescent="0.25">
      <c r="A877" s="22">
        <v>39228</v>
      </c>
      <c r="G877" s="33">
        <v>1.6</v>
      </c>
    </row>
    <row r="878" spans="1:7" x14ac:dyDescent="0.25">
      <c r="A878" s="22">
        <v>39229</v>
      </c>
      <c r="G878" s="33">
        <v>6</v>
      </c>
    </row>
    <row r="879" spans="1:7" x14ac:dyDescent="0.25">
      <c r="A879" s="22">
        <v>39230</v>
      </c>
      <c r="G879" s="33">
        <v>30.4</v>
      </c>
    </row>
    <row r="880" spans="1:7" x14ac:dyDescent="0.25">
      <c r="A880" s="22">
        <v>39231</v>
      </c>
      <c r="G880" s="33">
        <v>6.2</v>
      </c>
    </row>
    <row r="881" spans="1:7" x14ac:dyDescent="0.25">
      <c r="A881" s="22">
        <v>39232</v>
      </c>
      <c r="G881" s="33">
        <v>0</v>
      </c>
    </row>
    <row r="882" spans="1:7" x14ac:dyDescent="0.25">
      <c r="A882" s="22">
        <v>39233</v>
      </c>
      <c r="G882" s="33">
        <v>1</v>
      </c>
    </row>
    <row r="883" spans="1:7" x14ac:dyDescent="0.25">
      <c r="A883" s="22">
        <v>39234</v>
      </c>
      <c r="G883" s="33">
        <v>25.7</v>
      </c>
    </row>
    <row r="884" spans="1:7" x14ac:dyDescent="0.25">
      <c r="A884" s="22">
        <v>39235</v>
      </c>
      <c r="G884" s="33">
        <v>2.8</v>
      </c>
    </row>
    <row r="885" spans="1:7" x14ac:dyDescent="0.25">
      <c r="A885" s="22">
        <v>39236</v>
      </c>
      <c r="G885" s="33">
        <v>6.3</v>
      </c>
    </row>
    <row r="886" spans="1:7" x14ac:dyDescent="0.25">
      <c r="A886" s="22">
        <v>39237</v>
      </c>
      <c r="G886" s="33">
        <v>0</v>
      </c>
    </row>
    <row r="887" spans="1:7" x14ac:dyDescent="0.25">
      <c r="A887" s="22">
        <v>39238</v>
      </c>
      <c r="G887" s="33">
        <v>3.8</v>
      </c>
    </row>
    <row r="888" spans="1:7" x14ac:dyDescent="0.25">
      <c r="A888" s="22">
        <v>39239</v>
      </c>
      <c r="G888" s="33">
        <v>19.399999999999999</v>
      </c>
    </row>
    <row r="889" spans="1:7" x14ac:dyDescent="0.25">
      <c r="A889" s="22">
        <v>39240</v>
      </c>
      <c r="G889" s="33">
        <v>5.4</v>
      </c>
    </row>
    <row r="890" spans="1:7" x14ac:dyDescent="0.25">
      <c r="A890" s="22">
        <v>39241</v>
      </c>
      <c r="G890" s="33">
        <v>7.5</v>
      </c>
    </row>
    <row r="891" spans="1:7" x14ac:dyDescent="0.25">
      <c r="A891" s="22">
        <v>39242</v>
      </c>
      <c r="G891" s="33">
        <v>7.9</v>
      </c>
    </row>
    <row r="892" spans="1:7" x14ac:dyDescent="0.25">
      <c r="A892" s="22">
        <v>39243</v>
      </c>
      <c r="G892" s="33">
        <v>7.88</v>
      </c>
    </row>
    <row r="893" spans="1:7" x14ac:dyDescent="0.25">
      <c r="A893" s="22">
        <v>39244</v>
      </c>
      <c r="G893" s="33">
        <v>0</v>
      </c>
    </row>
    <row r="894" spans="1:7" x14ac:dyDescent="0.25">
      <c r="A894" s="22">
        <v>39245</v>
      </c>
      <c r="G894" s="33">
        <v>0</v>
      </c>
    </row>
    <row r="895" spans="1:7" x14ac:dyDescent="0.25">
      <c r="A895" s="22">
        <v>39246</v>
      </c>
      <c r="G895" s="33">
        <v>13.7</v>
      </c>
    </row>
    <row r="896" spans="1:7" x14ac:dyDescent="0.25">
      <c r="A896" s="22">
        <v>39247</v>
      </c>
      <c r="G896" s="33">
        <v>8.1</v>
      </c>
    </row>
    <row r="897" spans="1:7" x14ac:dyDescent="0.25">
      <c r="A897" s="22">
        <v>39248</v>
      </c>
      <c r="G897" s="33">
        <v>0</v>
      </c>
    </row>
    <row r="898" spans="1:7" x14ac:dyDescent="0.25">
      <c r="A898" s="22">
        <v>39249</v>
      </c>
      <c r="G898" s="33">
        <v>17.100000000000001</v>
      </c>
    </row>
    <row r="899" spans="1:7" x14ac:dyDescent="0.25">
      <c r="A899" s="22">
        <v>39250</v>
      </c>
      <c r="G899" s="33">
        <v>0</v>
      </c>
    </row>
    <row r="900" spans="1:7" x14ac:dyDescent="0.25">
      <c r="A900" s="22">
        <v>39251</v>
      </c>
      <c r="G900" s="33">
        <v>8.6999999999999993</v>
      </c>
    </row>
    <row r="901" spans="1:7" x14ac:dyDescent="0.25">
      <c r="A901" s="22">
        <v>39252</v>
      </c>
      <c r="G901" s="33">
        <v>8.1999999999999993</v>
      </c>
    </row>
    <row r="902" spans="1:7" x14ac:dyDescent="0.25">
      <c r="A902" s="22">
        <v>39253</v>
      </c>
      <c r="G902" s="33">
        <v>1.9</v>
      </c>
    </row>
    <row r="903" spans="1:7" x14ac:dyDescent="0.25">
      <c r="A903" s="22">
        <v>39254</v>
      </c>
      <c r="G903" s="33">
        <v>1.8</v>
      </c>
    </row>
    <row r="904" spans="1:7" x14ac:dyDescent="0.25">
      <c r="A904" s="22">
        <v>39255</v>
      </c>
      <c r="G904" s="33">
        <v>7.5</v>
      </c>
    </row>
    <row r="905" spans="1:7" x14ac:dyDescent="0.25">
      <c r="A905" s="22">
        <v>39256</v>
      </c>
      <c r="G905" s="33">
        <v>3.4</v>
      </c>
    </row>
    <row r="906" spans="1:7" x14ac:dyDescent="0.25">
      <c r="A906" s="22">
        <v>39257</v>
      </c>
      <c r="G906" s="33">
        <v>1.5</v>
      </c>
    </row>
    <row r="907" spans="1:7" x14ac:dyDescent="0.25">
      <c r="A907" s="22">
        <v>39258</v>
      </c>
      <c r="G907" s="33">
        <v>3.6</v>
      </c>
    </row>
    <row r="908" spans="1:7" x14ac:dyDescent="0.25">
      <c r="A908" s="22">
        <v>39259</v>
      </c>
      <c r="G908" s="33">
        <v>8.1</v>
      </c>
    </row>
    <row r="909" spans="1:7" x14ac:dyDescent="0.25">
      <c r="A909" s="22">
        <v>39260</v>
      </c>
      <c r="G909" s="33">
        <v>0</v>
      </c>
    </row>
    <row r="910" spans="1:7" x14ac:dyDescent="0.25">
      <c r="A910" s="22">
        <v>39261</v>
      </c>
      <c r="G910" s="33">
        <v>21.5</v>
      </c>
    </row>
    <row r="911" spans="1:7" x14ac:dyDescent="0.25">
      <c r="A911" s="22">
        <v>39262</v>
      </c>
      <c r="G911" s="33">
        <v>11.1</v>
      </c>
    </row>
    <row r="912" spans="1:7" x14ac:dyDescent="0.25">
      <c r="A912" s="22">
        <v>39263</v>
      </c>
      <c r="G912" s="33">
        <v>3.5</v>
      </c>
    </row>
    <row r="913" spans="1:7" x14ac:dyDescent="0.25">
      <c r="A913" s="22">
        <v>39264</v>
      </c>
      <c r="G913" s="33">
        <v>0</v>
      </c>
    </row>
    <row r="914" spans="1:7" x14ac:dyDescent="0.25">
      <c r="A914" s="22">
        <v>39265</v>
      </c>
      <c r="G914" s="33">
        <v>3.2</v>
      </c>
    </row>
    <row r="915" spans="1:7" x14ac:dyDescent="0.25">
      <c r="A915" s="22">
        <v>39266</v>
      </c>
      <c r="G915" s="33">
        <v>0.7</v>
      </c>
    </row>
    <row r="916" spans="1:7" x14ac:dyDescent="0.25">
      <c r="A916" s="22">
        <v>39267</v>
      </c>
      <c r="G916" s="33">
        <v>3.8</v>
      </c>
    </row>
    <row r="917" spans="1:7" x14ac:dyDescent="0.25">
      <c r="A917" s="22">
        <v>39268</v>
      </c>
      <c r="G917" s="33">
        <v>1.3</v>
      </c>
    </row>
    <row r="918" spans="1:7" x14ac:dyDescent="0.25">
      <c r="A918" s="22">
        <v>39269</v>
      </c>
      <c r="G918" s="33">
        <v>0.5</v>
      </c>
    </row>
    <row r="919" spans="1:7" x14ac:dyDescent="0.25">
      <c r="A919" s="22">
        <v>39270</v>
      </c>
      <c r="G919" s="33">
        <v>0</v>
      </c>
    </row>
    <row r="920" spans="1:7" x14ac:dyDescent="0.25">
      <c r="A920" s="22">
        <v>39271</v>
      </c>
      <c r="G920" s="33">
        <v>0</v>
      </c>
    </row>
    <row r="921" spans="1:7" x14ac:dyDescent="0.25">
      <c r="A921" s="22">
        <v>39272</v>
      </c>
      <c r="G921" s="33">
        <v>30.5</v>
      </c>
    </row>
    <row r="922" spans="1:7" x14ac:dyDescent="0.25">
      <c r="A922" s="22">
        <v>39273</v>
      </c>
      <c r="G922" s="33">
        <v>0</v>
      </c>
    </row>
    <row r="923" spans="1:7" x14ac:dyDescent="0.25">
      <c r="A923" s="22">
        <v>39274</v>
      </c>
      <c r="G923" s="33">
        <v>12.2</v>
      </c>
    </row>
    <row r="924" spans="1:7" x14ac:dyDescent="0.25">
      <c r="A924" s="22">
        <v>39275</v>
      </c>
      <c r="G924" s="33">
        <v>0</v>
      </c>
    </row>
    <row r="925" spans="1:7" x14ac:dyDescent="0.25">
      <c r="A925" s="22">
        <v>39276</v>
      </c>
      <c r="G925" s="33">
        <v>0</v>
      </c>
    </row>
    <row r="926" spans="1:7" x14ac:dyDescent="0.25">
      <c r="A926" s="22">
        <v>39277</v>
      </c>
      <c r="G926" s="33">
        <v>62</v>
      </c>
    </row>
    <row r="927" spans="1:7" x14ac:dyDescent="0.25">
      <c r="A927" s="22">
        <v>39278</v>
      </c>
      <c r="G927" s="33">
        <v>0</v>
      </c>
    </row>
    <row r="928" spans="1:7" x14ac:dyDescent="0.25">
      <c r="A928" s="22">
        <v>39279</v>
      </c>
      <c r="G928" s="33">
        <v>7.3</v>
      </c>
    </row>
    <row r="929" spans="1:7" x14ac:dyDescent="0.25">
      <c r="A929" s="22">
        <v>39280</v>
      </c>
      <c r="G929" s="33">
        <v>18.2</v>
      </c>
    </row>
    <row r="930" spans="1:7" x14ac:dyDescent="0.25">
      <c r="A930" s="22">
        <v>39281</v>
      </c>
      <c r="G930" s="33">
        <v>9.1</v>
      </c>
    </row>
    <row r="931" spans="1:7" x14ac:dyDescent="0.25">
      <c r="A931" s="22">
        <v>39282</v>
      </c>
      <c r="G931" s="33">
        <v>12.1</v>
      </c>
    </row>
    <row r="932" spans="1:7" x14ac:dyDescent="0.25">
      <c r="A932" s="22">
        <v>39283</v>
      </c>
      <c r="G932" s="33">
        <v>3.1</v>
      </c>
    </row>
    <row r="933" spans="1:7" x14ac:dyDescent="0.25">
      <c r="A933" s="22">
        <v>39284</v>
      </c>
      <c r="G933" s="33">
        <v>1.2</v>
      </c>
    </row>
    <row r="934" spans="1:7" x14ac:dyDescent="0.25">
      <c r="A934" s="22">
        <v>39285</v>
      </c>
      <c r="G934" s="33">
        <v>12.5</v>
      </c>
    </row>
    <row r="935" spans="1:7" x14ac:dyDescent="0.25">
      <c r="A935" s="22">
        <v>39286</v>
      </c>
      <c r="G935" s="33">
        <v>3.5</v>
      </c>
    </row>
    <row r="936" spans="1:7" x14ac:dyDescent="0.25">
      <c r="A936" s="22">
        <v>39287</v>
      </c>
      <c r="G936" s="33">
        <v>20.3</v>
      </c>
    </row>
    <row r="937" spans="1:7" x14ac:dyDescent="0.25">
      <c r="A937" s="22">
        <v>39288</v>
      </c>
      <c r="G937" s="33">
        <v>0</v>
      </c>
    </row>
    <row r="938" spans="1:7" x14ac:dyDescent="0.25">
      <c r="A938" s="22">
        <v>39289</v>
      </c>
      <c r="G938" s="33">
        <v>0</v>
      </c>
    </row>
    <row r="939" spans="1:7" x14ac:dyDescent="0.25">
      <c r="A939" s="22">
        <v>39290</v>
      </c>
      <c r="G939" s="33">
        <v>0</v>
      </c>
    </row>
    <row r="940" spans="1:7" x14ac:dyDescent="0.25">
      <c r="A940" s="22">
        <v>39291</v>
      </c>
      <c r="G940" s="33">
        <v>1.6</v>
      </c>
    </row>
    <row r="941" spans="1:7" x14ac:dyDescent="0.25">
      <c r="A941" s="22">
        <v>39292</v>
      </c>
      <c r="G941" s="33">
        <v>0.2</v>
      </c>
    </row>
    <row r="942" spans="1:7" x14ac:dyDescent="0.25">
      <c r="A942" s="22">
        <v>39293</v>
      </c>
      <c r="G942" s="33">
        <v>3.2</v>
      </c>
    </row>
    <row r="943" spans="1:7" x14ac:dyDescent="0.25">
      <c r="A943" s="22">
        <v>39294</v>
      </c>
      <c r="G943" s="33">
        <v>6</v>
      </c>
    </row>
    <row r="944" spans="1:7" x14ac:dyDescent="0.25">
      <c r="A944" s="22">
        <v>39295</v>
      </c>
      <c r="G944" s="33">
        <v>12.2</v>
      </c>
    </row>
    <row r="945" spans="1:7" x14ac:dyDescent="0.25">
      <c r="A945" s="22">
        <v>39296</v>
      </c>
      <c r="G945" s="33">
        <v>21.1</v>
      </c>
    </row>
    <row r="946" spans="1:7" x14ac:dyDescent="0.25">
      <c r="A946" s="22">
        <v>39297</v>
      </c>
      <c r="G946" s="33">
        <v>9.9</v>
      </c>
    </row>
    <row r="947" spans="1:7" x14ac:dyDescent="0.25">
      <c r="A947" s="22">
        <v>39298</v>
      </c>
      <c r="G947" s="33">
        <v>1.2</v>
      </c>
    </row>
    <row r="948" spans="1:7" x14ac:dyDescent="0.25">
      <c r="A948" s="22">
        <v>39299</v>
      </c>
      <c r="G948" s="33">
        <v>0</v>
      </c>
    </row>
    <row r="949" spans="1:7" x14ac:dyDescent="0.25">
      <c r="A949" s="22">
        <v>39300</v>
      </c>
      <c r="G949" s="33">
        <v>3</v>
      </c>
    </row>
    <row r="950" spans="1:7" x14ac:dyDescent="0.25">
      <c r="A950" s="22">
        <v>39301</v>
      </c>
      <c r="G950" s="33">
        <v>27.9</v>
      </c>
    </row>
    <row r="951" spans="1:7" x14ac:dyDescent="0.25">
      <c r="A951" s="22">
        <v>39302</v>
      </c>
      <c r="G951" s="33">
        <v>9.6</v>
      </c>
    </row>
    <row r="952" spans="1:7" x14ac:dyDescent="0.25">
      <c r="A952" s="22">
        <v>39303</v>
      </c>
      <c r="G952" s="33">
        <v>6.7</v>
      </c>
    </row>
    <row r="953" spans="1:7" x14ac:dyDescent="0.25">
      <c r="A953" s="22">
        <v>39304</v>
      </c>
      <c r="G953" s="33">
        <v>10.199999999999999</v>
      </c>
    </row>
    <row r="954" spans="1:7" x14ac:dyDescent="0.25">
      <c r="A954" s="22">
        <v>39305</v>
      </c>
      <c r="G954" s="33">
        <v>2.1</v>
      </c>
    </row>
    <row r="955" spans="1:7" x14ac:dyDescent="0.25">
      <c r="A955" s="22">
        <v>39306</v>
      </c>
      <c r="G955" s="33">
        <v>3</v>
      </c>
    </row>
    <row r="956" spans="1:7" x14ac:dyDescent="0.25">
      <c r="A956" s="22">
        <v>39307</v>
      </c>
      <c r="G956" s="33">
        <v>3.4</v>
      </c>
    </row>
    <row r="957" spans="1:7" x14ac:dyDescent="0.25">
      <c r="A957" s="22">
        <v>39308</v>
      </c>
      <c r="G957" s="33">
        <v>1.2</v>
      </c>
    </row>
    <row r="958" spans="1:7" x14ac:dyDescent="0.25">
      <c r="A958" s="22">
        <v>39309</v>
      </c>
      <c r="G958" s="33">
        <v>1.8</v>
      </c>
    </row>
    <row r="959" spans="1:7" x14ac:dyDescent="0.25">
      <c r="A959" s="22">
        <v>39310</v>
      </c>
      <c r="G959" s="33">
        <v>10.3</v>
      </c>
    </row>
    <row r="960" spans="1:7" x14ac:dyDescent="0.25">
      <c r="A960" s="22">
        <v>39311</v>
      </c>
      <c r="G960" s="33">
        <v>58.9</v>
      </c>
    </row>
    <row r="961" spans="1:7" x14ac:dyDescent="0.25">
      <c r="A961" s="22">
        <v>39312</v>
      </c>
      <c r="G961" s="33">
        <v>16.2</v>
      </c>
    </row>
    <row r="962" spans="1:7" x14ac:dyDescent="0.25">
      <c r="A962" s="22">
        <v>39313</v>
      </c>
      <c r="G962" s="33">
        <v>20.100000000000001</v>
      </c>
    </row>
    <row r="963" spans="1:7" x14ac:dyDescent="0.25">
      <c r="A963" s="22">
        <v>39314</v>
      </c>
      <c r="G963" s="33">
        <v>50.2</v>
      </c>
    </row>
    <row r="964" spans="1:7" x14ac:dyDescent="0.25">
      <c r="A964" s="22">
        <v>39315</v>
      </c>
      <c r="G964" s="33">
        <v>0</v>
      </c>
    </row>
    <row r="965" spans="1:7" x14ac:dyDescent="0.25">
      <c r="A965" s="22">
        <v>39316</v>
      </c>
      <c r="G965" s="33">
        <v>21.2</v>
      </c>
    </row>
    <row r="966" spans="1:7" x14ac:dyDescent="0.25">
      <c r="A966" s="22">
        <v>39317</v>
      </c>
      <c r="G966" s="33">
        <v>11.7</v>
      </c>
    </row>
    <row r="967" spans="1:7" x14ac:dyDescent="0.25">
      <c r="A967" s="22">
        <v>39318</v>
      </c>
      <c r="G967" s="33">
        <v>2.1</v>
      </c>
    </row>
    <row r="968" spans="1:7" x14ac:dyDescent="0.25">
      <c r="A968" s="22">
        <v>39319</v>
      </c>
      <c r="G968" s="33">
        <v>1</v>
      </c>
    </row>
    <row r="969" spans="1:7" x14ac:dyDescent="0.25">
      <c r="A969" s="22">
        <v>39320</v>
      </c>
      <c r="G969" s="33">
        <v>0</v>
      </c>
    </row>
    <row r="970" spans="1:7" x14ac:dyDescent="0.25">
      <c r="A970" s="22">
        <v>39321</v>
      </c>
      <c r="G970" s="33">
        <v>11.8</v>
      </c>
    </row>
    <row r="971" spans="1:7" x14ac:dyDescent="0.25">
      <c r="A971" s="22">
        <v>39322</v>
      </c>
      <c r="G971" s="33">
        <v>6.6</v>
      </c>
    </row>
    <row r="972" spans="1:7" x14ac:dyDescent="0.25">
      <c r="A972" s="22">
        <v>39323</v>
      </c>
      <c r="G972" s="33">
        <v>1.5</v>
      </c>
    </row>
    <row r="973" spans="1:7" x14ac:dyDescent="0.25">
      <c r="A973" s="22">
        <v>39324</v>
      </c>
      <c r="G973" s="33">
        <v>32.200000000000003</v>
      </c>
    </row>
    <row r="974" spans="1:7" x14ac:dyDescent="0.25">
      <c r="A974" s="22">
        <v>39325</v>
      </c>
      <c r="G974" s="33">
        <v>99.2</v>
      </c>
    </row>
    <row r="975" spans="1:7" x14ac:dyDescent="0.25">
      <c r="A975" s="22">
        <v>39326</v>
      </c>
      <c r="G975" s="1"/>
    </row>
    <row r="976" spans="1:7" x14ac:dyDescent="0.25">
      <c r="A976" s="22">
        <v>39327</v>
      </c>
      <c r="G976" s="1"/>
    </row>
    <row r="977" spans="1:7" x14ac:dyDescent="0.25">
      <c r="A977" s="22">
        <v>39328</v>
      </c>
      <c r="G977" s="1"/>
    </row>
    <row r="978" spans="1:7" x14ac:dyDescent="0.25">
      <c r="A978" s="22">
        <v>39329</v>
      </c>
      <c r="G978" s="1"/>
    </row>
    <row r="979" spans="1:7" x14ac:dyDescent="0.25">
      <c r="A979" s="22">
        <v>39330</v>
      </c>
      <c r="G979" s="2"/>
    </row>
    <row r="980" spans="1:7" x14ac:dyDescent="0.25">
      <c r="A980" s="22">
        <v>39331</v>
      </c>
      <c r="G980" s="1"/>
    </row>
    <row r="981" spans="1:7" x14ac:dyDescent="0.25">
      <c r="A981" s="22">
        <v>39332</v>
      </c>
      <c r="G981" s="1"/>
    </row>
    <row r="982" spans="1:7" x14ac:dyDescent="0.25">
      <c r="A982" s="22">
        <v>39333</v>
      </c>
      <c r="G982" s="2"/>
    </row>
    <row r="983" spans="1:7" x14ac:dyDescent="0.25">
      <c r="A983" s="22">
        <v>39334</v>
      </c>
      <c r="G983" s="1"/>
    </row>
    <row r="984" spans="1:7" x14ac:dyDescent="0.25">
      <c r="A984" s="22">
        <v>39335</v>
      </c>
      <c r="G984" s="1"/>
    </row>
    <row r="985" spans="1:7" x14ac:dyDescent="0.25">
      <c r="A985" s="22">
        <v>39336</v>
      </c>
      <c r="G985" s="1"/>
    </row>
    <row r="986" spans="1:7" x14ac:dyDescent="0.25">
      <c r="A986" s="22">
        <v>39337</v>
      </c>
      <c r="G986" s="1"/>
    </row>
    <row r="987" spans="1:7" x14ac:dyDescent="0.25">
      <c r="A987" s="22">
        <v>39338</v>
      </c>
      <c r="G987" s="2"/>
    </row>
    <row r="988" spans="1:7" x14ac:dyDescent="0.25">
      <c r="A988" s="22">
        <v>39339</v>
      </c>
      <c r="G988" s="2"/>
    </row>
    <row r="989" spans="1:7" x14ac:dyDescent="0.25">
      <c r="A989" s="22">
        <v>39340</v>
      </c>
      <c r="G989" s="2"/>
    </row>
    <row r="990" spans="1:7" x14ac:dyDescent="0.25">
      <c r="A990" s="22">
        <v>39341</v>
      </c>
      <c r="G990" s="2"/>
    </row>
    <row r="991" spans="1:7" x14ac:dyDescent="0.25">
      <c r="A991" s="22">
        <v>39342</v>
      </c>
      <c r="G991" s="1"/>
    </row>
    <row r="992" spans="1:7" x14ac:dyDescent="0.25">
      <c r="A992" s="22">
        <v>39343</v>
      </c>
      <c r="G992" s="1"/>
    </row>
    <row r="993" spans="1:7" x14ac:dyDescent="0.25">
      <c r="A993" s="22">
        <v>39344</v>
      </c>
      <c r="G993" s="2"/>
    </row>
    <row r="994" spans="1:7" x14ac:dyDescent="0.25">
      <c r="A994" s="22">
        <v>39345</v>
      </c>
      <c r="G994" s="2"/>
    </row>
    <row r="995" spans="1:7" x14ac:dyDescent="0.25">
      <c r="A995" s="22">
        <v>39346</v>
      </c>
      <c r="G995" s="1"/>
    </row>
    <row r="996" spans="1:7" x14ac:dyDescent="0.25">
      <c r="A996" s="22">
        <v>39347</v>
      </c>
      <c r="G996" s="1"/>
    </row>
    <row r="997" spans="1:7" x14ac:dyDescent="0.25">
      <c r="A997" s="22">
        <v>39348</v>
      </c>
      <c r="G997" s="1"/>
    </row>
    <row r="998" spans="1:7" x14ac:dyDescent="0.25">
      <c r="A998" s="22">
        <v>39349</v>
      </c>
      <c r="G998" s="1"/>
    </row>
    <row r="999" spans="1:7" x14ac:dyDescent="0.25">
      <c r="A999" s="22">
        <v>39350</v>
      </c>
      <c r="G999" s="1"/>
    </row>
    <row r="1000" spans="1:7" x14ac:dyDescent="0.25">
      <c r="A1000" s="22">
        <v>39351</v>
      </c>
      <c r="G1000" s="1"/>
    </row>
    <row r="1001" spans="1:7" x14ac:dyDescent="0.25">
      <c r="A1001" s="22">
        <v>39352</v>
      </c>
      <c r="G1001" s="1"/>
    </row>
    <row r="1002" spans="1:7" x14ac:dyDescent="0.25">
      <c r="A1002" s="22">
        <v>39353</v>
      </c>
      <c r="G1002" s="1"/>
    </row>
    <row r="1003" spans="1:7" x14ac:dyDescent="0.25">
      <c r="A1003" s="22">
        <v>39354</v>
      </c>
      <c r="G1003" s="1"/>
    </row>
    <row r="1004" spans="1:7" x14ac:dyDescent="0.25">
      <c r="A1004" s="22">
        <v>39355</v>
      </c>
      <c r="G1004" s="1"/>
    </row>
    <row r="1005" spans="1:7" x14ac:dyDescent="0.25">
      <c r="A1005" s="22">
        <v>39356</v>
      </c>
      <c r="G1005" s="33">
        <v>23.3</v>
      </c>
    </row>
    <row r="1006" spans="1:7" x14ac:dyDescent="0.25">
      <c r="A1006" s="22">
        <v>39357</v>
      </c>
      <c r="G1006" s="33">
        <v>0</v>
      </c>
    </row>
    <row r="1007" spans="1:7" x14ac:dyDescent="0.25">
      <c r="A1007" s="22">
        <v>39358</v>
      </c>
      <c r="G1007" s="33">
        <v>0</v>
      </c>
    </row>
    <row r="1008" spans="1:7" x14ac:dyDescent="0.25">
      <c r="A1008" s="22">
        <v>39359</v>
      </c>
      <c r="G1008" s="33">
        <v>0</v>
      </c>
    </row>
    <row r="1009" spans="1:7" x14ac:dyDescent="0.25">
      <c r="A1009" s="22">
        <v>39360</v>
      </c>
      <c r="G1009" s="33">
        <v>17.2</v>
      </c>
    </row>
    <row r="1010" spans="1:7" x14ac:dyDescent="0.25">
      <c r="A1010" s="22">
        <v>39361</v>
      </c>
      <c r="G1010" s="33">
        <v>0</v>
      </c>
    </row>
    <row r="1011" spans="1:7" x14ac:dyDescent="0.25">
      <c r="A1011" s="22">
        <v>39362</v>
      </c>
      <c r="G1011" s="33">
        <v>1.9</v>
      </c>
    </row>
    <row r="1012" spans="1:7" x14ac:dyDescent="0.25">
      <c r="A1012" s="22">
        <v>39363</v>
      </c>
      <c r="G1012" s="33">
        <v>0</v>
      </c>
    </row>
    <row r="1013" spans="1:7" x14ac:dyDescent="0.25">
      <c r="A1013" s="22">
        <v>39364</v>
      </c>
      <c r="G1013" s="33">
        <v>77.900000000000006</v>
      </c>
    </row>
    <row r="1014" spans="1:7" x14ac:dyDescent="0.25">
      <c r="A1014" s="22">
        <v>39365</v>
      </c>
      <c r="G1014" s="33">
        <v>50.5</v>
      </c>
    </row>
    <row r="1015" spans="1:7" x14ac:dyDescent="0.25">
      <c r="A1015" s="22">
        <v>39366</v>
      </c>
      <c r="G1015" s="33">
        <v>55.4</v>
      </c>
    </row>
    <row r="1016" spans="1:7" x14ac:dyDescent="0.25">
      <c r="A1016" s="22">
        <v>39367</v>
      </c>
      <c r="G1016" s="33">
        <v>9.8000000000000007</v>
      </c>
    </row>
    <row r="1017" spans="1:7" x14ac:dyDescent="0.25">
      <c r="A1017" s="22">
        <v>39368</v>
      </c>
      <c r="G1017" s="33">
        <v>0</v>
      </c>
    </row>
    <row r="1018" spans="1:7" x14ac:dyDescent="0.25">
      <c r="A1018" s="22">
        <v>39369</v>
      </c>
      <c r="G1018" s="33">
        <v>4.3</v>
      </c>
    </row>
    <row r="1019" spans="1:7" x14ac:dyDescent="0.25">
      <c r="A1019" s="22">
        <v>39370</v>
      </c>
      <c r="G1019" s="33">
        <v>1.6</v>
      </c>
    </row>
    <row r="1020" spans="1:7" x14ac:dyDescent="0.25">
      <c r="A1020" s="22">
        <v>39371</v>
      </c>
      <c r="G1020" s="33">
        <v>26.1</v>
      </c>
    </row>
    <row r="1021" spans="1:7" x14ac:dyDescent="0.25">
      <c r="A1021" s="22">
        <v>39372</v>
      </c>
      <c r="G1021" s="33">
        <v>34.5</v>
      </c>
    </row>
    <row r="1022" spans="1:7" x14ac:dyDescent="0.25">
      <c r="A1022" s="22">
        <v>39373</v>
      </c>
      <c r="G1022" s="33">
        <v>4.5</v>
      </c>
    </row>
    <row r="1023" spans="1:7" x14ac:dyDescent="0.25">
      <c r="A1023" s="22">
        <v>39374</v>
      </c>
      <c r="G1023" s="33">
        <v>3</v>
      </c>
    </row>
    <row r="1024" spans="1:7" x14ac:dyDescent="0.25">
      <c r="A1024" s="22">
        <v>39375</v>
      </c>
      <c r="G1024" s="33">
        <v>11.5</v>
      </c>
    </row>
    <row r="1025" spans="1:7" x14ac:dyDescent="0.25">
      <c r="A1025" s="22">
        <v>39376</v>
      </c>
      <c r="G1025" s="33">
        <v>16.5</v>
      </c>
    </row>
    <row r="1026" spans="1:7" x14ac:dyDescent="0.25">
      <c r="A1026" s="22">
        <v>39377</v>
      </c>
      <c r="G1026" s="33">
        <v>0.6</v>
      </c>
    </row>
    <row r="1027" spans="1:7" x14ac:dyDescent="0.25">
      <c r="A1027" s="22">
        <v>39378</v>
      </c>
      <c r="G1027" s="33">
        <v>7.6</v>
      </c>
    </row>
    <row r="1028" spans="1:7" x14ac:dyDescent="0.25">
      <c r="A1028" s="22">
        <v>39379</v>
      </c>
      <c r="G1028" s="33">
        <v>11.1</v>
      </c>
    </row>
    <row r="1029" spans="1:7" x14ac:dyDescent="0.25">
      <c r="A1029" s="22">
        <v>39380</v>
      </c>
      <c r="G1029" s="33">
        <v>4.2</v>
      </c>
    </row>
    <row r="1030" spans="1:7" x14ac:dyDescent="0.25">
      <c r="A1030" s="22">
        <v>39381</v>
      </c>
      <c r="G1030" s="33">
        <v>1.1000000000000001</v>
      </c>
    </row>
    <row r="1031" spans="1:7" x14ac:dyDescent="0.25">
      <c r="A1031" s="22">
        <v>39382</v>
      </c>
      <c r="G1031" s="33">
        <v>26.2</v>
      </c>
    </row>
    <row r="1032" spans="1:7" x14ac:dyDescent="0.25">
      <c r="A1032" s="22">
        <v>39383</v>
      </c>
      <c r="G1032" s="33">
        <v>2.5</v>
      </c>
    </row>
    <row r="1033" spans="1:7" x14ac:dyDescent="0.25">
      <c r="A1033" s="22">
        <v>39384</v>
      </c>
      <c r="G1033" s="33">
        <v>17.7</v>
      </c>
    </row>
    <row r="1034" spans="1:7" x14ac:dyDescent="0.25">
      <c r="A1034" s="22">
        <v>39385</v>
      </c>
      <c r="G1034" s="33">
        <v>6.8</v>
      </c>
    </row>
    <row r="1035" spans="1:7" x14ac:dyDescent="0.25">
      <c r="A1035" s="22">
        <v>39386</v>
      </c>
      <c r="G1035" s="33">
        <v>25.1</v>
      </c>
    </row>
    <row r="1036" spans="1:7" x14ac:dyDescent="0.25">
      <c r="A1036" s="22">
        <v>39387</v>
      </c>
      <c r="G1036" s="33">
        <v>6.8</v>
      </c>
    </row>
    <row r="1037" spans="1:7" x14ac:dyDescent="0.25">
      <c r="A1037" s="22">
        <v>39388</v>
      </c>
      <c r="G1037" s="33">
        <v>3.1</v>
      </c>
    </row>
    <row r="1038" spans="1:7" x14ac:dyDescent="0.25">
      <c r="A1038" s="22">
        <v>39389</v>
      </c>
      <c r="G1038" s="33">
        <v>25.5</v>
      </c>
    </row>
    <row r="1039" spans="1:7" x14ac:dyDescent="0.25">
      <c r="A1039" s="22">
        <v>39390</v>
      </c>
      <c r="G1039" s="33">
        <v>0.5</v>
      </c>
    </row>
    <row r="1040" spans="1:7" x14ac:dyDescent="0.25">
      <c r="A1040" s="22">
        <v>39391</v>
      </c>
      <c r="G1040" s="33">
        <v>0</v>
      </c>
    </row>
    <row r="1041" spans="1:7" x14ac:dyDescent="0.25">
      <c r="A1041" s="22">
        <v>39392</v>
      </c>
      <c r="G1041" s="33">
        <v>0</v>
      </c>
    </row>
    <row r="1042" spans="1:7" x14ac:dyDescent="0.25">
      <c r="A1042" s="22">
        <v>39393</v>
      </c>
      <c r="G1042" s="33">
        <v>0</v>
      </c>
    </row>
    <row r="1043" spans="1:7" x14ac:dyDescent="0.25">
      <c r="A1043" s="22">
        <v>39394</v>
      </c>
      <c r="G1043" s="33">
        <v>14.5</v>
      </c>
    </row>
    <row r="1044" spans="1:7" x14ac:dyDescent="0.25">
      <c r="A1044" s="22">
        <v>39395</v>
      </c>
      <c r="G1044" s="33">
        <v>16.5</v>
      </c>
    </row>
    <row r="1045" spans="1:7" x14ac:dyDescent="0.25">
      <c r="A1045" s="22">
        <v>39396</v>
      </c>
      <c r="G1045" s="33">
        <v>10.1</v>
      </c>
    </row>
    <row r="1046" spans="1:7" x14ac:dyDescent="0.25">
      <c r="A1046" s="22">
        <v>39397</v>
      </c>
      <c r="G1046" s="33">
        <v>0.9</v>
      </c>
    </row>
    <row r="1047" spans="1:7" x14ac:dyDescent="0.25">
      <c r="A1047" s="22">
        <v>39398</v>
      </c>
      <c r="G1047" s="33">
        <v>0.3</v>
      </c>
    </row>
    <row r="1048" spans="1:7" x14ac:dyDescent="0.25">
      <c r="A1048" s="22">
        <v>39399</v>
      </c>
      <c r="G1048" s="33">
        <v>4.4000000000000004</v>
      </c>
    </row>
    <row r="1049" spans="1:7" x14ac:dyDescent="0.25">
      <c r="A1049" s="22">
        <v>39400</v>
      </c>
      <c r="G1049" s="33">
        <v>23.6</v>
      </c>
    </row>
    <row r="1050" spans="1:7" x14ac:dyDescent="0.25">
      <c r="A1050" s="22">
        <v>39401</v>
      </c>
      <c r="G1050" s="33">
        <v>27</v>
      </c>
    </row>
    <row r="1051" spans="1:7" x14ac:dyDescent="0.25">
      <c r="A1051" s="22">
        <v>39402</v>
      </c>
      <c r="G1051" s="33">
        <v>12.1</v>
      </c>
    </row>
    <row r="1052" spans="1:7" x14ac:dyDescent="0.25">
      <c r="A1052" s="22">
        <v>39403</v>
      </c>
      <c r="G1052" s="33">
        <v>10.5</v>
      </c>
    </row>
    <row r="1053" spans="1:7" x14ac:dyDescent="0.25">
      <c r="A1053" s="22">
        <v>39404</v>
      </c>
      <c r="G1053" s="33">
        <v>0.4</v>
      </c>
    </row>
    <row r="1054" spans="1:7" x14ac:dyDescent="0.25">
      <c r="A1054" s="22">
        <v>39405</v>
      </c>
      <c r="G1054" s="33">
        <v>0</v>
      </c>
    </row>
    <row r="1055" spans="1:7" x14ac:dyDescent="0.25">
      <c r="A1055" s="22">
        <v>39406</v>
      </c>
      <c r="G1055" s="33">
        <v>0.9</v>
      </c>
    </row>
    <row r="1056" spans="1:7" x14ac:dyDescent="0.25">
      <c r="A1056" s="22">
        <v>39407</v>
      </c>
      <c r="G1056" s="33">
        <v>0</v>
      </c>
    </row>
    <row r="1057" spans="1:7" x14ac:dyDescent="0.25">
      <c r="A1057" s="22">
        <v>39408</v>
      </c>
      <c r="G1057" s="33">
        <v>3.7</v>
      </c>
    </row>
    <row r="1058" spans="1:7" x14ac:dyDescent="0.25">
      <c r="A1058" s="22">
        <v>39409</v>
      </c>
      <c r="G1058" s="33">
        <v>4.5</v>
      </c>
    </row>
    <row r="1059" spans="1:7" x14ac:dyDescent="0.25">
      <c r="A1059" s="22">
        <v>39410</v>
      </c>
      <c r="G1059" s="33">
        <v>42.9</v>
      </c>
    </row>
    <row r="1060" spans="1:7" x14ac:dyDescent="0.25">
      <c r="A1060" s="22">
        <v>39411</v>
      </c>
      <c r="G1060" s="33">
        <v>0.8</v>
      </c>
    </row>
    <row r="1061" spans="1:7" x14ac:dyDescent="0.25">
      <c r="A1061" s="22">
        <v>39412</v>
      </c>
      <c r="G1061" s="33">
        <v>0</v>
      </c>
    </row>
    <row r="1062" spans="1:7" x14ac:dyDescent="0.25">
      <c r="A1062" s="22">
        <v>39413</v>
      </c>
      <c r="G1062" s="33">
        <v>10.4</v>
      </c>
    </row>
    <row r="1063" spans="1:7" x14ac:dyDescent="0.25">
      <c r="A1063" s="22">
        <v>39414</v>
      </c>
      <c r="G1063" s="33">
        <v>0</v>
      </c>
    </row>
    <row r="1064" spans="1:7" x14ac:dyDescent="0.25">
      <c r="A1064" s="22">
        <v>39415</v>
      </c>
      <c r="G1064" s="33">
        <v>0</v>
      </c>
    </row>
    <row r="1065" spans="1:7" x14ac:dyDescent="0.25">
      <c r="A1065" s="22">
        <v>39416</v>
      </c>
      <c r="G1065" s="33">
        <v>0</v>
      </c>
    </row>
    <row r="1066" spans="1:7" x14ac:dyDescent="0.25">
      <c r="A1066" s="22">
        <v>39417</v>
      </c>
      <c r="G1066" s="33">
        <v>23.5</v>
      </c>
    </row>
    <row r="1067" spans="1:7" x14ac:dyDescent="0.25">
      <c r="A1067" s="22">
        <v>39418</v>
      </c>
      <c r="G1067" s="33">
        <v>26.3</v>
      </c>
    </row>
    <row r="1068" spans="1:7" x14ac:dyDescent="0.25">
      <c r="A1068" s="22">
        <v>39419</v>
      </c>
      <c r="G1068" s="33">
        <v>22.2</v>
      </c>
    </row>
    <row r="1069" spans="1:7" x14ac:dyDescent="0.25">
      <c r="A1069" s="22">
        <v>39420</v>
      </c>
      <c r="G1069" s="33">
        <v>7</v>
      </c>
    </row>
    <row r="1070" spans="1:7" x14ac:dyDescent="0.25">
      <c r="A1070" s="22">
        <v>39421</v>
      </c>
      <c r="G1070" s="33">
        <v>4.4000000000000004</v>
      </c>
    </row>
    <row r="1071" spans="1:7" x14ac:dyDescent="0.25">
      <c r="A1071" s="22">
        <v>39422</v>
      </c>
      <c r="G1071" s="33">
        <v>3.2</v>
      </c>
    </row>
    <row r="1072" spans="1:7" x14ac:dyDescent="0.25">
      <c r="A1072" s="22">
        <v>39423</v>
      </c>
      <c r="G1072" s="33">
        <v>2.5</v>
      </c>
    </row>
    <row r="1073" spans="1:7" x14ac:dyDescent="0.25">
      <c r="A1073" s="22">
        <v>39424</v>
      </c>
      <c r="G1073" s="33">
        <v>0</v>
      </c>
    </row>
    <row r="1074" spans="1:7" x14ac:dyDescent="0.25">
      <c r="A1074" s="22">
        <v>39425</v>
      </c>
      <c r="G1074" s="33">
        <v>0</v>
      </c>
    </row>
    <row r="1075" spans="1:7" x14ac:dyDescent="0.25">
      <c r="A1075" s="22">
        <v>39426</v>
      </c>
      <c r="G1075" s="33">
        <v>0</v>
      </c>
    </row>
    <row r="1076" spans="1:7" x14ac:dyDescent="0.25">
      <c r="A1076" s="22">
        <v>39427</v>
      </c>
      <c r="G1076" s="33">
        <v>4</v>
      </c>
    </row>
    <row r="1077" spans="1:7" x14ac:dyDescent="0.25">
      <c r="A1077" s="22">
        <v>39428</v>
      </c>
      <c r="G1077" s="33">
        <v>0.5</v>
      </c>
    </row>
    <row r="1078" spans="1:7" x14ac:dyDescent="0.25">
      <c r="A1078" s="22">
        <v>39429</v>
      </c>
      <c r="G1078" s="33">
        <v>0</v>
      </c>
    </row>
    <row r="1079" spans="1:7" x14ac:dyDescent="0.25">
      <c r="A1079" s="22">
        <v>39430</v>
      </c>
      <c r="G1079" s="33">
        <v>0</v>
      </c>
    </row>
    <row r="1080" spans="1:7" x14ac:dyDescent="0.25">
      <c r="A1080" s="22">
        <v>39431</v>
      </c>
      <c r="G1080" s="33">
        <v>0</v>
      </c>
    </row>
    <row r="1081" spans="1:7" x14ac:dyDescent="0.25">
      <c r="A1081" s="22">
        <v>39432</v>
      </c>
      <c r="G1081" s="33">
        <v>0</v>
      </c>
    </row>
    <row r="1082" spans="1:7" x14ac:dyDescent="0.25">
      <c r="A1082" s="22">
        <v>39433</v>
      </c>
      <c r="G1082" s="33">
        <v>0</v>
      </c>
    </row>
    <row r="1083" spans="1:7" x14ac:dyDescent="0.25">
      <c r="A1083" s="22">
        <v>39434</v>
      </c>
      <c r="G1083" s="33">
        <v>0</v>
      </c>
    </row>
    <row r="1084" spans="1:7" x14ac:dyDescent="0.25">
      <c r="A1084" s="22">
        <v>39435</v>
      </c>
      <c r="G1084" s="33">
        <v>0</v>
      </c>
    </row>
    <row r="1085" spans="1:7" x14ac:dyDescent="0.25">
      <c r="A1085" s="22">
        <v>39436</v>
      </c>
      <c r="G1085" s="33">
        <v>0</v>
      </c>
    </row>
    <row r="1086" spans="1:7" x14ac:dyDescent="0.25">
      <c r="A1086" s="22">
        <v>39437</v>
      </c>
      <c r="G1086" s="33">
        <v>0</v>
      </c>
    </row>
    <row r="1087" spans="1:7" x14ac:dyDescent="0.25">
      <c r="A1087" s="22">
        <v>39438</v>
      </c>
      <c r="G1087" s="33">
        <v>0</v>
      </c>
    </row>
    <row r="1088" spans="1:7" x14ac:dyDescent="0.25">
      <c r="A1088" s="22">
        <v>39439</v>
      </c>
      <c r="G1088" s="33">
        <v>0</v>
      </c>
    </row>
    <row r="1089" spans="1:17" x14ac:dyDescent="0.25">
      <c r="A1089" s="22">
        <v>39440</v>
      </c>
      <c r="G1089" s="33">
        <v>3.6</v>
      </c>
    </row>
    <row r="1090" spans="1:17" x14ac:dyDescent="0.25">
      <c r="A1090" s="22">
        <v>39441</v>
      </c>
      <c r="G1090" s="33">
        <v>5.6</v>
      </c>
    </row>
    <row r="1091" spans="1:17" x14ac:dyDescent="0.25">
      <c r="A1091" s="22">
        <v>39442</v>
      </c>
      <c r="G1091" s="33">
        <v>11.3</v>
      </c>
    </row>
    <row r="1092" spans="1:17" x14ac:dyDescent="0.25">
      <c r="A1092" s="22">
        <v>39443</v>
      </c>
      <c r="G1092" s="33">
        <v>45.8</v>
      </c>
    </row>
    <row r="1093" spans="1:17" x14ac:dyDescent="0.25">
      <c r="A1093" s="22">
        <v>39444</v>
      </c>
      <c r="G1093" s="33">
        <v>2.5</v>
      </c>
    </row>
    <row r="1094" spans="1:17" x14ac:dyDescent="0.25">
      <c r="A1094" s="22">
        <v>39445</v>
      </c>
      <c r="G1094" s="33">
        <v>5.0999999999999996</v>
      </c>
    </row>
    <row r="1095" spans="1:17" x14ac:dyDescent="0.25">
      <c r="A1095" s="22">
        <v>39446</v>
      </c>
      <c r="G1095" s="33">
        <v>0</v>
      </c>
    </row>
    <row r="1096" spans="1:17" x14ac:dyDescent="0.25">
      <c r="A1096" s="22">
        <v>39447</v>
      </c>
      <c r="G1096" s="33"/>
    </row>
    <row r="1097" spans="1:17" x14ac:dyDescent="0.25">
      <c r="A1097" s="22">
        <v>39448</v>
      </c>
      <c r="G1097" s="38">
        <v>1.1000000000000001</v>
      </c>
      <c r="Q1097" s="26">
        <v>0.1</v>
      </c>
    </row>
    <row r="1098" spans="1:17" x14ac:dyDescent="0.25">
      <c r="A1098" s="22">
        <v>39449</v>
      </c>
      <c r="G1098" s="38">
        <v>1.8</v>
      </c>
      <c r="Q1098" s="26">
        <v>0.5</v>
      </c>
    </row>
    <row r="1099" spans="1:17" x14ac:dyDescent="0.25">
      <c r="A1099" s="22">
        <v>39450</v>
      </c>
      <c r="G1099" s="38">
        <v>13.2</v>
      </c>
      <c r="Q1099" s="26">
        <v>0.2</v>
      </c>
    </row>
    <row r="1100" spans="1:17" x14ac:dyDescent="0.25">
      <c r="A1100" s="22">
        <v>39451</v>
      </c>
      <c r="G1100" s="38">
        <v>3.5</v>
      </c>
      <c r="Q1100" s="26">
        <v>0</v>
      </c>
    </row>
    <row r="1101" spans="1:17" x14ac:dyDescent="0.25">
      <c r="A1101" s="22">
        <v>39452</v>
      </c>
      <c r="G1101" s="38">
        <v>16.2</v>
      </c>
      <c r="Q1101" s="26">
        <v>11.6</v>
      </c>
    </row>
    <row r="1102" spans="1:17" x14ac:dyDescent="0.25">
      <c r="A1102" s="22">
        <v>39453</v>
      </c>
      <c r="G1102" s="38">
        <v>27.5</v>
      </c>
      <c r="Q1102" s="26">
        <v>0.2</v>
      </c>
    </row>
    <row r="1103" spans="1:17" x14ac:dyDescent="0.25">
      <c r="A1103" s="22">
        <v>39454</v>
      </c>
      <c r="G1103" s="38">
        <v>6.3</v>
      </c>
      <c r="Q1103" s="26">
        <v>0.2</v>
      </c>
    </row>
    <row r="1104" spans="1:17" x14ac:dyDescent="0.25">
      <c r="A1104" s="22">
        <v>39455</v>
      </c>
      <c r="G1104" s="38">
        <v>22.8</v>
      </c>
      <c r="Q1104" s="26">
        <v>18.399999999999999</v>
      </c>
    </row>
    <row r="1105" spans="1:17" x14ac:dyDescent="0.25">
      <c r="A1105" s="22">
        <v>39456</v>
      </c>
      <c r="G1105" s="38">
        <v>4.9000000000000004</v>
      </c>
      <c r="Q1105" s="26">
        <v>31.3</v>
      </c>
    </row>
    <row r="1106" spans="1:17" x14ac:dyDescent="0.25">
      <c r="A1106" s="22">
        <v>39457</v>
      </c>
      <c r="G1106" s="38">
        <v>0</v>
      </c>
      <c r="Q1106" s="26">
        <v>0</v>
      </c>
    </row>
    <row r="1107" spans="1:17" x14ac:dyDescent="0.25">
      <c r="A1107" s="22">
        <v>39458</v>
      </c>
      <c r="G1107" s="38">
        <v>16.2</v>
      </c>
      <c r="Q1107" s="26">
        <v>69.2</v>
      </c>
    </row>
    <row r="1108" spans="1:17" x14ac:dyDescent="0.25">
      <c r="A1108" s="22">
        <v>39459</v>
      </c>
      <c r="G1108" s="38">
        <v>5.0999999999999996</v>
      </c>
      <c r="Q1108" s="26">
        <v>2.6</v>
      </c>
    </row>
    <row r="1109" spans="1:17" x14ac:dyDescent="0.25">
      <c r="A1109" s="22">
        <v>39460</v>
      </c>
      <c r="G1109" s="38">
        <v>0</v>
      </c>
      <c r="Q1109" s="26">
        <v>1.3</v>
      </c>
    </row>
    <row r="1110" spans="1:17" x14ac:dyDescent="0.25">
      <c r="A1110" s="22">
        <v>39461</v>
      </c>
      <c r="G1110" s="38">
        <v>2.8</v>
      </c>
      <c r="Q1110" s="26">
        <v>1.3</v>
      </c>
    </row>
    <row r="1111" spans="1:17" x14ac:dyDescent="0.25">
      <c r="A1111" s="22">
        <v>39462</v>
      </c>
      <c r="G1111" s="38">
        <v>7</v>
      </c>
      <c r="Q1111" s="26">
        <v>0.4</v>
      </c>
    </row>
    <row r="1112" spans="1:17" x14ac:dyDescent="0.25">
      <c r="A1112" s="22">
        <v>39463</v>
      </c>
      <c r="G1112" s="38">
        <v>3.6</v>
      </c>
      <c r="Q1112" s="26">
        <v>0.3</v>
      </c>
    </row>
    <row r="1113" spans="1:17" x14ac:dyDescent="0.25">
      <c r="A1113" s="22">
        <v>39464</v>
      </c>
      <c r="G1113" s="38">
        <v>6.1</v>
      </c>
      <c r="Q1113" s="26">
        <v>2.2999999999999998</v>
      </c>
    </row>
    <row r="1114" spans="1:17" x14ac:dyDescent="0.25">
      <c r="A1114" s="22">
        <v>39465</v>
      </c>
      <c r="G1114" s="38">
        <v>1</v>
      </c>
      <c r="Q1114" s="26">
        <v>1.6</v>
      </c>
    </row>
    <row r="1115" spans="1:17" x14ac:dyDescent="0.25">
      <c r="A1115" s="22">
        <v>39466</v>
      </c>
      <c r="G1115" s="38">
        <v>1.8</v>
      </c>
      <c r="Q1115" s="26">
        <v>0</v>
      </c>
    </row>
    <row r="1116" spans="1:17" x14ac:dyDescent="0.25">
      <c r="A1116" s="22">
        <v>39467</v>
      </c>
      <c r="G1116" s="38">
        <v>0.3</v>
      </c>
      <c r="Q1116" s="26">
        <v>0</v>
      </c>
    </row>
    <row r="1117" spans="1:17" x14ac:dyDescent="0.25">
      <c r="A1117" s="22">
        <v>39468</v>
      </c>
      <c r="G1117" s="38">
        <v>18.3</v>
      </c>
      <c r="Q1117" s="26">
        <v>8.6999999999999993</v>
      </c>
    </row>
    <row r="1118" spans="1:17" x14ac:dyDescent="0.25">
      <c r="A1118" s="22">
        <v>39469</v>
      </c>
      <c r="G1118" s="38">
        <v>0.5</v>
      </c>
      <c r="Q1118" s="26">
        <v>0.6</v>
      </c>
    </row>
    <row r="1119" spans="1:17" x14ac:dyDescent="0.25">
      <c r="A1119" s="22">
        <v>39470</v>
      </c>
      <c r="G1119" s="38">
        <v>0</v>
      </c>
      <c r="Q1119" s="26">
        <v>0</v>
      </c>
    </row>
    <row r="1120" spans="1:17" x14ac:dyDescent="0.25">
      <c r="A1120" s="22">
        <v>39471</v>
      </c>
      <c r="G1120" s="38">
        <v>18</v>
      </c>
      <c r="Q1120" s="26">
        <v>14.2</v>
      </c>
    </row>
    <row r="1121" spans="1:17" x14ac:dyDescent="0.25">
      <c r="A1121" s="22">
        <v>39472</v>
      </c>
      <c r="G1121" s="38">
        <v>11.7</v>
      </c>
      <c r="Q1121" s="26">
        <v>16.8</v>
      </c>
    </row>
    <row r="1122" spans="1:17" x14ac:dyDescent="0.25">
      <c r="A1122" s="22">
        <v>39473</v>
      </c>
      <c r="G1122" s="38">
        <v>0</v>
      </c>
      <c r="Q1122" s="26">
        <v>0</v>
      </c>
    </row>
    <row r="1123" spans="1:17" x14ac:dyDescent="0.25">
      <c r="A1123" s="22">
        <v>39474</v>
      </c>
      <c r="G1123" s="38">
        <v>0.6</v>
      </c>
      <c r="Q1123" s="26">
        <v>0</v>
      </c>
    </row>
    <row r="1124" spans="1:17" x14ac:dyDescent="0.25">
      <c r="A1124" s="22">
        <v>39475</v>
      </c>
      <c r="G1124" s="38">
        <v>0</v>
      </c>
      <c r="Q1124" s="26">
        <v>0</v>
      </c>
    </row>
    <row r="1125" spans="1:17" x14ac:dyDescent="0.25">
      <c r="A1125" s="22">
        <v>39476</v>
      </c>
      <c r="G1125" s="38">
        <v>12.3</v>
      </c>
      <c r="Q1125" s="26">
        <v>3</v>
      </c>
    </row>
    <row r="1126" spans="1:17" x14ac:dyDescent="0.25">
      <c r="A1126" s="22">
        <v>39477</v>
      </c>
      <c r="G1126" s="38">
        <v>0.7</v>
      </c>
      <c r="Q1126" s="26">
        <v>1.9</v>
      </c>
    </row>
    <row r="1127" spans="1:17" x14ac:dyDescent="0.25">
      <c r="A1127" s="22">
        <v>39478</v>
      </c>
      <c r="G1127" s="38">
        <v>1.9</v>
      </c>
      <c r="Q1127" s="26">
        <v>0</v>
      </c>
    </row>
    <row r="1128" spans="1:17" x14ac:dyDescent="0.25">
      <c r="A1128" s="22">
        <v>39479</v>
      </c>
      <c r="G1128" s="26"/>
      <c r="Q1128" s="26">
        <v>4.3</v>
      </c>
    </row>
    <row r="1129" spans="1:17" x14ac:dyDescent="0.25">
      <c r="A1129" s="22">
        <v>39480</v>
      </c>
      <c r="G1129" s="26"/>
      <c r="Q1129" s="26">
        <v>7.6</v>
      </c>
    </row>
    <row r="1130" spans="1:17" x14ac:dyDescent="0.25">
      <c r="A1130" s="22">
        <v>39481</v>
      </c>
      <c r="G1130" s="26"/>
      <c r="Q1130" s="26">
        <v>13.9</v>
      </c>
    </row>
    <row r="1131" spans="1:17" x14ac:dyDescent="0.25">
      <c r="A1131" s="22">
        <v>39482</v>
      </c>
      <c r="G1131" s="26"/>
      <c r="Q1131" s="26">
        <v>5</v>
      </c>
    </row>
    <row r="1132" spans="1:17" x14ac:dyDescent="0.25">
      <c r="A1132" s="22">
        <v>39483</v>
      </c>
      <c r="G1132" s="27"/>
      <c r="Q1132" s="26">
        <v>5.9</v>
      </c>
    </row>
    <row r="1133" spans="1:17" x14ac:dyDescent="0.25">
      <c r="A1133" s="22">
        <v>39484</v>
      </c>
      <c r="G1133" s="26"/>
      <c r="Q1133" s="26">
        <v>0.5</v>
      </c>
    </row>
    <row r="1134" spans="1:17" x14ac:dyDescent="0.25">
      <c r="A1134" s="22">
        <v>39485</v>
      </c>
      <c r="G1134" s="26"/>
      <c r="Q1134" s="26">
        <v>2.2999999999999998</v>
      </c>
    </row>
    <row r="1135" spans="1:17" x14ac:dyDescent="0.25">
      <c r="A1135" s="22">
        <v>39486</v>
      </c>
      <c r="G1135" s="27"/>
      <c r="Q1135" s="26">
        <v>2.4</v>
      </c>
    </row>
    <row r="1136" spans="1:17" x14ac:dyDescent="0.25">
      <c r="A1136" s="22">
        <v>39487</v>
      </c>
      <c r="G1136" s="26"/>
      <c r="Q1136" s="26">
        <v>8.9</v>
      </c>
    </row>
    <row r="1137" spans="1:17" x14ac:dyDescent="0.25">
      <c r="A1137" s="22">
        <v>39488</v>
      </c>
      <c r="G1137" s="26"/>
      <c r="Q1137" s="26">
        <v>11.3</v>
      </c>
    </row>
    <row r="1138" spans="1:17" x14ac:dyDescent="0.25">
      <c r="A1138" s="22">
        <v>39489</v>
      </c>
      <c r="G1138" s="26"/>
      <c r="Q1138" s="26">
        <v>70.900000000000006</v>
      </c>
    </row>
    <row r="1139" spans="1:17" x14ac:dyDescent="0.25">
      <c r="A1139" s="22">
        <v>39490</v>
      </c>
      <c r="G1139" s="26"/>
      <c r="Q1139" s="26">
        <v>5</v>
      </c>
    </row>
    <row r="1140" spans="1:17" x14ac:dyDescent="0.25">
      <c r="A1140" s="22">
        <v>39491</v>
      </c>
      <c r="G1140" s="27"/>
      <c r="Q1140" s="26">
        <v>0.5</v>
      </c>
    </row>
    <row r="1141" spans="1:17" x14ac:dyDescent="0.25">
      <c r="A1141" s="22">
        <v>39492</v>
      </c>
      <c r="G1141" s="27"/>
      <c r="Q1141" s="26">
        <v>1.2</v>
      </c>
    </row>
    <row r="1142" spans="1:17" x14ac:dyDescent="0.25">
      <c r="A1142" s="22">
        <v>39493</v>
      </c>
      <c r="G1142" s="27"/>
      <c r="Q1142" s="26">
        <v>3.6</v>
      </c>
    </row>
    <row r="1143" spans="1:17" x14ac:dyDescent="0.25">
      <c r="A1143" s="22">
        <v>39494</v>
      </c>
      <c r="G1143" s="27"/>
      <c r="Q1143" s="26">
        <v>0</v>
      </c>
    </row>
    <row r="1144" spans="1:17" x14ac:dyDescent="0.25">
      <c r="A1144" s="22">
        <v>39495</v>
      </c>
      <c r="G1144" s="26"/>
      <c r="Q1144" s="26">
        <v>2.2000000000000002</v>
      </c>
    </row>
    <row r="1145" spans="1:17" x14ac:dyDescent="0.25">
      <c r="A1145" s="22">
        <v>39496</v>
      </c>
      <c r="G1145" s="26"/>
      <c r="Q1145" s="26">
        <v>0.6</v>
      </c>
    </row>
    <row r="1146" spans="1:17" x14ac:dyDescent="0.25">
      <c r="A1146" s="22">
        <v>39497</v>
      </c>
      <c r="G1146" s="27"/>
      <c r="Q1146" s="26">
        <v>13.1</v>
      </c>
    </row>
    <row r="1147" spans="1:17" x14ac:dyDescent="0.25">
      <c r="A1147" s="22">
        <v>39498</v>
      </c>
      <c r="G1147" s="27"/>
      <c r="Q1147" s="26">
        <v>1</v>
      </c>
    </row>
    <row r="1148" spans="1:17" x14ac:dyDescent="0.25">
      <c r="A1148" s="22">
        <v>39499</v>
      </c>
      <c r="G1148" s="26"/>
      <c r="Q1148" s="26">
        <v>1.3</v>
      </c>
    </row>
    <row r="1149" spans="1:17" x14ac:dyDescent="0.25">
      <c r="A1149" s="22">
        <v>39500</v>
      </c>
      <c r="G1149" s="26"/>
      <c r="Q1149" s="26">
        <v>0.5</v>
      </c>
    </row>
    <row r="1150" spans="1:17" x14ac:dyDescent="0.25">
      <c r="A1150" s="22">
        <v>39501</v>
      </c>
      <c r="G1150" s="26"/>
      <c r="Q1150" s="26">
        <v>1</v>
      </c>
    </row>
    <row r="1151" spans="1:17" x14ac:dyDescent="0.25">
      <c r="A1151" s="22">
        <v>39502</v>
      </c>
      <c r="G1151" s="26"/>
      <c r="Q1151" s="26">
        <v>1.1000000000000001</v>
      </c>
    </row>
    <row r="1152" spans="1:17" x14ac:dyDescent="0.25">
      <c r="A1152" s="22">
        <v>39503</v>
      </c>
      <c r="G1152" s="26"/>
      <c r="Q1152" s="26">
        <v>17.2</v>
      </c>
    </row>
    <row r="1153" spans="1:17" x14ac:dyDescent="0.25">
      <c r="A1153" s="22">
        <v>39504</v>
      </c>
      <c r="G1153" s="26"/>
      <c r="Q1153" s="26">
        <v>0</v>
      </c>
    </row>
    <row r="1154" spans="1:17" x14ac:dyDescent="0.25">
      <c r="A1154" s="22">
        <v>39505</v>
      </c>
      <c r="G1154" s="26"/>
      <c r="Q1154" s="26">
        <v>3.6</v>
      </c>
    </row>
    <row r="1155" spans="1:17" x14ac:dyDescent="0.25">
      <c r="A1155" s="22">
        <v>39506</v>
      </c>
      <c r="G1155" s="26"/>
      <c r="Q1155" s="26">
        <v>6</v>
      </c>
    </row>
    <row r="1156" spans="1:17" x14ac:dyDescent="0.25">
      <c r="A1156" s="22">
        <v>39507</v>
      </c>
      <c r="G1156" s="26"/>
      <c r="Q1156" s="26">
        <v>4.5999999999999996</v>
      </c>
    </row>
    <row r="1157" spans="1:17" x14ac:dyDescent="0.25">
      <c r="A1157" s="22">
        <v>39508</v>
      </c>
      <c r="G1157" s="28"/>
      <c r="Q1157" s="28">
        <v>0.6</v>
      </c>
    </row>
    <row r="1158" spans="1:17" x14ac:dyDescent="0.25">
      <c r="A1158" s="22">
        <v>39509</v>
      </c>
      <c r="G1158" s="28"/>
      <c r="Q1158" s="28">
        <v>0</v>
      </c>
    </row>
    <row r="1159" spans="1:17" x14ac:dyDescent="0.25">
      <c r="A1159" s="22">
        <v>39510</v>
      </c>
      <c r="G1159" s="28"/>
      <c r="Q1159" s="28">
        <v>0</v>
      </c>
    </row>
    <row r="1160" spans="1:17" x14ac:dyDescent="0.25">
      <c r="A1160" s="22">
        <v>39511</v>
      </c>
      <c r="G1160" s="28"/>
      <c r="Q1160" s="28">
        <v>0</v>
      </c>
    </row>
    <row r="1161" spans="1:17" x14ac:dyDescent="0.25">
      <c r="A1161" s="22">
        <v>39512</v>
      </c>
      <c r="G1161" s="29"/>
      <c r="Q1161" s="28">
        <v>17.8</v>
      </c>
    </row>
    <row r="1162" spans="1:17" x14ac:dyDescent="0.25">
      <c r="A1162" s="22">
        <v>39513</v>
      </c>
      <c r="G1162" s="28"/>
      <c r="Q1162" s="28">
        <v>9.1</v>
      </c>
    </row>
    <row r="1163" spans="1:17" x14ac:dyDescent="0.25">
      <c r="A1163" s="22">
        <v>39514</v>
      </c>
      <c r="G1163" s="28"/>
      <c r="Q1163" s="28">
        <v>3.1</v>
      </c>
    </row>
    <row r="1164" spans="1:17" x14ac:dyDescent="0.25">
      <c r="A1164" s="22">
        <v>39515</v>
      </c>
      <c r="G1164" s="29"/>
      <c r="Q1164" s="28">
        <v>0</v>
      </c>
    </row>
    <row r="1165" spans="1:17" x14ac:dyDescent="0.25">
      <c r="A1165" s="22">
        <v>39516</v>
      </c>
      <c r="G1165" s="28"/>
      <c r="Q1165" s="28">
        <v>0.4</v>
      </c>
    </row>
    <row r="1166" spans="1:17" x14ac:dyDescent="0.25">
      <c r="A1166" s="22">
        <v>39517</v>
      </c>
      <c r="G1166" s="28"/>
      <c r="Q1166" s="28">
        <v>0</v>
      </c>
    </row>
    <row r="1167" spans="1:17" x14ac:dyDescent="0.25">
      <c r="A1167" s="22">
        <v>39518</v>
      </c>
      <c r="G1167" s="28"/>
      <c r="Q1167" s="28">
        <v>0</v>
      </c>
    </row>
    <row r="1168" spans="1:17" x14ac:dyDescent="0.25">
      <c r="A1168" s="22">
        <v>39519</v>
      </c>
      <c r="G1168" s="28"/>
      <c r="Q1168" s="28">
        <v>0</v>
      </c>
    </row>
    <row r="1169" spans="1:17" x14ac:dyDescent="0.25">
      <c r="A1169" s="22">
        <v>39520</v>
      </c>
      <c r="G1169" s="29"/>
      <c r="Q1169" s="28">
        <v>0</v>
      </c>
    </row>
    <row r="1170" spans="1:17" x14ac:dyDescent="0.25">
      <c r="A1170" s="22">
        <v>39521</v>
      </c>
      <c r="G1170" s="29"/>
      <c r="Q1170" s="28">
        <v>0</v>
      </c>
    </row>
    <row r="1171" spans="1:17" x14ac:dyDescent="0.25">
      <c r="A1171" s="22">
        <v>39522</v>
      </c>
      <c r="G1171" s="29"/>
      <c r="Q1171" s="28">
        <v>0</v>
      </c>
    </row>
    <row r="1172" spans="1:17" x14ac:dyDescent="0.25">
      <c r="A1172" s="22">
        <v>39523</v>
      </c>
      <c r="G1172" s="29"/>
      <c r="Q1172" s="28">
        <v>0</v>
      </c>
    </row>
    <row r="1173" spans="1:17" x14ac:dyDescent="0.25">
      <c r="A1173" s="22">
        <v>39524</v>
      </c>
      <c r="G1173" s="28"/>
      <c r="Q1173" s="28">
        <v>0</v>
      </c>
    </row>
    <row r="1174" spans="1:17" x14ac:dyDescent="0.25">
      <c r="A1174" s="22">
        <v>39525</v>
      </c>
      <c r="G1174" s="28"/>
      <c r="Q1174" s="28">
        <v>0</v>
      </c>
    </row>
    <row r="1175" spans="1:17" x14ac:dyDescent="0.25">
      <c r="A1175" s="22">
        <v>39526</v>
      </c>
      <c r="G1175" s="29"/>
      <c r="Q1175" s="28">
        <v>0</v>
      </c>
    </row>
    <row r="1176" spans="1:17" x14ac:dyDescent="0.25">
      <c r="A1176" s="22">
        <v>39527</v>
      </c>
      <c r="G1176" s="29"/>
      <c r="Q1176" s="28">
        <v>2.2000000000000002</v>
      </c>
    </row>
    <row r="1177" spans="1:17" x14ac:dyDescent="0.25">
      <c r="A1177" s="22">
        <v>39528</v>
      </c>
      <c r="G1177" s="28"/>
      <c r="Q1177" s="28">
        <v>0</v>
      </c>
    </row>
    <row r="1178" spans="1:17" x14ac:dyDescent="0.25">
      <c r="A1178" s="22">
        <v>39529</v>
      </c>
      <c r="G1178" s="28"/>
      <c r="Q1178" s="28">
        <v>0.7</v>
      </c>
    </row>
    <row r="1179" spans="1:17" x14ac:dyDescent="0.25">
      <c r="A1179" s="22">
        <v>39530</v>
      </c>
      <c r="G1179" s="28"/>
      <c r="Q1179" s="28">
        <v>0</v>
      </c>
    </row>
    <row r="1180" spans="1:17" x14ac:dyDescent="0.25">
      <c r="A1180" s="22">
        <v>39531</v>
      </c>
      <c r="G1180" s="28"/>
      <c r="Q1180" s="28">
        <v>0</v>
      </c>
    </row>
    <row r="1181" spans="1:17" x14ac:dyDescent="0.25">
      <c r="A1181" s="22">
        <v>39532</v>
      </c>
      <c r="G1181" s="28"/>
      <c r="Q1181" s="28">
        <v>0</v>
      </c>
    </row>
    <row r="1182" spans="1:17" x14ac:dyDescent="0.25">
      <c r="A1182" s="22">
        <v>39533</v>
      </c>
      <c r="G1182" s="28"/>
      <c r="Q1182" s="28">
        <v>13.7</v>
      </c>
    </row>
    <row r="1183" spans="1:17" x14ac:dyDescent="0.25">
      <c r="A1183" s="22">
        <v>39534</v>
      </c>
      <c r="G1183" s="28"/>
      <c r="Q1183" s="28">
        <v>2.2000000000000002</v>
      </c>
    </row>
    <row r="1184" spans="1:17" x14ac:dyDescent="0.25">
      <c r="A1184" s="22">
        <v>39535</v>
      </c>
      <c r="G1184" s="28"/>
      <c r="Q1184" s="28">
        <v>3.3</v>
      </c>
    </row>
    <row r="1185" spans="1:17" x14ac:dyDescent="0.25">
      <c r="A1185" s="22">
        <v>39536</v>
      </c>
      <c r="G1185" s="28"/>
      <c r="Q1185" s="28">
        <v>11.2</v>
      </c>
    </row>
    <row r="1186" spans="1:17" x14ac:dyDescent="0.25">
      <c r="A1186" s="22">
        <v>39537</v>
      </c>
      <c r="G1186" s="28"/>
      <c r="Q1186" s="28">
        <v>7.1</v>
      </c>
    </row>
    <row r="1187" spans="1:17" x14ac:dyDescent="0.25">
      <c r="A1187" s="22">
        <v>39538</v>
      </c>
      <c r="G1187" s="28"/>
      <c r="Q1187" s="28">
        <v>18.2</v>
      </c>
    </row>
    <row r="1188" spans="1:17" x14ac:dyDescent="0.25">
      <c r="A1188" s="22">
        <v>39539</v>
      </c>
      <c r="G1188" s="28"/>
      <c r="Q1188" s="28">
        <v>0.8</v>
      </c>
    </row>
    <row r="1189" spans="1:17" x14ac:dyDescent="0.25">
      <c r="A1189" s="22">
        <v>39540</v>
      </c>
      <c r="G1189" s="28"/>
      <c r="Q1189" s="28">
        <v>7.2</v>
      </c>
    </row>
    <row r="1190" spans="1:17" x14ac:dyDescent="0.25">
      <c r="A1190" s="22">
        <v>39541</v>
      </c>
      <c r="G1190" s="28"/>
      <c r="Q1190" s="28">
        <v>0</v>
      </c>
    </row>
    <row r="1191" spans="1:17" x14ac:dyDescent="0.25">
      <c r="A1191" s="22">
        <v>39542</v>
      </c>
      <c r="G1191" s="28"/>
      <c r="Q1191" s="28">
        <v>8.3000000000000007</v>
      </c>
    </row>
    <row r="1192" spans="1:17" x14ac:dyDescent="0.25">
      <c r="A1192" s="22">
        <v>39543</v>
      </c>
      <c r="G1192" s="29"/>
      <c r="Q1192" s="28">
        <v>6.2</v>
      </c>
    </row>
    <row r="1193" spans="1:17" x14ac:dyDescent="0.25">
      <c r="A1193" s="22">
        <v>39544</v>
      </c>
      <c r="G1193" s="28"/>
      <c r="Q1193" s="28">
        <v>7.5</v>
      </c>
    </row>
    <row r="1194" spans="1:17" x14ac:dyDescent="0.25">
      <c r="A1194" s="22">
        <v>39545</v>
      </c>
      <c r="G1194" s="28"/>
      <c r="Q1194" s="28">
        <v>0</v>
      </c>
    </row>
    <row r="1195" spans="1:17" x14ac:dyDescent="0.25">
      <c r="A1195" s="22">
        <v>39546</v>
      </c>
      <c r="G1195" s="29"/>
      <c r="Q1195" s="28">
        <v>0</v>
      </c>
    </row>
    <row r="1196" spans="1:17" x14ac:dyDescent="0.25">
      <c r="A1196" s="22">
        <v>39547</v>
      </c>
      <c r="G1196" s="28"/>
      <c r="Q1196" s="28">
        <v>0</v>
      </c>
    </row>
    <row r="1197" spans="1:17" x14ac:dyDescent="0.25">
      <c r="A1197" s="22">
        <v>39548</v>
      </c>
      <c r="G1197" s="28"/>
      <c r="Q1197" s="28">
        <v>4.9000000000000004</v>
      </c>
    </row>
    <row r="1198" spans="1:17" x14ac:dyDescent="0.25">
      <c r="A1198" s="22">
        <v>39549</v>
      </c>
      <c r="G1198" s="28"/>
      <c r="Q1198" s="28">
        <v>3.8</v>
      </c>
    </row>
    <row r="1199" spans="1:17" x14ac:dyDescent="0.25">
      <c r="A1199" s="22">
        <v>39550</v>
      </c>
      <c r="G1199" s="28"/>
      <c r="Q1199" s="28">
        <v>9.3000000000000007</v>
      </c>
    </row>
    <row r="1200" spans="1:17" x14ac:dyDescent="0.25">
      <c r="A1200" s="22">
        <v>39551</v>
      </c>
      <c r="G1200" s="29"/>
      <c r="Q1200" s="28">
        <v>3</v>
      </c>
    </row>
    <row r="1201" spans="1:17" x14ac:dyDescent="0.25">
      <c r="A1201" s="22">
        <v>39552</v>
      </c>
      <c r="G1201" s="29"/>
      <c r="Q1201" s="28">
        <v>0</v>
      </c>
    </row>
    <row r="1202" spans="1:17" x14ac:dyDescent="0.25">
      <c r="A1202" s="22">
        <v>39553</v>
      </c>
      <c r="G1202" s="29"/>
      <c r="Q1202" s="28">
        <v>5</v>
      </c>
    </row>
    <row r="1203" spans="1:17" x14ac:dyDescent="0.25">
      <c r="A1203" s="22">
        <v>39554</v>
      </c>
      <c r="G1203" s="29"/>
      <c r="Q1203" s="28">
        <v>2.9</v>
      </c>
    </row>
    <row r="1204" spans="1:17" x14ac:dyDescent="0.25">
      <c r="A1204" s="22">
        <v>39555</v>
      </c>
      <c r="G1204" s="28"/>
      <c r="Q1204" s="28">
        <v>0</v>
      </c>
    </row>
    <row r="1205" spans="1:17" x14ac:dyDescent="0.25">
      <c r="A1205" s="22">
        <v>39556</v>
      </c>
      <c r="G1205" s="28"/>
      <c r="Q1205" s="28">
        <v>0</v>
      </c>
    </row>
    <row r="1206" spans="1:17" x14ac:dyDescent="0.25">
      <c r="A1206" s="22">
        <v>39557</v>
      </c>
      <c r="G1206" s="29"/>
      <c r="Q1206" s="28">
        <v>0</v>
      </c>
    </row>
    <row r="1207" spans="1:17" x14ac:dyDescent="0.25">
      <c r="A1207" s="22">
        <v>39558</v>
      </c>
      <c r="G1207" s="29"/>
      <c r="Q1207" s="28">
        <v>0</v>
      </c>
    </row>
    <row r="1208" spans="1:17" x14ac:dyDescent="0.25">
      <c r="A1208" s="22">
        <v>39559</v>
      </c>
      <c r="G1208" s="28"/>
      <c r="Q1208" s="28">
        <v>2.2999999999999998</v>
      </c>
    </row>
    <row r="1209" spans="1:17" x14ac:dyDescent="0.25">
      <c r="A1209" s="22">
        <v>39560</v>
      </c>
      <c r="G1209" s="28"/>
      <c r="Q1209" s="28">
        <v>0.7</v>
      </c>
    </row>
    <row r="1210" spans="1:17" x14ac:dyDescent="0.25">
      <c r="A1210" s="22">
        <v>39561</v>
      </c>
      <c r="G1210" s="28"/>
      <c r="Q1210" s="28">
        <v>0</v>
      </c>
    </row>
    <row r="1211" spans="1:17" x14ac:dyDescent="0.25">
      <c r="A1211" s="22">
        <v>39562</v>
      </c>
      <c r="G1211" s="28"/>
      <c r="Q1211" s="28">
        <v>0</v>
      </c>
    </row>
    <row r="1212" spans="1:17" x14ac:dyDescent="0.25">
      <c r="A1212" s="22">
        <v>39563</v>
      </c>
      <c r="G1212" s="28"/>
      <c r="Q1212" s="28">
        <v>0</v>
      </c>
    </row>
    <row r="1213" spans="1:17" x14ac:dyDescent="0.25">
      <c r="A1213" s="22">
        <v>39564</v>
      </c>
      <c r="G1213" s="28"/>
      <c r="Q1213" s="28">
        <v>0</v>
      </c>
    </row>
    <row r="1214" spans="1:17" x14ac:dyDescent="0.25">
      <c r="A1214" s="22">
        <v>39565</v>
      </c>
      <c r="G1214" s="28"/>
      <c r="Q1214" s="28">
        <v>0</v>
      </c>
    </row>
    <row r="1215" spans="1:17" x14ac:dyDescent="0.25">
      <c r="A1215" s="22">
        <v>39566</v>
      </c>
      <c r="G1215" s="28"/>
      <c r="Q1215" s="28">
        <v>0</v>
      </c>
    </row>
    <row r="1216" spans="1:17" x14ac:dyDescent="0.25">
      <c r="A1216" s="22">
        <v>39567</v>
      </c>
      <c r="G1216" s="28"/>
      <c r="Q1216" s="28">
        <v>0</v>
      </c>
    </row>
    <row r="1217" spans="1:17" x14ac:dyDescent="0.25">
      <c r="A1217" s="22">
        <v>39568</v>
      </c>
      <c r="G1217" s="28"/>
      <c r="Q1217" s="28">
        <v>0</v>
      </c>
    </row>
    <row r="1218" spans="1:17" x14ac:dyDescent="0.25">
      <c r="A1218" s="22">
        <v>39569</v>
      </c>
      <c r="G1218" s="28"/>
      <c r="Q1218" s="28">
        <v>0</v>
      </c>
    </row>
    <row r="1219" spans="1:17" x14ac:dyDescent="0.25">
      <c r="A1219" s="22">
        <v>39570</v>
      </c>
      <c r="G1219" s="28"/>
      <c r="Q1219" s="28">
        <v>0</v>
      </c>
    </row>
    <row r="1220" spans="1:17" x14ac:dyDescent="0.25">
      <c r="A1220" s="22">
        <v>39571</v>
      </c>
      <c r="G1220" s="28"/>
      <c r="Q1220" s="28">
        <v>0</v>
      </c>
    </row>
    <row r="1221" spans="1:17" x14ac:dyDescent="0.25">
      <c r="A1221" s="22">
        <v>39572</v>
      </c>
      <c r="G1221" s="28"/>
      <c r="Q1221" s="28">
        <v>0</v>
      </c>
    </row>
    <row r="1222" spans="1:17" x14ac:dyDescent="0.25">
      <c r="A1222" s="22">
        <v>39573</v>
      </c>
      <c r="G1222" s="29"/>
      <c r="Q1222" s="28">
        <v>5.8</v>
      </c>
    </row>
    <row r="1223" spans="1:17" x14ac:dyDescent="0.25">
      <c r="A1223" s="22">
        <v>39574</v>
      </c>
      <c r="G1223" s="28"/>
      <c r="Q1223" s="28">
        <v>0</v>
      </c>
    </row>
    <row r="1224" spans="1:17" x14ac:dyDescent="0.25">
      <c r="A1224" s="22">
        <v>39575</v>
      </c>
      <c r="G1224" s="28"/>
      <c r="Q1224" s="28">
        <v>0.1</v>
      </c>
    </row>
    <row r="1225" spans="1:17" x14ac:dyDescent="0.25">
      <c r="A1225" s="22">
        <v>39576</v>
      </c>
      <c r="G1225" s="29"/>
      <c r="Q1225" s="28">
        <v>0</v>
      </c>
    </row>
    <row r="1226" spans="1:17" x14ac:dyDescent="0.25">
      <c r="A1226" s="22">
        <v>39577</v>
      </c>
      <c r="G1226" s="28"/>
      <c r="Q1226" s="28">
        <v>0</v>
      </c>
    </row>
    <row r="1227" spans="1:17" x14ac:dyDescent="0.25">
      <c r="A1227" s="22">
        <v>39578</v>
      </c>
      <c r="G1227" s="28"/>
      <c r="Q1227" s="28">
        <v>1.1000000000000001</v>
      </c>
    </row>
    <row r="1228" spans="1:17" x14ac:dyDescent="0.25">
      <c r="A1228" s="22">
        <v>39579</v>
      </c>
      <c r="G1228" s="28"/>
      <c r="Q1228" s="28">
        <v>0</v>
      </c>
    </row>
    <row r="1229" spans="1:17" x14ac:dyDescent="0.25">
      <c r="A1229" s="22">
        <v>39580</v>
      </c>
      <c r="G1229" s="28"/>
      <c r="Q1229" s="28">
        <v>0</v>
      </c>
    </row>
    <row r="1230" spans="1:17" x14ac:dyDescent="0.25">
      <c r="A1230" s="22">
        <v>39581</v>
      </c>
      <c r="G1230" s="29"/>
      <c r="Q1230" s="28">
        <v>0.6</v>
      </c>
    </row>
    <row r="1231" spans="1:17" x14ac:dyDescent="0.25">
      <c r="A1231" s="22">
        <v>39582</v>
      </c>
      <c r="G1231" s="29"/>
      <c r="Q1231" s="28">
        <v>0</v>
      </c>
    </row>
    <row r="1232" spans="1:17" x14ac:dyDescent="0.25">
      <c r="A1232" s="22">
        <v>39583</v>
      </c>
      <c r="G1232" s="29"/>
      <c r="Q1232" s="28">
        <v>0</v>
      </c>
    </row>
    <row r="1233" spans="1:17" x14ac:dyDescent="0.25">
      <c r="A1233" s="22">
        <v>39584</v>
      </c>
      <c r="G1233" s="29"/>
      <c r="Q1233" s="28">
        <v>0</v>
      </c>
    </row>
    <row r="1234" spans="1:17" x14ac:dyDescent="0.25">
      <c r="A1234" s="22">
        <v>39585</v>
      </c>
      <c r="G1234" s="28"/>
      <c r="Q1234" s="28">
        <v>3.6</v>
      </c>
    </row>
    <row r="1235" spans="1:17" x14ac:dyDescent="0.25">
      <c r="A1235" s="22">
        <v>39586</v>
      </c>
      <c r="G1235" s="28"/>
      <c r="Q1235" s="28">
        <v>2.5</v>
      </c>
    </row>
    <row r="1236" spans="1:17" x14ac:dyDescent="0.25">
      <c r="A1236" s="22">
        <v>39587</v>
      </c>
      <c r="G1236" s="29"/>
      <c r="Q1236" s="28">
        <v>0</v>
      </c>
    </row>
    <row r="1237" spans="1:17" x14ac:dyDescent="0.25">
      <c r="A1237" s="22">
        <v>39588</v>
      </c>
      <c r="G1237" s="29"/>
      <c r="Q1237" s="28">
        <v>0</v>
      </c>
    </row>
    <row r="1238" spans="1:17" x14ac:dyDescent="0.25">
      <c r="A1238" s="22">
        <v>39589</v>
      </c>
      <c r="G1238" s="28"/>
      <c r="Q1238" s="28">
        <v>0</v>
      </c>
    </row>
    <row r="1239" spans="1:17" x14ac:dyDescent="0.25">
      <c r="A1239" s="22">
        <v>39590</v>
      </c>
      <c r="G1239" s="28"/>
      <c r="Q1239" s="28">
        <v>0.1</v>
      </c>
    </row>
    <row r="1240" spans="1:17" x14ac:dyDescent="0.25">
      <c r="A1240" s="22">
        <v>39591</v>
      </c>
      <c r="G1240" s="28"/>
      <c r="Q1240" s="28">
        <v>0</v>
      </c>
    </row>
    <row r="1241" spans="1:17" x14ac:dyDescent="0.25">
      <c r="A1241" s="22">
        <v>39592</v>
      </c>
      <c r="G1241" s="28"/>
      <c r="Q1241" s="28">
        <v>0</v>
      </c>
    </row>
    <row r="1242" spans="1:17" x14ac:dyDescent="0.25">
      <c r="A1242" s="22">
        <v>39593</v>
      </c>
      <c r="G1242" s="28"/>
      <c r="Q1242" s="28">
        <v>0</v>
      </c>
    </row>
    <row r="1243" spans="1:17" x14ac:dyDescent="0.25">
      <c r="A1243" s="22">
        <v>39594</v>
      </c>
      <c r="G1243" s="28"/>
      <c r="Q1243" s="28">
        <v>0</v>
      </c>
    </row>
    <row r="1244" spans="1:17" x14ac:dyDescent="0.25">
      <c r="A1244" s="22">
        <v>39595</v>
      </c>
      <c r="G1244" s="28"/>
      <c r="Q1244" s="28">
        <v>0.4</v>
      </c>
    </row>
    <row r="1245" spans="1:17" x14ac:dyDescent="0.25">
      <c r="A1245" s="22">
        <v>39596</v>
      </c>
      <c r="G1245" s="28"/>
      <c r="Q1245" s="28">
        <v>0.2</v>
      </c>
    </row>
    <row r="1246" spans="1:17" x14ac:dyDescent="0.25">
      <c r="A1246" s="22">
        <v>39597</v>
      </c>
      <c r="G1246" s="28"/>
      <c r="Q1246" s="28">
        <v>0</v>
      </c>
    </row>
    <row r="1247" spans="1:17" x14ac:dyDescent="0.25">
      <c r="A1247" s="22">
        <v>39598</v>
      </c>
      <c r="G1247" s="28"/>
      <c r="Q1247" s="28">
        <v>0</v>
      </c>
    </row>
    <row r="1248" spans="1:17" x14ac:dyDescent="0.25">
      <c r="A1248" s="22">
        <v>39599</v>
      </c>
      <c r="G1248" s="28"/>
      <c r="Q1248" s="28">
        <v>0</v>
      </c>
    </row>
    <row r="1249" spans="1:17" x14ac:dyDescent="0.25">
      <c r="A1249" s="22">
        <v>39600</v>
      </c>
      <c r="G1249" s="28"/>
      <c r="Q1249" s="28">
        <v>0</v>
      </c>
    </row>
    <row r="1250" spans="1:17" x14ac:dyDescent="0.25">
      <c r="A1250" s="22">
        <v>39601</v>
      </c>
      <c r="G1250" s="28"/>
      <c r="Q1250" s="28">
        <v>0</v>
      </c>
    </row>
    <row r="1251" spans="1:17" x14ac:dyDescent="0.25">
      <c r="A1251" s="22">
        <v>39602</v>
      </c>
      <c r="G1251" s="28"/>
      <c r="Q1251" s="28">
        <v>0.2</v>
      </c>
    </row>
    <row r="1252" spans="1:17" x14ac:dyDescent="0.25">
      <c r="A1252" s="22">
        <v>39603</v>
      </c>
      <c r="G1252" s="28"/>
      <c r="Q1252" s="28">
        <v>9.5</v>
      </c>
    </row>
    <row r="1253" spans="1:17" x14ac:dyDescent="0.25">
      <c r="A1253" s="22">
        <v>39604</v>
      </c>
      <c r="G1253" s="29"/>
      <c r="Q1253" s="28">
        <v>0.1</v>
      </c>
    </row>
    <row r="1254" spans="1:17" x14ac:dyDescent="0.25">
      <c r="A1254" s="22">
        <v>39605</v>
      </c>
      <c r="G1254" s="28"/>
      <c r="Q1254" s="28">
        <v>6.1</v>
      </c>
    </row>
    <row r="1255" spans="1:17" x14ac:dyDescent="0.25">
      <c r="A1255" s="22">
        <v>39606</v>
      </c>
      <c r="G1255" s="28"/>
      <c r="Q1255" s="28">
        <v>0.2</v>
      </c>
    </row>
    <row r="1256" spans="1:17" x14ac:dyDescent="0.25">
      <c r="A1256" s="22">
        <v>39607</v>
      </c>
      <c r="G1256" s="29"/>
      <c r="Q1256" s="28">
        <v>0</v>
      </c>
    </row>
    <row r="1257" spans="1:17" x14ac:dyDescent="0.25">
      <c r="A1257" s="22">
        <v>39608</v>
      </c>
      <c r="G1257" s="28"/>
      <c r="Q1257" s="28">
        <v>0.1</v>
      </c>
    </row>
    <row r="1258" spans="1:17" x14ac:dyDescent="0.25">
      <c r="A1258" s="22">
        <v>39609</v>
      </c>
      <c r="G1258" s="28"/>
      <c r="Q1258" s="28">
        <v>0.1</v>
      </c>
    </row>
    <row r="1259" spans="1:17" x14ac:dyDescent="0.25">
      <c r="A1259" s="22">
        <v>39610</v>
      </c>
      <c r="G1259" s="28"/>
      <c r="Q1259" s="28">
        <v>28.4</v>
      </c>
    </row>
    <row r="1260" spans="1:17" x14ac:dyDescent="0.25">
      <c r="A1260" s="22">
        <v>39611</v>
      </c>
      <c r="G1260" s="28"/>
      <c r="Q1260" s="28">
        <v>2.2000000000000002</v>
      </c>
    </row>
    <row r="1261" spans="1:17" x14ac:dyDescent="0.25">
      <c r="A1261" s="22">
        <v>39612</v>
      </c>
      <c r="G1261" s="29"/>
      <c r="Q1261" s="28">
        <v>0</v>
      </c>
    </row>
    <row r="1262" spans="1:17" x14ac:dyDescent="0.25">
      <c r="A1262" s="22">
        <v>39613</v>
      </c>
      <c r="G1262" s="29"/>
      <c r="Q1262" s="28">
        <v>0</v>
      </c>
    </row>
    <row r="1263" spans="1:17" x14ac:dyDescent="0.25">
      <c r="A1263" s="22">
        <v>39614</v>
      </c>
      <c r="G1263" s="29"/>
      <c r="Q1263" s="28">
        <v>0.6</v>
      </c>
    </row>
    <row r="1264" spans="1:17" x14ac:dyDescent="0.25">
      <c r="A1264" s="22">
        <v>39615</v>
      </c>
      <c r="G1264" s="29"/>
      <c r="Q1264" s="28">
        <v>3.5</v>
      </c>
    </row>
    <row r="1265" spans="1:17" x14ac:dyDescent="0.25">
      <c r="A1265" s="22">
        <v>39616</v>
      </c>
      <c r="G1265" s="28"/>
      <c r="Q1265" s="28">
        <v>0</v>
      </c>
    </row>
    <row r="1266" spans="1:17" x14ac:dyDescent="0.25">
      <c r="A1266" s="22">
        <v>39617</v>
      </c>
      <c r="G1266" s="28"/>
      <c r="Q1266" s="28">
        <v>17.3</v>
      </c>
    </row>
    <row r="1267" spans="1:17" x14ac:dyDescent="0.25">
      <c r="A1267" s="22">
        <v>39618</v>
      </c>
      <c r="G1267" s="29"/>
      <c r="Q1267" s="28">
        <v>0</v>
      </c>
    </row>
    <row r="1268" spans="1:17" x14ac:dyDescent="0.25">
      <c r="A1268" s="22">
        <v>39619</v>
      </c>
      <c r="G1268" s="29"/>
      <c r="Q1268" s="28">
        <v>52.1</v>
      </c>
    </row>
    <row r="1269" spans="1:17" x14ac:dyDescent="0.25">
      <c r="A1269" s="22">
        <v>39620</v>
      </c>
      <c r="G1269" s="28"/>
      <c r="Q1269" s="28">
        <v>0.6</v>
      </c>
    </row>
    <row r="1270" spans="1:17" x14ac:dyDescent="0.25">
      <c r="A1270" s="22">
        <v>39621</v>
      </c>
      <c r="G1270" s="28"/>
      <c r="Q1270" s="28">
        <v>0.6</v>
      </c>
    </row>
    <row r="1271" spans="1:17" x14ac:dyDescent="0.25">
      <c r="A1271" s="22">
        <v>39622</v>
      </c>
      <c r="G1271" s="28"/>
      <c r="Q1271" s="28">
        <v>18.8</v>
      </c>
    </row>
    <row r="1272" spans="1:17" x14ac:dyDescent="0.25">
      <c r="A1272" s="22">
        <v>39623</v>
      </c>
      <c r="G1272" s="28"/>
      <c r="Q1272" s="28">
        <v>1.9</v>
      </c>
    </row>
    <row r="1273" spans="1:17" x14ac:dyDescent="0.25">
      <c r="A1273" s="22">
        <v>39624</v>
      </c>
      <c r="G1273" s="28"/>
      <c r="Q1273" s="28">
        <v>0.5</v>
      </c>
    </row>
    <row r="1274" spans="1:17" x14ac:dyDescent="0.25">
      <c r="A1274" s="22">
        <v>39625</v>
      </c>
      <c r="G1274" s="28"/>
      <c r="Q1274" s="28">
        <v>0.7</v>
      </c>
    </row>
    <row r="1275" spans="1:17" x14ac:dyDescent="0.25">
      <c r="A1275" s="22">
        <v>39626</v>
      </c>
      <c r="G1275" s="28"/>
      <c r="Q1275" s="28">
        <v>8.1999999999999993</v>
      </c>
    </row>
    <row r="1276" spans="1:17" x14ac:dyDescent="0.25">
      <c r="A1276" s="22">
        <v>39627</v>
      </c>
      <c r="G1276" s="28"/>
      <c r="Q1276" s="28">
        <v>5.3</v>
      </c>
    </row>
    <row r="1277" spans="1:17" x14ac:dyDescent="0.25">
      <c r="A1277" s="22">
        <v>39628</v>
      </c>
      <c r="G1277" s="28"/>
      <c r="Q1277" s="28">
        <v>2.8</v>
      </c>
    </row>
    <row r="1278" spans="1:17" x14ac:dyDescent="0.25">
      <c r="A1278" s="22">
        <v>39629</v>
      </c>
      <c r="G1278" s="28"/>
      <c r="Q1278" s="28">
        <v>3.2</v>
      </c>
    </row>
    <row r="1279" spans="1:17" x14ac:dyDescent="0.25">
      <c r="A1279" s="22">
        <v>39630</v>
      </c>
      <c r="G1279" s="28"/>
      <c r="Q1279" s="28">
        <v>36.200000000000003</v>
      </c>
    </row>
    <row r="1280" spans="1:17" x14ac:dyDescent="0.25">
      <c r="A1280" s="22">
        <v>39631</v>
      </c>
      <c r="G1280" s="28"/>
      <c r="Q1280" s="28">
        <v>2.7</v>
      </c>
    </row>
    <row r="1281" spans="1:17" x14ac:dyDescent="0.25">
      <c r="A1281" s="22">
        <v>39632</v>
      </c>
      <c r="G1281" s="28"/>
      <c r="Q1281" s="28">
        <v>18.899999999999999</v>
      </c>
    </row>
    <row r="1282" spans="1:17" x14ac:dyDescent="0.25">
      <c r="A1282" s="22">
        <v>39633</v>
      </c>
      <c r="G1282" s="28"/>
      <c r="Q1282" s="28">
        <v>0.2</v>
      </c>
    </row>
    <row r="1283" spans="1:17" x14ac:dyDescent="0.25">
      <c r="A1283" s="22">
        <v>39634</v>
      </c>
      <c r="G1283" s="29"/>
      <c r="Q1283" s="28">
        <v>0</v>
      </c>
    </row>
    <row r="1284" spans="1:17" x14ac:dyDescent="0.25">
      <c r="A1284" s="22">
        <v>39635</v>
      </c>
      <c r="G1284" s="28"/>
      <c r="Q1284" s="28">
        <v>1.3</v>
      </c>
    </row>
    <row r="1285" spans="1:17" x14ac:dyDescent="0.25">
      <c r="A1285" s="22">
        <v>39636</v>
      </c>
      <c r="G1285" s="28"/>
      <c r="Q1285" s="28">
        <v>0.2</v>
      </c>
    </row>
    <row r="1286" spans="1:17" x14ac:dyDescent="0.25">
      <c r="A1286" s="22">
        <v>39637</v>
      </c>
      <c r="G1286" s="29"/>
      <c r="Q1286" s="28">
        <v>1.1000000000000001</v>
      </c>
    </row>
    <row r="1287" spans="1:17" x14ac:dyDescent="0.25">
      <c r="A1287" s="22">
        <v>39638</v>
      </c>
      <c r="G1287" s="28"/>
      <c r="Q1287" s="28">
        <v>3.7</v>
      </c>
    </row>
    <row r="1288" spans="1:17" x14ac:dyDescent="0.25">
      <c r="A1288" s="22">
        <v>39639</v>
      </c>
      <c r="G1288" s="28"/>
      <c r="Q1288" s="28">
        <v>1.4</v>
      </c>
    </row>
    <row r="1289" spans="1:17" x14ac:dyDescent="0.25">
      <c r="A1289" s="22">
        <v>39640</v>
      </c>
      <c r="G1289" s="28"/>
      <c r="Q1289" s="28">
        <v>9.9</v>
      </c>
    </row>
    <row r="1290" spans="1:17" x14ac:dyDescent="0.25">
      <c r="A1290" s="22">
        <v>39641</v>
      </c>
      <c r="G1290" s="28"/>
      <c r="Q1290" s="28">
        <v>9.1</v>
      </c>
    </row>
    <row r="1291" spans="1:17" x14ac:dyDescent="0.25">
      <c r="A1291" s="22">
        <v>39642</v>
      </c>
      <c r="G1291" s="29"/>
      <c r="Q1291" s="28">
        <v>34.799999999999997</v>
      </c>
    </row>
    <row r="1292" spans="1:17" x14ac:dyDescent="0.25">
      <c r="A1292" s="22">
        <v>39643</v>
      </c>
      <c r="G1292" s="29"/>
      <c r="Q1292" s="28">
        <v>21.5</v>
      </c>
    </row>
    <row r="1293" spans="1:17" x14ac:dyDescent="0.25">
      <c r="A1293" s="22">
        <v>39644</v>
      </c>
      <c r="G1293" s="29"/>
      <c r="Q1293" s="28">
        <v>9.5</v>
      </c>
    </row>
    <row r="1294" spans="1:17" x14ac:dyDescent="0.25">
      <c r="A1294" s="22">
        <v>39645</v>
      </c>
      <c r="G1294" s="29"/>
      <c r="Q1294" s="28">
        <v>29.5</v>
      </c>
    </row>
    <row r="1295" spans="1:17" x14ac:dyDescent="0.25">
      <c r="A1295" s="22">
        <v>39646</v>
      </c>
      <c r="G1295" s="28"/>
      <c r="Q1295" s="28">
        <v>0.6</v>
      </c>
    </row>
    <row r="1296" spans="1:17" x14ac:dyDescent="0.25">
      <c r="A1296" s="22">
        <v>39647</v>
      </c>
      <c r="G1296" s="28"/>
      <c r="Q1296" s="28">
        <v>5.2</v>
      </c>
    </row>
    <row r="1297" spans="1:17" x14ac:dyDescent="0.25">
      <c r="A1297" s="22">
        <v>39648</v>
      </c>
      <c r="G1297" s="29"/>
      <c r="Q1297" s="28">
        <v>8.6999999999999993</v>
      </c>
    </row>
    <row r="1298" spans="1:17" x14ac:dyDescent="0.25">
      <c r="A1298" s="22">
        <v>39649</v>
      </c>
      <c r="G1298" s="29"/>
      <c r="Q1298" s="28">
        <v>0.9</v>
      </c>
    </row>
    <row r="1299" spans="1:17" x14ac:dyDescent="0.25">
      <c r="A1299" s="22">
        <v>39650</v>
      </c>
      <c r="G1299" s="28"/>
      <c r="Q1299" s="28">
        <v>6.6</v>
      </c>
    </row>
    <row r="1300" spans="1:17" x14ac:dyDescent="0.25">
      <c r="A1300" s="22">
        <v>39651</v>
      </c>
      <c r="G1300" s="28"/>
      <c r="Q1300" s="28">
        <v>2.2000000000000002</v>
      </c>
    </row>
    <row r="1301" spans="1:17" x14ac:dyDescent="0.25">
      <c r="A1301" s="22">
        <v>39652</v>
      </c>
      <c r="G1301" s="28"/>
      <c r="Q1301" s="28">
        <v>1.6</v>
      </c>
    </row>
    <row r="1302" spans="1:17" x14ac:dyDescent="0.25">
      <c r="A1302" s="22">
        <v>39653</v>
      </c>
      <c r="G1302" s="28"/>
      <c r="Q1302" s="28">
        <v>4</v>
      </c>
    </row>
    <row r="1303" spans="1:17" x14ac:dyDescent="0.25">
      <c r="A1303" s="22">
        <v>39654</v>
      </c>
      <c r="G1303" s="28"/>
      <c r="Q1303" s="28">
        <v>1</v>
      </c>
    </row>
    <row r="1304" spans="1:17" x14ac:dyDescent="0.25">
      <c r="A1304" s="22">
        <v>39655</v>
      </c>
      <c r="G1304" s="28"/>
      <c r="Q1304" s="28">
        <v>0.2</v>
      </c>
    </row>
    <row r="1305" spans="1:17" x14ac:dyDescent="0.25">
      <c r="A1305" s="22">
        <v>39656</v>
      </c>
      <c r="G1305" s="28"/>
      <c r="Q1305" s="28">
        <v>0</v>
      </c>
    </row>
    <row r="1306" spans="1:17" x14ac:dyDescent="0.25">
      <c r="A1306" s="22">
        <v>39657</v>
      </c>
      <c r="G1306" s="28"/>
      <c r="Q1306" s="28">
        <v>6.8</v>
      </c>
    </row>
    <row r="1307" spans="1:17" x14ac:dyDescent="0.25">
      <c r="A1307" s="22">
        <v>39658</v>
      </c>
      <c r="G1307" s="28"/>
      <c r="Q1307" s="28">
        <v>0</v>
      </c>
    </row>
    <row r="1308" spans="1:17" x14ac:dyDescent="0.25">
      <c r="A1308" s="22">
        <v>39659</v>
      </c>
      <c r="G1308" s="28"/>
      <c r="Q1308" s="28">
        <v>5.9</v>
      </c>
    </row>
    <row r="1309" spans="1:17" x14ac:dyDescent="0.25">
      <c r="A1309" s="22">
        <v>39660</v>
      </c>
      <c r="G1309" s="28"/>
      <c r="Q1309" s="28">
        <v>4.7</v>
      </c>
    </row>
    <row r="1310" spans="1:17" x14ac:dyDescent="0.25">
      <c r="A1310" s="22">
        <v>39661</v>
      </c>
      <c r="G1310" s="28"/>
      <c r="Q1310" s="28">
        <v>35.5</v>
      </c>
    </row>
    <row r="1311" spans="1:17" x14ac:dyDescent="0.25">
      <c r="A1311" s="22">
        <v>39662</v>
      </c>
      <c r="G1311" s="28"/>
      <c r="Q1311" s="28">
        <v>0</v>
      </c>
    </row>
    <row r="1312" spans="1:17" x14ac:dyDescent="0.25">
      <c r="A1312" s="22">
        <v>39663</v>
      </c>
      <c r="G1312" s="28"/>
      <c r="Q1312" s="28">
        <v>0.2</v>
      </c>
    </row>
    <row r="1313" spans="1:17" x14ac:dyDescent="0.25">
      <c r="A1313" s="22">
        <v>39664</v>
      </c>
      <c r="G1313" s="28"/>
      <c r="Q1313" s="28">
        <v>0</v>
      </c>
    </row>
    <row r="1314" spans="1:17" x14ac:dyDescent="0.25">
      <c r="A1314" s="22">
        <v>39665</v>
      </c>
      <c r="G1314" s="29"/>
      <c r="Q1314" s="28">
        <v>23.5</v>
      </c>
    </row>
    <row r="1315" spans="1:17" x14ac:dyDescent="0.25">
      <c r="A1315" s="22">
        <v>39666</v>
      </c>
      <c r="G1315" s="28"/>
      <c r="Q1315" s="28">
        <v>1.2</v>
      </c>
    </row>
    <row r="1316" spans="1:17" x14ac:dyDescent="0.25">
      <c r="A1316" s="22">
        <v>39667</v>
      </c>
      <c r="G1316" s="28"/>
      <c r="Q1316" s="28">
        <v>8.5</v>
      </c>
    </row>
    <row r="1317" spans="1:17" x14ac:dyDescent="0.25">
      <c r="A1317" s="22">
        <v>39668</v>
      </c>
      <c r="G1317" s="29"/>
      <c r="Q1317" s="28">
        <v>1</v>
      </c>
    </row>
    <row r="1318" spans="1:17" x14ac:dyDescent="0.25">
      <c r="A1318" s="22">
        <v>39669</v>
      </c>
      <c r="G1318" s="28"/>
      <c r="Q1318" s="28">
        <v>5.7</v>
      </c>
    </row>
    <row r="1319" spans="1:17" x14ac:dyDescent="0.25">
      <c r="A1319" s="22">
        <v>39670</v>
      </c>
      <c r="G1319" s="28"/>
      <c r="Q1319" s="28">
        <v>8.1</v>
      </c>
    </row>
    <row r="1320" spans="1:17" x14ac:dyDescent="0.25">
      <c r="A1320" s="22">
        <v>39671</v>
      </c>
      <c r="G1320" s="28"/>
      <c r="Q1320" s="28">
        <v>9.3000000000000007</v>
      </c>
    </row>
    <row r="1321" spans="1:17" x14ac:dyDescent="0.25">
      <c r="A1321" s="22">
        <v>39672</v>
      </c>
      <c r="G1321" s="28"/>
      <c r="Q1321" s="28">
        <v>3.9</v>
      </c>
    </row>
    <row r="1322" spans="1:17" x14ac:dyDescent="0.25">
      <c r="A1322" s="22">
        <v>39673</v>
      </c>
      <c r="G1322" s="29"/>
      <c r="Q1322" s="28">
        <v>0</v>
      </c>
    </row>
    <row r="1323" spans="1:17" x14ac:dyDescent="0.25">
      <c r="A1323" s="22">
        <v>39674</v>
      </c>
      <c r="G1323" s="29"/>
      <c r="Q1323" s="28">
        <v>0</v>
      </c>
    </row>
    <row r="1324" spans="1:17" x14ac:dyDescent="0.25">
      <c r="A1324" s="22">
        <v>39675</v>
      </c>
      <c r="G1324" s="29"/>
      <c r="Q1324" s="28">
        <v>3.1</v>
      </c>
    </row>
    <row r="1325" spans="1:17" x14ac:dyDescent="0.25">
      <c r="A1325" s="22">
        <v>39676</v>
      </c>
      <c r="G1325" s="29"/>
      <c r="Q1325" s="28">
        <v>1.2</v>
      </c>
    </row>
    <row r="1326" spans="1:17" x14ac:dyDescent="0.25">
      <c r="A1326" s="22">
        <v>39677</v>
      </c>
      <c r="G1326" s="28"/>
      <c r="Q1326" s="28">
        <v>15.8</v>
      </c>
    </row>
    <row r="1327" spans="1:17" x14ac:dyDescent="0.25">
      <c r="A1327" s="22">
        <v>39678</v>
      </c>
      <c r="G1327" s="28"/>
      <c r="Q1327" s="28">
        <v>0</v>
      </c>
    </row>
    <row r="1328" spans="1:17" x14ac:dyDescent="0.25">
      <c r="A1328" s="22">
        <v>39679</v>
      </c>
      <c r="G1328" s="29"/>
      <c r="Q1328" s="28">
        <v>5</v>
      </c>
    </row>
    <row r="1329" spans="1:17" x14ac:dyDescent="0.25">
      <c r="A1329" s="22">
        <v>39680</v>
      </c>
      <c r="G1329" s="29"/>
      <c r="Q1329" s="28">
        <v>5.7</v>
      </c>
    </row>
    <row r="1330" spans="1:17" x14ac:dyDescent="0.25">
      <c r="A1330" s="22">
        <v>39681</v>
      </c>
      <c r="G1330" s="28"/>
      <c r="Q1330" s="28">
        <v>11.2</v>
      </c>
    </row>
    <row r="1331" spans="1:17" x14ac:dyDescent="0.25">
      <c r="A1331" s="22">
        <v>39682</v>
      </c>
      <c r="G1331" s="28"/>
      <c r="Q1331" s="28">
        <v>34.200000000000003</v>
      </c>
    </row>
    <row r="1332" spans="1:17" x14ac:dyDescent="0.25">
      <c r="A1332" s="22">
        <v>39683</v>
      </c>
      <c r="G1332" s="28"/>
      <c r="Q1332" s="28">
        <v>20.5</v>
      </c>
    </row>
    <row r="1333" spans="1:17" x14ac:dyDescent="0.25">
      <c r="A1333" s="22">
        <v>39684</v>
      </c>
      <c r="G1333" s="28"/>
      <c r="Q1333" s="28">
        <v>0</v>
      </c>
    </row>
    <row r="1334" spans="1:17" x14ac:dyDescent="0.25">
      <c r="A1334" s="22">
        <v>39685</v>
      </c>
      <c r="G1334" s="28"/>
      <c r="Q1334" s="28">
        <v>0</v>
      </c>
    </row>
    <row r="1335" spans="1:17" x14ac:dyDescent="0.25">
      <c r="A1335" s="22">
        <v>39686</v>
      </c>
      <c r="G1335" s="28"/>
      <c r="Q1335" s="28">
        <v>0</v>
      </c>
    </row>
    <row r="1336" spans="1:17" x14ac:dyDescent="0.25">
      <c r="A1336" s="22">
        <v>39687</v>
      </c>
      <c r="G1336" s="28"/>
      <c r="Q1336" s="28">
        <v>0</v>
      </c>
    </row>
    <row r="1337" spans="1:17" x14ac:dyDescent="0.25">
      <c r="A1337" s="22">
        <v>39688</v>
      </c>
      <c r="G1337" s="28"/>
      <c r="Q1337" s="28">
        <v>1.3</v>
      </c>
    </row>
    <row r="1338" spans="1:17" x14ac:dyDescent="0.25">
      <c r="A1338" s="22">
        <v>39689</v>
      </c>
      <c r="G1338" s="28"/>
      <c r="Q1338" s="28">
        <v>0</v>
      </c>
    </row>
    <row r="1339" spans="1:17" x14ac:dyDescent="0.25">
      <c r="A1339" s="22">
        <v>39690</v>
      </c>
      <c r="G1339" s="28"/>
      <c r="Q1339" s="28">
        <v>7.4</v>
      </c>
    </row>
    <row r="1340" spans="1:17" x14ac:dyDescent="0.25">
      <c r="A1340" s="22">
        <v>39691</v>
      </c>
      <c r="G1340" s="28"/>
      <c r="Q1340" s="28">
        <v>0</v>
      </c>
    </row>
    <row r="1341" spans="1:17" x14ac:dyDescent="0.25">
      <c r="A1341" s="22">
        <v>39692</v>
      </c>
      <c r="G1341" s="28"/>
      <c r="Q1341" s="28">
        <v>3.6</v>
      </c>
    </row>
    <row r="1342" spans="1:17" x14ac:dyDescent="0.25">
      <c r="A1342" s="22">
        <v>39693</v>
      </c>
      <c r="G1342" s="28"/>
      <c r="Q1342" s="28">
        <v>0.1</v>
      </c>
    </row>
    <row r="1343" spans="1:17" x14ac:dyDescent="0.25">
      <c r="A1343" s="22">
        <v>39694</v>
      </c>
      <c r="G1343" s="28"/>
      <c r="Q1343" s="28">
        <v>0</v>
      </c>
    </row>
    <row r="1344" spans="1:17" x14ac:dyDescent="0.25">
      <c r="A1344" s="22">
        <v>39695</v>
      </c>
      <c r="G1344" s="28"/>
      <c r="Q1344" s="28">
        <v>0.1</v>
      </c>
    </row>
    <row r="1345" spans="1:17" x14ac:dyDescent="0.25">
      <c r="A1345" s="22">
        <v>39696</v>
      </c>
      <c r="G1345" s="29"/>
      <c r="Q1345" s="28">
        <v>0.6</v>
      </c>
    </row>
    <row r="1346" spans="1:17" x14ac:dyDescent="0.25">
      <c r="A1346" s="22">
        <v>39697</v>
      </c>
      <c r="G1346" s="28"/>
      <c r="Q1346" s="28">
        <v>3.2</v>
      </c>
    </row>
    <row r="1347" spans="1:17" x14ac:dyDescent="0.25">
      <c r="A1347" s="22">
        <v>39698</v>
      </c>
      <c r="G1347" s="28"/>
      <c r="Q1347" s="28">
        <v>19.2</v>
      </c>
    </row>
    <row r="1348" spans="1:17" x14ac:dyDescent="0.25">
      <c r="A1348" s="22">
        <v>39699</v>
      </c>
      <c r="G1348" s="29"/>
      <c r="Q1348" s="28">
        <v>0.4</v>
      </c>
    </row>
    <row r="1349" spans="1:17" x14ac:dyDescent="0.25">
      <c r="A1349" s="22">
        <v>39700</v>
      </c>
      <c r="G1349" s="28"/>
      <c r="Q1349" s="28">
        <v>3.1</v>
      </c>
    </row>
    <row r="1350" spans="1:17" x14ac:dyDescent="0.25">
      <c r="A1350" s="22">
        <v>39701</v>
      </c>
      <c r="G1350" s="28"/>
      <c r="Q1350" s="28">
        <v>0</v>
      </c>
    </row>
    <row r="1351" spans="1:17" x14ac:dyDescent="0.25">
      <c r="A1351" s="22">
        <v>39702</v>
      </c>
      <c r="G1351" s="28"/>
      <c r="Q1351" s="28">
        <v>1.3</v>
      </c>
    </row>
    <row r="1352" spans="1:17" x14ac:dyDescent="0.25">
      <c r="A1352" s="22">
        <v>39703</v>
      </c>
      <c r="G1352" s="28"/>
      <c r="Q1352" s="28">
        <v>2.2999999999999998</v>
      </c>
    </row>
    <row r="1353" spans="1:17" x14ac:dyDescent="0.25">
      <c r="A1353" s="22">
        <v>39704</v>
      </c>
      <c r="G1353" s="29"/>
      <c r="Q1353" s="28">
        <v>1.7</v>
      </c>
    </row>
    <row r="1354" spans="1:17" x14ac:dyDescent="0.25">
      <c r="A1354" s="22">
        <v>39705</v>
      </c>
      <c r="G1354" s="29"/>
      <c r="Q1354" s="28">
        <v>0.2</v>
      </c>
    </row>
    <row r="1355" spans="1:17" x14ac:dyDescent="0.25">
      <c r="A1355" s="22">
        <v>39706</v>
      </c>
      <c r="G1355" s="29"/>
      <c r="Q1355" s="28">
        <v>0.1</v>
      </c>
    </row>
    <row r="1356" spans="1:17" x14ac:dyDescent="0.25">
      <c r="A1356" s="22">
        <v>39707</v>
      </c>
      <c r="G1356" s="29"/>
      <c r="Q1356" s="28">
        <v>4.5</v>
      </c>
    </row>
    <row r="1357" spans="1:17" x14ac:dyDescent="0.25">
      <c r="A1357" s="22">
        <v>39708</v>
      </c>
      <c r="G1357" s="28"/>
      <c r="Q1357" s="28">
        <v>11.8</v>
      </c>
    </row>
    <row r="1358" spans="1:17" x14ac:dyDescent="0.25">
      <c r="A1358" s="22">
        <v>39709</v>
      </c>
      <c r="G1358" s="28"/>
      <c r="Q1358" s="28">
        <v>11.5</v>
      </c>
    </row>
    <row r="1359" spans="1:17" x14ac:dyDescent="0.25">
      <c r="A1359" s="22">
        <v>39710</v>
      </c>
      <c r="G1359" s="29"/>
      <c r="Q1359" s="28">
        <v>15.9</v>
      </c>
    </row>
    <row r="1360" spans="1:17" x14ac:dyDescent="0.25">
      <c r="A1360" s="22">
        <v>39711</v>
      </c>
      <c r="G1360" s="29"/>
      <c r="Q1360" s="28">
        <v>0</v>
      </c>
    </row>
    <row r="1361" spans="1:17" x14ac:dyDescent="0.25">
      <c r="A1361" s="22">
        <v>39712</v>
      </c>
      <c r="G1361" s="28"/>
      <c r="Q1361" s="28">
        <v>0.4</v>
      </c>
    </row>
    <row r="1362" spans="1:17" x14ac:dyDescent="0.25">
      <c r="A1362" s="22">
        <v>39713</v>
      </c>
      <c r="G1362" s="28"/>
      <c r="Q1362" s="28">
        <v>2</v>
      </c>
    </row>
    <row r="1363" spans="1:17" x14ac:dyDescent="0.25">
      <c r="A1363" s="22">
        <v>39714</v>
      </c>
      <c r="G1363" s="28"/>
      <c r="Q1363" s="28">
        <v>2.6</v>
      </c>
    </row>
    <row r="1364" spans="1:17" x14ac:dyDescent="0.25">
      <c r="A1364" s="22">
        <v>39715</v>
      </c>
      <c r="G1364" s="28"/>
      <c r="Q1364" s="28">
        <v>0.3</v>
      </c>
    </row>
    <row r="1365" spans="1:17" x14ac:dyDescent="0.25">
      <c r="A1365" s="22">
        <v>39716</v>
      </c>
      <c r="G1365" s="28"/>
      <c r="Q1365" s="28">
        <v>0</v>
      </c>
    </row>
    <row r="1366" spans="1:17" x14ac:dyDescent="0.25">
      <c r="A1366" s="22">
        <v>39717</v>
      </c>
      <c r="G1366" s="28"/>
      <c r="Q1366" s="28">
        <v>0</v>
      </c>
    </row>
    <row r="1367" spans="1:17" x14ac:dyDescent="0.25">
      <c r="A1367" s="22">
        <v>39718</v>
      </c>
      <c r="G1367" s="28"/>
      <c r="Q1367" s="28">
        <v>21.5</v>
      </c>
    </row>
    <row r="1368" spans="1:17" x14ac:dyDescent="0.25">
      <c r="A1368" s="22">
        <v>39719</v>
      </c>
      <c r="G1368" s="28"/>
      <c r="Q1368" s="28">
        <v>11.7</v>
      </c>
    </row>
    <row r="1369" spans="1:17" x14ac:dyDescent="0.25">
      <c r="A1369" s="22">
        <v>39720</v>
      </c>
      <c r="G1369" s="28"/>
      <c r="Q1369" s="28">
        <v>46.8</v>
      </c>
    </row>
    <row r="1370" spans="1:17" x14ac:dyDescent="0.25">
      <c r="A1370" s="22">
        <v>39721</v>
      </c>
      <c r="G1370" s="28"/>
      <c r="Q1370" s="28">
        <v>3</v>
      </c>
    </row>
    <row r="1371" spans="1:17" x14ac:dyDescent="0.25">
      <c r="A1371" s="22">
        <v>39722</v>
      </c>
      <c r="G1371" s="28"/>
      <c r="Q1371" s="28">
        <v>5.2</v>
      </c>
    </row>
    <row r="1372" spans="1:17" x14ac:dyDescent="0.25">
      <c r="A1372" s="22">
        <v>39723</v>
      </c>
      <c r="G1372" s="28"/>
      <c r="Q1372" s="28">
        <v>3.1</v>
      </c>
    </row>
    <row r="1373" spans="1:17" x14ac:dyDescent="0.25">
      <c r="A1373" s="22">
        <v>39724</v>
      </c>
      <c r="G1373" s="28"/>
      <c r="Q1373" s="28">
        <v>46.9</v>
      </c>
    </row>
    <row r="1374" spans="1:17" x14ac:dyDescent="0.25">
      <c r="A1374" s="22">
        <v>39725</v>
      </c>
      <c r="G1374" s="28"/>
      <c r="Q1374" s="28">
        <v>9</v>
      </c>
    </row>
    <row r="1375" spans="1:17" x14ac:dyDescent="0.25">
      <c r="A1375" s="22">
        <v>39726</v>
      </c>
      <c r="G1375" s="29"/>
      <c r="Q1375" s="28">
        <v>2.4</v>
      </c>
    </row>
    <row r="1376" spans="1:17" x14ac:dyDescent="0.25">
      <c r="A1376" s="22">
        <v>39727</v>
      </c>
      <c r="G1376" s="28"/>
      <c r="Q1376" s="28">
        <v>0</v>
      </c>
    </row>
    <row r="1377" spans="1:17" x14ac:dyDescent="0.25">
      <c r="A1377" s="22">
        <v>39728</v>
      </c>
      <c r="G1377" s="28"/>
      <c r="Q1377" s="28">
        <v>1.4</v>
      </c>
    </row>
    <row r="1378" spans="1:17" x14ac:dyDescent="0.25">
      <c r="A1378" s="22">
        <v>39729</v>
      </c>
      <c r="G1378" s="29"/>
      <c r="Q1378" s="28">
        <v>45.2</v>
      </c>
    </row>
    <row r="1379" spans="1:17" x14ac:dyDescent="0.25">
      <c r="A1379" s="22">
        <v>39730</v>
      </c>
      <c r="G1379" s="28"/>
      <c r="Q1379" s="28">
        <v>38.700000000000003</v>
      </c>
    </row>
    <row r="1380" spans="1:17" x14ac:dyDescent="0.25">
      <c r="A1380" s="22">
        <v>39731</v>
      </c>
      <c r="G1380" s="28"/>
      <c r="Q1380" s="28">
        <v>35.5</v>
      </c>
    </row>
    <row r="1381" spans="1:17" x14ac:dyDescent="0.25">
      <c r="A1381" s="22">
        <v>39732</v>
      </c>
      <c r="G1381" s="28"/>
      <c r="Q1381" s="28">
        <v>43.6</v>
      </c>
    </row>
    <row r="1382" spans="1:17" x14ac:dyDescent="0.25">
      <c r="A1382" s="22">
        <v>39733</v>
      </c>
      <c r="G1382" s="28"/>
      <c r="Q1382" s="28">
        <v>2.5</v>
      </c>
    </row>
    <row r="1383" spans="1:17" x14ac:dyDescent="0.25">
      <c r="A1383" s="22">
        <v>39734</v>
      </c>
      <c r="G1383" s="29"/>
      <c r="Q1383" s="28">
        <v>4.7</v>
      </c>
    </row>
    <row r="1384" spans="1:17" x14ac:dyDescent="0.25">
      <c r="A1384" s="22">
        <v>39735</v>
      </c>
      <c r="G1384" s="29"/>
      <c r="Q1384" s="28">
        <v>7.8</v>
      </c>
    </row>
    <row r="1385" spans="1:17" x14ac:dyDescent="0.25">
      <c r="A1385" s="22">
        <v>39736</v>
      </c>
      <c r="G1385" s="29"/>
      <c r="Q1385" s="28">
        <v>0.1</v>
      </c>
    </row>
    <row r="1386" spans="1:17" x14ac:dyDescent="0.25">
      <c r="A1386" s="22">
        <v>39737</v>
      </c>
      <c r="G1386" s="29"/>
      <c r="Q1386" s="28">
        <v>0.5</v>
      </c>
    </row>
    <row r="1387" spans="1:17" x14ac:dyDescent="0.25">
      <c r="A1387" s="22">
        <v>39738</v>
      </c>
      <c r="G1387" s="28"/>
      <c r="Q1387" s="28">
        <v>2.2999999999999998</v>
      </c>
    </row>
    <row r="1388" spans="1:17" x14ac:dyDescent="0.25">
      <c r="A1388" s="22">
        <v>39739</v>
      </c>
      <c r="G1388" s="28"/>
      <c r="Q1388" s="28">
        <v>5.7</v>
      </c>
    </row>
    <row r="1389" spans="1:17" x14ac:dyDescent="0.25">
      <c r="A1389" s="22">
        <v>39740</v>
      </c>
      <c r="G1389" s="29"/>
      <c r="Q1389" s="28">
        <v>11.7</v>
      </c>
    </row>
    <row r="1390" spans="1:17" x14ac:dyDescent="0.25">
      <c r="A1390" s="22">
        <v>39741</v>
      </c>
      <c r="G1390" s="29"/>
      <c r="Q1390" s="28">
        <v>2</v>
      </c>
    </row>
    <row r="1391" spans="1:17" x14ac:dyDescent="0.25">
      <c r="A1391" s="22">
        <v>39742</v>
      </c>
      <c r="G1391" s="28"/>
      <c r="Q1391" s="28">
        <v>9.1999999999999993</v>
      </c>
    </row>
    <row r="1392" spans="1:17" x14ac:dyDescent="0.25">
      <c r="A1392" s="22">
        <v>39743</v>
      </c>
      <c r="G1392" s="28"/>
      <c r="Q1392" s="28">
        <v>22.1</v>
      </c>
    </row>
    <row r="1393" spans="1:17" x14ac:dyDescent="0.25">
      <c r="A1393" s="22">
        <v>39744</v>
      </c>
      <c r="G1393" s="28"/>
      <c r="Q1393" s="28">
        <v>3.7</v>
      </c>
    </row>
    <row r="1394" spans="1:17" x14ac:dyDescent="0.25">
      <c r="A1394" s="22">
        <v>39745</v>
      </c>
      <c r="G1394" s="28"/>
      <c r="Q1394" s="28">
        <v>8.1999999999999993</v>
      </c>
    </row>
    <row r="1395" spans="1:17" x14ac:dyDescent="0.25">
      <c r="A1395" s="22">
        <v>39746</v>
      </c>
      <c r="G1395" s="28"/>
      <c r="Q1395" s="28">
        <v>8</v>
      </c>
    </row>
    <row r="1396" spans="1:17" x14ac:dyDescent="0.25">
      <c r="A1396" s="22">
        <v>39747</v>
      </c>
      <c r="G1396" s="28"/>
      <c r="Q1396" s="28">
        <v>5.0999999999999996</v>
      </c>
    </row>
    <row r="1397" spans="1:17" x14ac:dyDescent="0.25">
      <c r="A1397" s="22">
        <v>39748</v>
      </c>
      <c r="G1397" s="28"/>
      <c r="Q1397" s="28">
        <v>1.6</v>
      </c>
    </row>
    <row r="1398" spans="1:17" x14ac:dyDescent="0.25">
      <c r="A1398" s="22">
        <v>39749</v>
      </c>
      <c r="G1398" s="28"/>
      <c r="Q1398" s="28">
        <v>0</v>
      </c>
    </row>
    <row r="1399" spans="1:17" x14ac:dyDescent="0.25">
      <c r="A1399" s="22">
        <v>39750</v>
      </c>
      <c r="G1399" s="28"/>
      <c r="Q1399" s="28">
        <v>10.6</v>
      </c>
    </row>
    <row r="1400" spans="1:17" x14ac:dyDescent="0.25">
      <c r="A1400" s="22">
        <v>39751</v>
      </c>
      <c r="G1400" s="28"/>
      <c r="Q1400" s="28">
        <v>5.0999999999999996</v>
      </c>
    </row>
    <row r="1401" spans="1:17" x14ac:dyDescent="0.25">
      <c r="A1401" s="22">
        <v>39752</v>
      </c>
      <c r="G1401" s="28"/>
      <c r="Q1401" s="28">
        <v>8.1999999999999993</v>
      </c>
    </row>
    <row r="1402" spans="1:17" x14ac:dyDescent="0.25">
      <c r="A1402" s="22">
        <v>39753</v>
      </c>
      <c r="G1402" s="28"/>
      <c r="Q1402" s="28">
        <v>0.5</v>
      </c>
    </row>
    <row r="1403" spans="1:17" x14ac:dyDescent="0.25">
      <c r="A1403" s="22">
        <v>39754</v>
      </c>
      <c r="G1403" s="28"/>
      <c r="Q1403" s="28">
        <v>2.9</v>
      </c>
    </row>
    <row r="1404" spans="1:17" x14ac:dyDescent="0.25">
      <c r="A1404" s="22">
        <v>39755</v>
      </c>
      <c r="G1404" s="28"/>
      <c r="Q1404" s="28">
        <v>0</v>
      </c>
    </row>
    <row r="1405" spans="1:17" x14ac:dyDescent="0.25">
      <c r="A1405" s="22">
        <v>39756</v>
      </c>
      <c r="G1405" s="28"/>
      <c r="Q1405" s="28">
        <v>0.3</v>
      </c>
    </row>
    <row r="1406" spans="1:17" x14ac:dyDescent="0.25">
      <c r="A1406" s="22">
        <v>39757</v>
      </c>
      <c r="G1406" s="29"/>
      <c r="Q1406" s="28">
        <v>0.5</v>
      </c>
    </row>
    <row r="1407" spans="1:17" x14ac:dyDescent="0.25">
      <c r="A1407" s="22">
        <v>39758</v>
      </c>
      <c r="G1407" s="28"/>
      <c r="Q1407" s="28">
        <v>2.9</v>
      </c>
    </row>
    <row r="1408" spans="1:17" x14ac:dyDescent="0.25">
      <c r="A1408" s="22">
        <v>39759</v>
      </c>
      <c r="G1408" s="28"/>
      <c r="Q1408" s="28">
        <v>5.4</v>
      </c>
    </row>
    <row r="1409" spans="1:17" x14ac:dyDescent="0.25">
      <c r="A1409" s="22">
        <v>39760</v>
      </c>
      <c r="G1409" s="29"/>
      <c r="Q1409" s="28">
        <v>6.7</v>
      </c>
    </row>
    <row r="1410" spans="1:17" x14ac:dyDescent="0.25">
      <c r="A1410" s="22">
        <v>39761</v>
      </c>
      <c r="G1410" s="28"/>
      <c r="Q1410" s="28">
        <v>15.7</v>
      </c>
    </row>
    <row r="1411" spans="1:17" x14ac:dyDescent="0.25">
      <c r="A1411" s="22">
        <v>39762</v>
      </c>
      <c r="G1411" s="28"/>
      <c r="Q1411" s="28">
        <v>12.5</v>
      </c>
    </row>
    <row r="1412" spans="1:17" x14ac:dyDescent="0.25">
      <c r="A1412" s="22">
        <v>39763</v>
      </c>
      <c r="G1412" s="28"/>
      <c r="Q1412" s="28">
        <v>1.2</v>
      </c>
    </row>
    <row r="1413" spans="1:17" x14ac:dyDescent="0.25">
      <c r="A1413" s="22">
        <v>39764</v>
      </c>
      <c r="G1413" s="28"/>
      <c r="Q1413" s="28">
        <v>0.8</v>
      </c>
    </row>
    <row r="1414" spans="1:17" x14ac:dyDescent="0.25">
      <c r="A1414" s="22">
        <v>39765</v>
      </c>
      <c r="G1414" s="29"/>
      <c r="Q1414" s="28">
        <v>3.2</v>
      </c>
    </row>
    <row r="1415" spans="1:17" x14ac:dyDescent="0.25">
      <c r="A1415" s="22">
        <v>39766</v>
      </c>
      <c r="G1415" s="29"/>
      <c r="Q1415" s="28">
        <v>17.399999999999999</v>
      </c>
    </row>
    <row r="1416" spans="1:17" x14ac:dyDescent="0.25">
      <c r="A1416" s="22">
        <v>39767</v>
      </c>
      <c r="G1416" s="29"/>
      <c r="Q1416" s="28">
        <v>35.5</v>
      </c>
    </row>
    <row r="1417" spans="1:17" x14ac:dyDescent="0.25">
      <c r="A1417" s="22">
        <v>39768</v>
      </c>
      <c r="G1417" s="29"/>
      <c r="Q1417" s="28">
        <v>15.5</v>
      </c>
    </row>
    <row r="1418" spans="1:17" x14ac:dyDescent="0.25">
      <c r="A1418" s="22">
        <v>39769</v>
      </c>
      <c r="G1418" s="28"/>
      <c r="Q1418" s="28">
        <v>109.9</v>
      </c>
    </row>
    <row r="1419" spans="1:17" x14ac:dyDescent="0.25">
      <c r="A1419" s="22">
        <v>39770</v>
      </c>
      <c r="G1419" s="28"/>
      <c r="Q1419" s="28">
        <v>90.6</v>
      </c>
    </row>
    <row r="1420" spans="1:17" x14ac:dyDescent="0.25">
      <c r="A1420" s="22">
        <v>39771</v>
      </c>
      <c r="G1420" s="29"/>
      <c r="Q1420" s="28">
        <v>19.399999999999999</v>
      </c>
    </row>
    <row r="1421" spans="1:17" x14ac:dyDescent="0.25">
      <c r="A1421" s="22">
        <v>39772</v>
      </c>
      <c r="G1421" s="29"/>
      <c r="Q1421" s="28">
        <v>13.5</v>
      </c>
    </row>
    <row r="1422" spans="1:17" x14ac:dyDescent="0.25">
      <c r="A1422" s="22">
        <v>39773</v>
      </c>
      <c r="G1422" s="28"/>
      <c r="Q1422" s="28">
        <v>18.600000000000001</v>
      </c>
    </row>
    <row r="1423" spans="1:17" x14ac:dyDescent="0.25">
      <c r="A1423" s="22">
        <v>39774</v>
      </c>
      <c r="G1423" s="28"/>
      <c r="Q1423" s="28">
        <v>7.5</v>
      </c>
    </row>
    <row r="1424" spans="1:17" x14ac:dyDescent="0.25">
      <c r="A1424" s="22">
        <v>39775</v>
      </c>
      <c r="G1424" s="28"/>
      <c r="Q1424" s="28">
        <v>4.5</v>
      </c>
    </row>
    <row r="1425" spans="1:17" x14ac:dyDescent="0.25">
      <c r="A1425" s="22">
        <v>39776</v>
      </c>
      <c r="G1425" s="28"/>
      <c r="Q1425" s="28">
        <v>1.1000000000000001</v>
      </c>
    </row>
    <row r="1426" spans="1:17" x14ac:dyDescent="0.25">
      <c r="A1426" s="22">
        <v>39777</v>
      </c>
      <c r="G1426" s="28"/>
      <c r="Q1426" s="28">
        <v>2.5</v>
      </c>
    </row>
    <row r="1427" spans="1:17" x14ac:dyDescent="0.25">
      <c r="A1427" s="22">
        <v>39778</v>
      </c>
      <c r="G1427" s="28"/>
      <c r="Q1427" s="28">
        <v>8.3000000000000007</v>
      </c>
    </row>
    <row r="1428" spans="1:17" x14ac:dyDescent="0.25">
      <c r="A1428" s="22">
        <v>39779</v>
      </c>
      <c r="G1428" s="28"/>
      <c r="Q1428" s="28">
        <v>0.4</v>
      </c>
    </row>
    <row r="1429" spans="1:17" x14ac:dyDescent="0.25">
      <c r="A1429" s="22">
        <v>39780</v>
      </c>
      <c r="G1429" s="28"/>
      <c r="Q1429" s="28">
        <v>15</v>
      </c>
    </row>
    <row r="1430" spans="1:17" x14ac:dyDescent="0.25">
      <c r="A1430" s="22">
        <v>39781</v>
      </c>
      <c r="G1430" s="28"/>
      <c r="Q1430" s="28">
        <v>6.9</v>
      </c>
    </row>
    <row r="1431" spans="1:17" x14ac:dyDescent="0.25">
      <c r="A1431" s="22">
        <v>39782</v>
      </c>
      <c r="G1431" s="28"/>
      <c r="Q1431" s="28">
        <v>17.5</v>
      </c>
    </row>
    <row r="1432" spans="1:17" x14ac:dyDescent="0.25">
      <c r="A1432" s="22">
        <v>39783</v>
      </c>
      <c r="G1432" s="38">
        <v>24.5</v>
      </c>
      <c r="Q1432" s="28">
        <v>10</v>
      </c>
    </row>
    <row r="1433" spans="1:17" x14ac:dyDescent="0.25">
      <c r="A1433" s="22">
        <v>39784</v>
      </c>
      <c r="G1433" s="38">
        <v>0</v>
      </c>
      <c r="Q1433" s="28">
        <v>0.7</v>
      </c>
    </row>
    <row r="1434" spans="1:17" x14ac:dyDescent="0.25">
      <c r="A1434" s="22">
        <v>39785</v>
      </c>
      <c r="G1434" s="38">
        <v>2.5</v>
      </c>
      <c r="Q1434" s="28">
        <v>0.1</v>
      </c>
    </row>
    <row r="1435" spans="1:17" x14ac:dyDescent="0.25">
      <c r="A1435" s="22">
        <v>39786</v>
      </c>
      <c r="G1435" s="38">
        <v>6.2</v>
      </c>
      <c r="Q1435" s="28">
        <v>5.0999999999999996</v>
      </c>
    </row>
    <row r="1436" spans="1:17" x14ac:dyDescent="0.25">
      <c r="A1436" s="22">
        <v>39787</v>
      </c>
      <c r="G1436" s="38">
        <v>4.9000000000000004</v>
      </c>
      <c r="Q1436" s="28">
        <v>10.5</v>
      </c>
    </row>
    <row r="1437" spans="1:17" x14ac:dyDescent="0.25">
      <c r="A1437" s="22">
        <v>39788</v>
      </c>
      <c r="G1437" s="38">
        <v>0.7</v>
      </c>
      <c r="Q1437" s="28">
        <v>0.9</v>
      </c>
    </row>
    <row r="1438" spans="1:17" x14ac:dyDescent="0.25">
      <c r="A1438" s="22">
        <v>39789</v>
      </c>
      <c r="G1438" s="38">
        <v>0</v>
      </c>
      <c r="Q1438" s="28">
        <v>0</v>
      </c>
    </row>
    <row r="1439" spans="1:17" x14ac:dyDescent="0.25">
      <c r="A1439" s="22">
        <v>39790</v>
      </c>
      <c r="G1439" s="38">
        <v>2.4</v>
      </c>
      <c r="Q1439" s="28">
        <v>0.3</v>
      </c>
    </row>
    <row r="1440" spans="1:17" x14ac:dyDescent="0.25">
      <c r="A1440" s="22">
        <v>39791</v>
      </c>
      <c r="G1440" s="38">
        <v>0</v>
      </c>
      <c r="Q1440" s="28">
        <v>2.2000000000000002</v>
      </c>
    </row>
    <row r="1441" spans="1:17" x14ac:dyDescent="0.25">
      <c r="A1441" s="22">
        <v>39792</v>
      </c>
      <c r="G1441" s="38">
        <v>0</v>
      </c>
      <c r="Q1441" s="28">
        <v>0</v>
      </c>
    </row>
    <row r="1442" spans="1:17" x14ac:dyDescent="0.25">
      <c r="A1442" s="22">
        <v>39793</v>
      </c>
      <c r="G1442" s="38">
        <v>0</v>
      </c>
      <c r="Q1442" s="28">
        <v>0</v>
      </c>
    </row>
    <row r="1443" spans="1:17" x14ac:dyDescent="0.25">
      <c r="A1443" s="22">
        <v>39794</v>
      </c>
      <c r="G1443" s="38">
        <v>3.4</v>
      </c>
      <c r="Q1443" s="28">
        <v>3.3</v>
      </c>
    </row>
    <row r="1444" spans="1:17" x14ac:dyDescent="0.25">
      <c r="A1444" s="22">
        <v>39795</v>
      </c>
      <c r="G1444" s="38">
        <v>3.7</v>
      </c>
      <c r="Q1444" s="28">
        <v>0</v>
      </c>
    </row>
    <row r="1445" spans="1:17" x14ac:dyDescent="0.25">
      <c r="A1445" s="22">
        <v>39796</v>
      </c>
      <c r="G1445" s="38">
        <v>0</v>
      </c>
      <c r="Q1445" s="28">
        <v>15.8</v>
      </c>
    </row>
    <row r="1446" spans="1:17" x14ac:dyDescent="0.25">
      <c r="A1446" s="22">
        <v>39797</v>
      </c>
      <c r="G1446" s="38">
        <v>6.9</v>
      </c>
      <c r="Q1446" s="28">
        <v>10.3</v>
      </c>
    </row>
    <row r="1447" spans="1:17" x14ac:dyDescent="0.25">
      <c r="A1447" s="22">
        <v>39798</v>
      </c>
      <c r="G1447" s="38">
        <v>0</v>
      </c>
      <c r="Q1447" s="28">
        <v>0</v>
      </c>
    </row>
    <row r="1448" spans="1:17" x14ac:dyDescent="0.25">
      <c r="A1448" s="22">
        <v>39799</v>
      </c>
      <c r="G1448" s="38">
        <v>0</v>
      </c>
      <c r="Q1448" s="28">
        <v>0</v>
      </c>
    </row>
    <row r="1449" spans="1:17" x14ac:dyDescent="0.25">
      <c r="A1449" s="22">
        <v>39800</v>
      </c>
      <c r="G1449" s="38">
        <v>29.1</v>
      </c>
      <c r="Q1449" s="28">
        <v>88</v>
      </c>
    </row>
    <row r="1450" spans="1:17" x14ac:dyDescent="0.25">
      <c r="A1450" s="22">
        <v>39801</v>
      </c>
      <c r="G1450" s="38">
        <v>7.5</v>
      </c>
      <c r="Q1450" s="28">
        <v>17.8</v>
      </c>
    </row>
    <row r="1451" spans="1:17" x14ac:dyDescent="0.25">
      <c r="A1451" s="22">
        <v>39802</v>
      </c>
      <c r="G1451" s="38">
        <v>0.9</v>
      </c>
      <c r="Q1451" s="28">
        <v>0</v>
      </c>
    </row>
    <row r="1452" spans="1:17" x14ac:dyDescent="0.25">
      <c r="A1452" s="22">
        <v>39803</v>
      </c>
      <c r="G1452" s="38">
        <v>0</v>
      </c>
      <c r="Q1452" s="28">
        <v>0.1</v>
      </c>
    </row>
    <row r="1453" spans="1:17" x14ac:dyDescent="0.25">
      <c r="A1453" s="22">
        <v>39804</v>
      </c>
      <c r="G1453" s="38">
        <v>0</v>
      </c>
      <c r="Q1453" s="28">
        <v>0</v>
      </c>
    </row>
    <row r="1454" spans="1:17" x14ac:dyDescent="0.25">
      <c r="A1454" s="22">
        <v>39805</v>
      </c>
      <c r="G1454" s="38">
        <v>15.5</v>
      </c>
      <c r="Q1454" s="28">
        <v>9.5</v>
      </c>
    </row>
    <row r="1455" spans="1:17" x14ac:dyDescent="0.25">
      <c r="A1455" s="22">
        <v>39806</v>
      </c>
      <c r="G1455" s="38">
        <v>2.4</v>
      </c>
      <c r="Q1455" s="28">
        <v>4.4000000000000004</v>
      </c>
    </row>
    <row r="1456" spans="1:17" x14ac:dyDescent="0.25">
      <c r="A1456" s="22">
        <v>39807</v>
      </c>
      <c r="G1456" s="38">
        <v>4</v>
      </c>
      <c r="Q1456" s="28">
        <v>1.7</v>
      </c>
    </row>
    <row r="1457" spans="1:17" x14ac:dyDescent="0.25">
      <c r="A1457" s="22">
        <v>39808</v>
      </c>
      <c r="G1457" s="38">
        <v>2</v>
      </c>
      <c r="Q1457" s="28">
        <v>0</v>
      </c>
    </row>
    <row r="1458" spans="1:17" x14ac:dyDescent="0.25">
      <c r="A1458" s="22">
        <v>39809</v>
      </c>
      <c r="G1458" s="38">
        <v>5.0999999999999996</v>
      </c>
      <c r="Q1458" s="28">
        <v>8.1999999999999993</v>
      </c>
    </row>
    <row r="1459" spans="1:17" x14ac:dyDescent="0.25">
      <c r="A1459" s="22">
        <v>39810</v>
      </c>
      <c r="G1459" s="38">
        <v>6.3</v>
      </c>
      <c r="Q1459" s="28">
        <v>7.5</v>
      </c>
    </row>
    <row r="1460" spans="1:17" x14ac:dyDescent="0.25">
      <c r="A1460" s="22">
        <v>39811</v>
      </c>
      <c r="G1460" s="38">
        <v>4.9000000000000004</v>
      </c>
      <c r="Q1460" s="28">
        <v>0.3</v>
      </c>
    </row>
    <row r="1461" spans="1:17" x14ac:dyDescent="0.25">
      <c r="A1461" s="22">
        <v>39812</v>
      </c>
      <c r="G1461" s="38">
        <v>0</v>
      </c>
      <c r="Q1461" s="28">
        <v>0</v>
      </c>
    </row>
    <row r="1462" spans="1:17" x14ac:dyDescent="0.25">
      <c r="A1462" s="22">
        <v>39813</v>
      </c>
      <c r="G1462" s="38">
        <v>1.1000000000000001</v>
      </c>
      <c r="Q1462" s="28">
        <v>0.2</v>
      </c>
    </row>
    <row r="1463" spans="1:17" x14ac:dyDescent="0.25">
      <c r="A1463" s="22">
        <v>39814</v>
      </c>
      <c r="G1463" s="38">
        <v>1.1000000000000001</v>
      </c>
      <c r="Q1463" s="26">
        <v>23</v>
      </c>
    </row>
    <row r="1464" spans="1:17" x14ac:dyDescent="0.25">
      <c r="A1464" s="22">
        <v>39815</v>
      </c>
      <c r="G1464" s="38">
        <v>20.9</v>
      </c>
      <c r="Q1464" s="26">
        <v>13.6</v>
      </c>
    </row>
    <row r="1465" spans="1:17" x14ac:dyDescent="0.25">
      <c r="A1465" s="22">
        <v>39816</v>
      </c>
      <c r="G1465" s="38">
        <v>0.1</v>
      </c>
      <c r="Q1465" s="26">
        <v>10.5</v>
      </c>
    </row>
    <row r="1466" spans="1:17" x14ac:dyDescent="0.25">
      <c r="A1466" s="22">
        <v>39817</v>
      </c>
      <c r="G1466" s="38">
        <v>0</v>
      </c>
      <c r="Q1466" s="26">
        <v>0</v>
      </c>
    </row>
    <row r="1467" spans="1:17" x14ac:dyDescent="0.25">
      <c r="A1467" s="22">
        <v>39818</v>
      </c>
      <c r="G1467" s="38">
        <v>0</v>
      </c>
      <c r="Q1467" s="26">
        <v>0</v>
      </c>
    </row>
    <row r="1468" spans="1:17" x14ac:dyDescent="0.25">
      <c r="A1468" s="22">
        <v>39819</v>
      </c>
      <c r="G1468" s="38">
        <v>0</v>
      </c>
      <c r="Q1468" s="26">
        <v>0.5</v>
      </c>
    </row>
    <row r="1469" spans="1:17" x14ac:dyDescent="0.25">
      <c r="A1469" s="22">
        <v>39820</v>
      </c>
      <c r="G1469" s="38">
        <v>0</v>
      </c>
      <c r="Q1469" s="26">
        <v>0</v>
      </c>
    </row>
    <row r="1470" spans="1:17" x14ac:dyDescent="0.25">
      <c r="A1470" s="22">
        <v>39821</v>
      </c>
      <c r="G1470" s="38">
        <v>4.8</v>
      </c>
      <c r="Q1470" s="26">
        <v>0.4</v>
      </c>
    </row>
    <row r="1471" spans="1:17" x14ac:dyDescent="0.25">
      <c r="A1471" s="22">
        <v>39822</v>
      </c>
      <c r="G1471" s="38">
        <v>2.5</v>
      </c>
      <c r="Q1471" s="26"/>
    </row>
    <row r="1472" spans="1:17" x14ac:dyDescent="0.25">
      <c r="A1472" s="22">
        <v>39823</v>
      </c>
      <c r="G1472" s="38">
        <v>6.5</v>
      </c>
      <c r="Q1472" s="26"/>
    </row>
    <row r="1473" spans="1:17" x14ac:dyDescent="0.25">
      <c r="A1473" s="22">
        <v>39824</v>
      </c>
      <c r="G1473" s="38">
        <v>1.6</v>
      </c>
      <c r="Q1473" s="26"/>
    </row>
    <row r="1474" spans="1:17" x14ac:dyDescent="0.25">
      <c r="A1474" s="22">
        <v>39825</v>
      </c>
      <c r="G1474" s="38">
        <v>2.7</v>
      </c>
      <c r="Q1474" s="26"/>
    </row>
    <row r="1475" spans="1:17" x14ac:dyDescent="0.25">
      <c r="A1475" s="22">
        <v>39826</v>
      </c>
      <c r="G1475" s="38">
        <v>32.9</v>
      </c>
      <c r="Q1475" s="26"/>
    </row>
    <row r="1476" spans="1:17" x14ac:dyDescent="0.25">
      <c r="A1476" s="22">
        <v>39827</v>
      </c>
      <c r="G1476" s="38">
        <v>3</v>
      </c>
      <c r="Q1476" s="26"/>
    </row>
    <row r="1477" spans="1:17" x14ac:dyDescent="0.25">
      <c r="A1477" s="22">
        <v>39828</v>
      </c>
      <c r="G1477" s="38">
        <v>3.5</v>
      </c>
      <c r="Q1477" s="26"/>
    </row>
    <row r="1478" spans="1:17" x14ac:dyDescent="0.25">
      <c r="A1478" s="22">
        <v>39829</v>
      </c>
      <c r="G1478" s="38">
        <v>2.1</v>
      </c>
      <c r="Q1478" s="26"/>
    </row>
    <row r="1479" spans="1:17" x14ac:dyDescent="0.25">
      <c r="A1479" s="22">
        <v>39830</v>
      </c>
      <c r="G1479" s="38">
        <v>75.2</v>
      </c>
      <c r="Q1479" s="26"/>
    </row>
    <row r="1480" spans="1:17" x14ac:dyDescent="0.25">
      <c r="A1480" s="22">
        <v>39831</v>
      </c>
      <c r="G1480" s="38">
        <v>11.2</v>
      </c>
      <c r="Q1480" s="26"/>
    </row>
    <row r="1481" spans="1:17" x14ac:dyDescent="0.25">
      <c r="A1481" s="22">
        <v>39832</v>
      </c>
      <c r="G1481" s="38">
        <v>0.6</v>
      </c>
      <c r="Q1481" s="26"/>
    </row>
    <row r="1482" spans="1:17" x14ac:dyDescent="0.25">
      <c r="A1482" s="22">
        <v>39833</v>
      </c>
      <c r="G1482" s="38">
        <v>5.8</v>
      </c>
      <c r="Q1482" s="26"/>
    </row>
    <row r="1483" spans="1:17" x14ac:dyDescent="0.25">
      <c r="A1483" s="22">
        <v>39834</v>
      </c>
      <c r="G1483" s="38">
        <v>15.3</v>
      </c>
      <c r="Q1483" s="26"/>
    </row>
    <row r="1484" spans="1:17" x14ac:dyDescent="0.25">
      <c r="A1484" s="22">
        <v>39835</v>
      </c>
      <c r="G1484" s="38">
        <v>8</v>
      </c>
      <c r="Q1484" s="26"/>
    </row>
    <row r="1485" spans="1:17" x14ac:dyDescent="0.25">
      <c r="A1485" s="22">
        <v>39836</v>
      </c>
      <c r="G1485" s="38">
        <v>11.1</v>
      </c>
      <c r="Q1485" s="26"/>
    </row>
    <row r="1486" spans="1:17" x14ac:dyDescent="0.25">
      <c r="A1486" s="22">
        <v>39837</v>
      </c>
      <c r="G1486" s="38">
        <v>1.8</v>
      </c>
      <c r="Q1486" s="26"/>
    </row>
    <row r="1487" spans="1:17" x14ac:dyDescent="0.25">
      <c r="A1487" s="22">
        <v>39838</v>
      </c>
      <c r="G1487" s="38">
        <v>12.5</v>
      </c>
      <c r="Q1487" s="26"/>
    </row>
    <row r="1488" spans="1:17" x14ac:dyDescent="0.25">
      <c r="A1488" s="22">
        <v>39839</v>
      </c>
      <c r="G1488" s="38">
        <v>20.2</v>
      </c>
      <c r="Q1488" s="26"/>
    </row>
    <row r="1489" spans="1:17" x14ac:dyDescent="0.25">
      <c r="A1489" s="22">
        <v>39840</v>
      </c>
      <c r="G1489" s="38">
        <v>17.899999999999999</v>
      </c>
      <c r="Q1489" s="26"/>
    </row>
    <row r="1490" spans="1:17" x14ac:dyDescent="0.25">
      <c r="A1490" s="22">
        <v>39841</v>
      </c>
      <c r="G1490" s="38">
        <v>9</v>
      </c>
      <c r="Q1490" s="26"/>
    </row>
    <row r="1491" spans="1:17" x14ac:dyDescent="0.25">
      <c r="A1491" s="22">
        <v>39842</v>
      </c>
      <c r="G1491" s="38">
        <v>72.3</v>
      </c>
      <c r="Q1491" s="26"/>
    </row>
    <row r="1492" spans="1:17" x14ac:dyDescent="0.25">
      <c r="A1492" s="22">
        <v>39843</v>
      </c>
      <c r="G1492" s="38">
        <v>49.6</v>
      </c>
      <c r="Q1492" s="26"/>
    </row>
    <row r="1493" spans="1:17" x14ac:dyDescent="0.25">
      <c r="A1493" s="22">
        <v>39844</v>
      </c>
      <c r="G1493" s="38">
        <v>17.899999999999999</v>
      </c>
      <c r="Q1493" s="26"/>
    </row>
    <row r="1494" spans="1:17" x14ac:dyDescent="0.25">
      <c r="A1494" s="22">
        <v>39845</v>
      </c>
      <c r="G1494" s="26"/>
      <c r="Q1494" s="26"/>
    </row>
    <row r="1495" spans="1:17" x14ac:dyDescent="0.25">
      <c r="A1495" s="22">
        <v>39846</v>
      </c>
      <c r="G1495" s="26"/>
      <c r="Q1495" s="26"/>
    </row>
    <row r="1496" spans="1:17" x14ac:dyDescent="0.25">
      <c r="A1496" s="22">
        <v>39847</v>
      </c>
      <c r="G1496" s="26"/>
      <c r="Q1496" s="26"/>
    </row>
    <row r="1497" spans="1:17" x14ac:dyDescent="0.25">
      <c r="A1497" s="22">
        <v>39848</v>
      </c>
      <c r="G1497" s="26"/>
      <c r="Q1497" s="26"/>
    </row>
    <row r="1498" spans="1:17" x14ac:dyDescent="0.25">
      <c r="A1498" s="22">
        <v>39849</v>
      </c>
      <c r="G1498" s="27"/>
      <c r="Q1498" s="26"/>
    </row>
    <row r="1499" spans="1:17" x14ac:dyDescent="0.25">
      <c r="A1499" s="22">
        <v>39850</v>
      </c>
      <c r="G1499" s="26"/>
      <c r="Q1499" s="26"/>
    </row>
    <row r="1500" spans="1:17" x14ac:dyDescent="0.25">
      <c r="A1500" s="22">
        <v>39851</v>
      </c>
      <c r="G1500" s="26"/>
      <c r="Q1500" s="26"/>
    </row>
    <row r="1501" spans="1:17" x14ac:dyDescent="0.25">
      <c r="A1501" s="22">
        <v>39852</v>
      </c>
      <c r="G1501" s="27"/>
      <c r="Q1501" s="26"/>
    </row>
    <row r="1502" spans="1:17" x14ac:dyDescent="0.25">
      <c r="A1502" s="22">
        <v>39853</v>
      </c>
      <c r="G1502" s="26"/>
      <c r="Q1502" s="26"/>
    </row>
    <row r="1503" spans="1:17" x14ac:dyDescent="0.25">
      <c r="A1503" s="22">
        <v>39854</v>
      </c>
      <c r="G1503" s="26"/>
      <c r="Q1503" s="26"/>
    </row>
    <row r="1504" spans="1:17" x14ac:dyDescent="0.25">
      <c r="A1504" s="22">
        <v>39855</v>
      </c>
      <c r="G1504" s="26"/>
      <c r="Q1504" s="26"/>
    </row>
    <row r="1505" spans="1:17" x14ac:dyDescent="0.25">
      <c r="A1505" s="22">
        <v>39856</v>
      </c>
      <c r="G1505" s="26"/>
      <c r="Q1505" s="26"/>
    </row>
    <row r="1506" spans="1:17" x14ac:dyDescent="0.25">
      <c r="A1506" s="22">
        <v>39857</v>
      </c>
      <c r="G1506" s="27"/>
      <c r="Q1506" s="26"/>
    </row>
    <row r="1507" spans="1:17" x14ac:dyDescent="0.25">
      <c r="A1507" s="22">
        <v>39858</v>
      </c>
      <c r="G1507" s="27"/>
      <c r="Q1507" s="26"/>
    </row>
    <row r="1508" spans="1:17" x14ac:dyDescent="0.25">
      <c r="A1508" s="22">
        <v>39859</v>
      </c>
      <c r="G1508" s="27"/>
      <c r="Q1508" s="26"/>
    </row>
    <row r="1509" spans="1:17" x14ac:dyDescent="0.25">
      <c r="A1509" s="22">
        <v>39860</v>
      </c>
      <c r="G1509" s="27"/>
      <c r="Q1509" s="26"/>
    </row>
    <row r="1510" spans="1:17" x14ac:dyDescent="0.25">
      <c r="A1510" s="22">
        <v>39861</v>
      </c>
      <c r="G1510" s="26"/>
      <c r="Q1510" s="26"/>
    </row>
    <row r="1511" spans="1:17" x14ac:dyDescent="0.25">
      <c r="A1511" s="22">
        <v>39862</v>
      </c>
      <c r="G1511" s="26"/>
      <c r="Q1511" s="26"/>
    </row>
    <row r="1512" spans="1:17" x14ac:dyDescent="0.25">
      <c r="A1512" s="22">
        <v>39863</v>
      </c>
      <c r="G1512" s="27"/>
      <c r="Q1512" s="26"/>
    </row>
    <row r="1513" spans="1:17" x14ac:dyDescent="0.25">
      <c r="A1513" s="22">
        <v>39864</v>
      </c>
      <c r="G1513" s="27"/>
      <c r="Q1513" s="26"/>
    </row>
    <row r="1514" spans="1:17" x14ac:dyDescent="0.25">
      <c r="A1514" s="22">
        <v>39865</v>
      </c>
      <c r="G1514" s="26"/>
      <c r="Q1514" s="26"/>
    </row>
    <row r="1515" spans="1:17" x14ac:dyDescent="0.25">
      <c r="A1515" s="22">
        <v>39866</v>
      </c>
      <c r="G1515" s="26"/>
      <c r="Q1515" s="26"/>
    </row>
    <row r="1516" spans="1:17" x14ac:dyDescent="0.25">
      <c r="A1516" s="22">
        <v>39867</v>
      </c>
      <c r="G1516" s="26"/>
      <c r="Q1516" s="26"/>
    </row>
    <row r="1517" spans="1:17" x14ac:dyDescent="0.25">
      <c r="A1517" s="22">
        <v>39868</v>
      </c>
      <c r="G1517" s="26"/>
      <c r="Q1517" s="26"/>
    </row>
    <row r="1518" spans="1:17" x14ac:dyDescent="0.25">
      <c r="A1518" s="22">
        <v>39869</v>
      </c>
      <c r="G1518" s="26"/>
      <c r="Q1518" s="26"/>
    </row>
    <row r="1519" spans="1:17" x14ac:dyDescent="0.25">
      <c r="A1519" s="22">
        <v>39870</v>
      </c>
      <c r="G1519" s="26"/>
      <c r="Q1519" s="26"/>
    </row>
    <row r="1520" spans="1:17" x14ac:dyDescent="0.25">
      <c r="A1520" s="22">
        <v>39871</v>
      </c>
      <c r="G1520" s="26"/>
      <c r="Q1520" s="26"/>
    </row>
    <row r="1521" spans="1:17" x14ac:dyDescent="0.25">
      <c r="A1521" s="22">
        <v>39872</v>
      </c>
      <c r="G1521" s="26"/>
      <c r="Q1521" s="26"/>
    </row>
    <row r="1522" spans="1:17" x14ac:dyDescent="0.25">
      <c r="A1522" s="22">
        <v>39873</v>
      </c>
      <c r="G1522" s="38">
        <v>0.5</v>
      </c>
      <c r="Q1522" s="28"/>
    </row>
    <row r="1523" spans="1:17" x14ac:dyDescent="0.25">
      <c r="A1523" s="22">
        <v>39874</v>
      </c>
      <c r="G1523" s="38">
        <v>2.2000000000000002</v>
      </c>
      <c r="Q1523" s="28"/>
    </row>
    <row r="1524" spans="1:17" x14ac:dyDescent="0.25">
      <c r="A1524" s="22">
        <v>39875</v>
      </c>
      <c r="G1524" s="38">
        <v>29.1</v>
      </c>
      <c r="Q1524" s="28"/>
    </row>
    <row r="1525" spans="1:17" x14ac:dyDescent="0.25">
      <c r="A1525" s="22">
        <v>39876</v>
      </c>
      <c r="G1525" s="38">
        <v>0</v>
      </c>
      <c r="Q1525" s="28"/>
    </row>
    <row r="1526" spans="1:17" x14ac:dyDescent="0.25">
      <c r="A1526" s="22">
        <v>39877</v>
      </c>
      <c r="G1526" s="38">
        <v>5.0999999999999996</v>
      </c>
      <c r="Q1526" s="28"/>
    </row>
    <row r="1527" spans="1:17" x14ac:dyDescent="0.25">
      <c r="A1527" s="22">
        <v>39878</v>
      </c>
      <c r="G1527" s="38">
        <v>2</v>
      </c>
      <c r="Q1527" s="28"/>
    </row>
    <row r="1528" spans="1:17" x14ac:dyDescent="0.25">
      <c r="A1528" s="22">
        <v>39879</v>
      </c>
      <c r="G1528" s="38">
        <v>0</v>
      </c>
      <c r="Q1528" s="28"/>
    </row>
    <row r="1529" spans="1:17" x14ac:dyDescent="0.25">
      <c r="A1529" s="22">
        <v>39880</v>
      </c>
      <c r="G1529" s="38">
        <v>0</v>
      </c>
      <c r="Q1529" s="28"/>
    </row>
    <row r="1530" spans="1:17" x14ac:dyDescent="0.25">
      <c r="A1530" s="22">
        <v>39881</v>
      </c>
      <c r="G1530" s="38">
        <v>1.8</v>
      </c>
      <c r="Q1530" s="28"/>
    </row>
    <row r="1531" spans="1:17" x14ac:dyDescent="0.25">
      <c r="A1531" s="22">
        <v>39882</v>
      </c>
      <c r="G1531" s="38">
        <v>3.5</v>
      </c>
      <c r="Q1531" s="28"/>
    </row>
    <row r="1532" spans="1:17" x14ac:dyDescent="0.25">
      <c r="A1532" s="22">
        <v>39883</v>
      </c>
      <c r="G1532" s="38">
        <v>0</v>
      </c>
      <c r="Q1532" s="28"/>
    </row>
    <row r="1533" spans="1:17" x14ac:dyDescent="0.25">
      <c r="A1533" s="22">
        <v>39884</v>
      </c>
      <c r="G1533" s="38">
        <v>3.8</v>
      </c>
      <c r="Q1533" s="28"/>
    </row>
    <row r="1534" spans="1:17" x14ac:dyDescent="0.25">
      <c r="A1534" s="22">
        <v>39885</v>
      </c>
      <c r="G1534" s="38">
        <v>0</v>
      </c>
      <c r="Q1534" s="28"/>
    </row>
    <row r="1535" spans="1:17" x14ac:dyDescent="0.25">
      <c r="A1535" s="22">
        <v>39886</v>
      </c>
      <c r="G1535" s="38">
        <v>1.9</v>
      </c>
      <c r="Q1535" s="28"/>
    </row>
    <row r="1536" spans="1:17" x14ac:dyDescent="0.25">
      <c r="A1536" s="22">
        <v>39887</v>
      </c>
      <c r="G1536" s="38">
        <v>8.5</v>
      </c>
      <c r="Q1536" s="28"/>
    </row>
    <row r="1537" spans="1:17" x14ac:dyDescent="0.25">
      <c r="A1537" s="22">
        <v>39888</v>
      </c>
      <c r="G1537" s="38">
        <v>4</v>
      </c>
      <c r="Q1537" s="28"/>
    </row>
    <row r="1538" spans="1:17" x14ac:dyDescent="0.25">
      <c r="A1538" s="22">
        <v>39889</v>
      </c>
      <c r="G1538" s="38">
        <v>3.7</v>
      </c>
      <c r="Q1538" s="28"/>
    </row>
    <row r="1539" spans="1:17" x14ac:dyDescent="0.25">
      <c r="A1539" s="22">
        <v>39890</v>
      </c>
      <c r="G1539" s="38">
        <v>1.1000000000000001</v>
      </c>
      <c r="Q1539" s="28"/>
    </row>
    <row r="1540" spans="1:17" x14ac:dyDescent="0.25">
      <c r="A1540" s="22">
        <v>39891</v>
      </c>
      <c r="G1540" s="38">
        <v>4.9000000000000004</v>
      </c>
      <c r="Q1540" s="28"/>
    </row>
    <row r="1541" spans="1:17" x14ac:dyDescent="0.25">
      <c r="A1541" s="22">
        <v>39892</v>
      </c>
      <c r="G1541" s="38">
        <v>1.5</v>
      </c>
      <c r="Q1541" s="28"/>
    </row>
    <row r="1542" spans="1:17" x14ac:dyDescent="0.25">
      <c r="A1542" s="22">
        <v>39893</v>
      </c>
      <c r="G1542" s="38">
        <v>0</v>
      </c>
      <c r="Q1542" s="28"/>
    </row>
    <row r="1543" spans="1:17" x14ac:dyDescent="0.25">
      <c r="A1543" s="22">
        <v>39894</v>
      </c>
      <c r="G1543" s="38">
        <v>0</v>
      </c>
      <c r="Q1543" s="28"/>
    </row>
    <row r="1544" spans="1:17" x14ac:dyDescent="0.25">
      <c r="A1544" s="22">
        <v>39895</v>
      </c>
      <c r="G1544" s="38">
        <v>0</v>
      </c>
      <c r="Q1544" s="28"/>
    </row>
    <row r="1545" spans="1:17" x14ac:dyDescent="0.25">
      <c r="A1545" s="22">
        <v>39896</v>
      </c>
      <c r="G1545" s="38">
        <v>0</v>
      </c>
      <c r="Q1545" s="28"/>
    </row>
    <row r="1546" spans="1:17" x14ac:dyDescent="0.25">
      <c r="A1546" s="22">
        <v>39897</v>
      </c>
      <c r="G1546" s="38">
        <v>0</v>
      </c>
      <c r="Q1546" s="28"/>
    </row>
    <row r="1547" spans="1:17" x14ac:dyDescent="0.25">
      <c r="A1547" s="22">
        <v>39898</v>
      </c>
      <c r="G1547" s="38">
        <v>1.5</v>
      </c>
      <c r="Q1547" s="28"/>
    </row>
    <row r="1548" spans="1:17" x14ac:dyDescent="0.25">
      <c r="A1548" s="22">
        <v>39899</v>
      </c>
      <c r="G1548" s="38">
        <v>29.9</v>
      </c>
      <c r="Q1548" s="28"/>
    </row>
    <row r="1549" spans="1:17" x14ac:dyDescent="0.25">
      <c r="A1549" s="22">
        <v>39900</v>
      </c>
      <c r="G1549" s="38">
        <v>20.5</v>
      </c>
      <c r="Q1549" s="28"/>
    </row>
    <row r="1550" spans="1:17" x14ac:dyDescent="0.25">
      <c r="A1550" s="22">
        <v>39901</v>
      </c>
      <c r="G1550" s="38">
        <v>3.5</v>
      </c>
      <c r="Q1550" s="28"/>
    </row>
    <row r="1551" spans="1:17" x14ac:dyDescent="0.25">
      <c r="A1551" s="22">
        <v>39902</v>
      </c>
      <c r="G1551" s="38">
        <v>0.6</v>
      </c>
      <c r="Q1551" s="28"/>
    </row>
    <row r="1552" spans="1:17" x14ac:dyDescent="0.25">
      <c r="A1552" s="22">
        <v>39903</v>
      </c>
      <c r="G1552" s="38">
        <v>0.5</v>
      </c>
      <c r="Q1552" s="28"/>
    </row>
    <row r="1553" spans="1:17" x14ac:dyDescent="0.25">
      <c r="A1553" s="22">
        <v>39904</v>
      </c>
      <c r="G1553" s="38">
        <v>0.5</v>
      </c>
      <c r="Q1553" s="28"/>
    </row>
    <row r="1554" spans="1:17" x14ac:dyDescent="0.25">
      <c r="A1554" s="22">
        <v>39905</v>
      </c>
      <c r="G1554" s="38">
        <v>0</v>
      </c>
      <c r="Q1554" s="28"/>
    </row>
    <row r="1555" spans="1:17" x14ac:dyDescent="0.25">
      <c r="A1555" s="22">
        <v>39906</v>
      </c>
      <c r="G1555" s="38">
        <v>0</v>
      </c>
      <c r="Q1555" s="28"/>
    </row>
    <row r="1556" spans="1:17" x14ac:dyDescent="0.25">
      <c r="A1556" s="22">
        <v>39907</v>
      </c>
      <c r="G1556" s="38">
        <v>0</v>
      </c>
      <c r="Q1556" s="28"/>
    </row>
    <row r="1557" spans="1:17" x14ac:dyDescent="0.25">
      <c r="A1557" s="22">
        <v>39908</v>
      </c>
      <c r="G1557" s="38">
        <v>0</v>
      </c>
      <c r="Q1557" s="28"/>
    </row>
    <row r="1558" spans="1:17" x14ac:dyDescent="0.25">
      <c r="A1558" s="22">
        <v>39909</v>
      </c>
      <c r="G1558" s="38">
        <v>0.6</v>
      </c>
      <c r="Q1558" s="28"/>
    </row>
    <row r="1559" spans="1:17" x14ac:dyDescent="0.25">
      <c r="A1559" s="22">
        <v>39910</v>
      </c>
      <c r="G1559" s="38">
        <v>1.5</v>
      </c>
      <c r="Q1559" s="28"/>
    </row>
    <row r="1560" spans="1:17" x14ac:dyDescent="0.25">
      <c r="A1560" s="22">
        <v>39911</v>
      </c>
      <c r="G1560" s="38">
        <v>16.2</v>
      </c>
      <c r="Q1560" s="28"/>
    </row>
    <row r="1561" spans="1:17" x14ac:dyDescent="0.25">
      <c r="A1561" s="22">
        <v>39912</v>
      </c>
      <c r="G1561" s="38">
        <v>2.2999999999999998</v>
      </c>
      <c r="Q1561" s="28"/>
    </row>
    <row r="1562" spans="1:17" x14ac:dyDescent="0.25">
      <c r="A1562" s="22">
        <v>39913</v>
      </c>
      <c r="G1562" s="38">
        <v>0</v>
      </c>
      <c r="Q1562" s="28"/>
    </row>
    <row r="1563" spans="1:17" x14ac:dyDescent="0.25">
      <c r="A1563" s="22">
        <v>39914</v>
      </c>
      <c r="G1563" s="38">
        <v>0.7</v>
      </c>
      <c r="Q1563" s="28"/>
    </row>
    <row r="1564" spans="1:17" x14ac:dyDescent="0.25">
      <c r="A1564" s="22">
        <v>39915</v>
      </c>
      <c r="G1564" s="38">
        <v>5.9</v>
      </c>
      <c r="Q1564" s="28"/>
    </row>
    <row r="1565" spans="1:17" x14ac:dyDescent="0.25">
      <c r="A1565" s="22">
        <v>39916</v>
      </c>
      <c r="G1565" s="38">
        <v>1.6</v>
      </c>
      <c r="Q1565" s="28"/>
    </row>
    <row r="1566" spans="1:17" x14ac:dyDescent="0.25">
      <c r="A1566" s="22">
        <v>39917</v>
      </c>
      <c r="G1566" s="38">
        <v>9</v>
      </c>
      <c r="Q1566" s="28"/>
    </row>
    <row r="1567" spans="1:17" x14ac:dyDescent="0.25">
      <c r="A1567" s="22">
        <v>39918</v>
      </c>
      <c r="G1567" s="38">
        <v>8.4</v>
      </c>
      <c r="Q1567" s="28"/>
    </row>
    <row r="1568" spans="1:17" x14ac:dyDescent="0.25">
      <c r="A1568" s="22">
        <v>39919</v>
      </c>
      <c r="G1568" s="38">
        <v>2.2000000000000002</v>
      </c>
      <c r="Q1568" s="28"/>
    </row>
    <row r="1569" spans="1:17" x14ac:dyDescent="0.25">
      <c r="A1569" s="22">
        <v>39920</v>
      </c>
      <c r="G1569" s="38">
        <v>0</v>
      </c>
      <c r="Q1569" s="28"/>
    </row>
    <row r="1570" spans="1:17" x14ac:dyDescent="0.25">
      <c r="A1570" s="22">
        <v>39921</v>
      </c>
      <c r="G1570" s="38">
        <v>0.4</v>
      </c>
      <c r="Q1570" s="28"/>
    </row>
    <row r="1571" spans="1:17" x14ac:dyDescent="0.25">
      <c r="A1571" s="22">
        <v>39922</v>
      </c>
      <c r="G1571" s="38">
        <v>5.6</v>
      </c>
      <c r="Q1571" s="28"/>
    </row>
    <row r="1572" spans="1:17" x14ac:dyDescent="0.25">
      <c r="A1572" s="22">
        <v>39923</v>
      </c>
      <c r="G1572" s="38">
        <v>0</v>
      </c>
      <c r="Q1572" s="28"/>
    </row>
    <row r="1573" spans="1:17" x14ac:dyDescent="0.25">
      <c r="A1573" s="22">
        <v>39924</v>
      </c>
      <c r="G1573" s="38">
        <v>3.1</v>
      </c>
      <c r="Q1573" s="28"/>
    </row>
    <row r="1574" spans="1:17" x14ac:dyDescent="0.25">
      <c r="A1574" s="22">
        <v>39925</v>
      </c>
      <c r="G1574" s="38">
        <v>1.6</v>
      </c>
      <c r="Q1574" s="28"/>
    </row>
    <row r="1575" spans="1:17" x14ac:dyDescent="0.25">
      <c r="A1575" s="22">
        <v>39926</v>
      </c>
      <c r="G1575" s="38">
        <v>0</v>
      </c>
      <c r="Q1575" s="28"/>
    </row>
    <row r="1576" spans="1:17" x14ac:dyDescent="0.25">
      <c r="A1576" s="22">
        <v>39927</v>
      </c>
      <c r="G1576" s="38">
        <v>4</v>
      </c>
      <c r="Q1576" s="28"/>
    </row>
    <row r="1577" spans="1:17" x14ac:dyDescent="0.25">
      <c r="A1577" s="22">
        <v>39928</v>
      </c>
      <c r="G1577" s="38">
        <v>0.5</v>
      </c>
      <c r="Q1577" s="28"/>
    </row>
    <row r="1578" spans="1:17" x14ac:dyDescent="0.25">
      <c r="A1578" s="22">
        <v>39929</v>
      </c>
      <c r="G1578" s="38">
        <v>0</v>
      </c>
      <c r="Q1578" s="28"/>
    </row>
    <row r="1579" spans="1:17" x14ac:dyDescent="0.25">
      <c r="A1579" s="22">
        <v>39930</v>
      </c>
      <c r="G1579" s="38">
        <v>1</v>
      </c>
      <c r="Q1579" s="28"/>
    </row>
    <row r="1580" spans="1:17" x14ac:dyDescent="0.25">
      <c r="A1580" s="22">
        <v>39931</v>
      </c>
      <c r="G1580" s="38">
        <v>8.3000000000000007</v>
      </c>
      <c r="Q1580" s="28"/>
    </row>
    <row r="1581" spans="1:17" x14ac:dyDescent="0.25">
      <c r="A1581" s="22">
        <v>39932</v>
      </c>
      <c r="G1581" s="38">
        <v>0.2</v>
      </c>
      <c r="Q1581" s="28"/>
    </row>
    <row r="1582" spans="1:17" x14ac:dyDescent="0.25">
      <c r="A1582" s="22">
        <v>39933</v>
      </c>
      <c r="G1582" s="28"/>
      <c r="Q1582" s="28"/>
    </row>
    <row r="1583" spans="1:17" x14ac:dyDescent="0.25">
      <c r="A1583" s="22">
        <v>39934</v>
      </c>
      <c r="G1583" s="28"/>
      <c r="Q1583" s="28"/>
    </row>
    <row r="1584" spans="1:17" x14ac:dyDescent="0.25">
      <c r="A1584" s="22">
        <v>39935</v>
      </c>
      <c r="G1584" s="28"/>
      <c r="Q1584" s="28"/>
    </row>
    <row r="1585" spans="1:17" x14ac:dyDescent="0.25">
      <c r="A1585" s="22">
        <v>39936</v>
      </c>
      <c r="G1585" s="28"/>
      <c r="Q1585" s="28"/>
    </row>
    <row r="1586" spans="1:17" x14ac:dyDescent="0.25">
      <c r="A1586" s="22">
        <v>39937</v>
      </c>
      <c r="G1586" s="28"/>
      <c r="Q1586" s="28"/>
    </row>
    <row r="1587" spans="1:17" x14ac:dyDescent="0.25">
      <c r="A1587" s="22">
        <v>39938</v>
      </c>
      <c r="G1587" s="29"/>
      <c r="Q1587" s="28"/>
    </row>
    <row r="1588" spans="1:17" x14ac:dyDescent="0.25">
      <c r="A1588" s="22">
        <v>39939</v>
      </c>
      <c r="G1588" s="28"/>
      <c r="Q1588" s="28"/>
    </row>
    <row r="1589" spans="1:17" x14ac:dyDescent="0.25">
      <c r="A1589" s="22">
        <v>39940</v>
      </c>
      <c r="G1589" s="28"/>
      <c r="Q1589" s="28"/>
    </row>
    <row r="1590" spans="1:17" x14ac:dyDescent="0.25">
      <c r="A1590" s="22">
        <v>39941</v>
      </c>
      <c r="G1590" s="29"/>
      <c r="Q1590" s="28"/>
    </row>
    <row r="1591" spans="1:17" x14ac:dyDescent="0.25">
      <c r="A1591" s="22">
        <v>39942</v>
      </c>
      <c r="G1591" s="28"/>
      <c r="Q1591" s="28"/>
    </row>
    <row r="1592" spans="1:17" x14ac:dyDescent="0.25">
      <c r="A1592" s="22">
        <v>39943</v>
      </c>
      <c r="G1592" s="28"/>
      <c r="Q1592" s="28"/>
    </row>
    <row r="1593" spans="1:17" x14ac:dyDescent="0.25">
      <c r="A1593" s="22">
        <v>39944</v>
      </c>
      <c r="G1593" s="28"/>
      <c r="Q1593" s="28"/>
    </row>
    <row r="1594" spans="1:17" x14ac:dyDescent="0.25">
      <c r="A1594" s="22">
        <v>39945</v>
      </c>
      <c r="G1594" s="28"/>
      <c r="Q1594" s="28"/>
    </row>
    <row r="1595" spans="1:17" x14ac:dyDescent="0.25">
      <c r="A1595" s="22">
        <v>39946</v>
      </c>
      <c r="G1595" s="29"/>
      <c r="Q1595" s="28"/>
    </row>
    <row r="1596" spans="1:17" x14ac:dyDescent="0.25">
      <c r="A1596" s="22">
        <v>39947</v>
      </c>
      <c r="G1596" s="29"/>
      <c r="Q1596" s="28"/>
    </row>
    <row r="1597" spans="1:17" x14ac:dyDescent="0.25">
      <c r="A1597" s="22">
        <v>39948</v>
      </c>
      <c r="G1597" s="29"/>
      <c r="Q1597" s="28"/>
    </row>
    <row r="1598" spans="1:17" x14ac:dyDescent="0.25">
      <c r="A1598" s="22">
        <v>39949</v>
      </c>
      <c r="G1598" s="29"/>
      <c r="Q1598" s="28"/>
    </row>
    <row r="1599" spans="1:17" x14ac:dyDescent="0.25">
      <c r="A1599" s="22">
        <v>39950</v>
      </c>
      <c r="G1599" s="28"/>
      <c r="Q1599" s="28"/>
    </row>
    <row r="1600" spans="1:17" x14ac:dyDescent="0.25">
      <c r="A1600" s="22">
        <v>39951</v>
      </c>
      <c r="G1600" s="28"/>
      <c r="Q1600" s="28"/>
    </row>
    <row r="1601" spans="1:17" x14ac:dyDescent="0.25">
      <c r="A1601" s="22">
        <v>39952</v>
      </c>
      <c r="G1601" s="29"/>
      <c r="Q1601" s="28"/>
    </row>
    <row r="1602" spans="1:17" x14ac:dyDescent="0.25">
      <c r="A1602" s="22">
        <v>39953</v>
      </c>
      <c r="G1602" s="29"/>
      <c r="Q1602" s="28"/>
    </row>
    <row r="1603" spans="1:17" x14ac:dyDescent="0.25">
      <c r="A1603" s="22">
        <v>39954</v>
      </c>
      <c r="G1603" s="28"/>
      <c r="Q1603" s="28"/>
    </row>
    <row r="1604" spans="1:17" x14ac:dyDescent="0.25">
      <c r="A1604" s="22">
        <v>39955</v>
      </c>
      <c r="G1604" s="28"/>
      <c r="Q1604" s="28"/>
    </row>
    <row r="1605" spans="1:17" x14ac:dyDescent="0.25">
      <c r="A1605" s="22">
        <v>39956</v>
      </c>
      <c r="G1605" s="28"/>
      <c r="Q1605" s="28"/>
    </row>
    <row r="1606" spans="1:17" x14ac:dyDescent="0.25">
      <c r="A1606" s="22">
        <v>39957</v>
      </c>
      <c r="G1606" s="28"/>
      <c r="Q1606" s="28"/>
    </row>
    <row r="1607" spans="1:17" x14ac:dyDescent="0.25">
      <c r="A1607" s="22">
        <v>39958</v>
      </c>
      <c r="G1607" s="28"/>
      <c r="Q1607" s="28"/>
    </row>
    <row r="1608" spans="1:17" x14ac:dyDescent="0.25">
      <c r="A1608" s="22">
        <v>39959</v>
      </c>
      <c r="G1608" s="28"/>
      <c r="Q1608" s="28"/>
    </row>
    <row r="1609" spans="1:17" x14ac:dyDescent="0.25">
      <c r="A1609" s="22">
        <v>39960</v>
      </c>
      <c r="G1609" s="28"/>
      <c r="Q1609" s="28"/>
    </row>
    <row r="1610" spans="1:17" x14ac:dyDescent="0.25">
      <c r="A1610" s="22">
        <v>39961</v>
      </c>
      <c r="G1610" s="28"/>
      <c r="Q1610" s="28"/>
    </row>
    <row r="1611" spans="1:17" x14ac:dyDescent="0.25">
      <c r="A1611" s="22">
        <v>39962</v>
      </c>
      <c r="G1611" s="28"/>
      <c r="Q1611" s="28"/>
    </row>
    <row r="1612" spans="1:17" x14ac:dyDescent="0.25">
      <c r="A1612" s="22">
        <v>39963</v>
      </c>
      <c r="G1612" s="28"/>
      <c r="Q1612" s="28"/>
    </row>
    <row r="1613" spans="1:17" x14ac:dyDescent="0.25">
      <c r="A1613" s="22">
        <v>39964</v>
      </c>
      <c r="G1613" s="28"/>
      <c r="Q1613" s="28"/>
    </row>
    <row r="1614" spans="1:17" x14ac:dyDescent="0.25">
      <c r="A1614" s="22">
        <v>39965</v>
      </c>
      <c r="G1614" s="38">
        <v>0</v>
      </c>
      <c r="Q1614" s="28"/>
    </row>
    <row r="1615" spans="1:17" x14ac:dyDescent="0.25">
      <c r="A1615" s="22">
        <v>39966</v>
      </c>
      <c r="G1615" s="38">
        <v>1</v>
      </c>
      <c r="Q1615" s="28"/>
    </row>
    <row r="1616" spans="1:17" x14ac:dyDescent="0.25">
      <c r="A1616" s="22">
        <v>39967</v>
      </c>
      <c r="G1616" s="38">
        <v>0</v>
      </c>
      <c r="Q1616" s="28"/>
    </row>
    <row r="1617" spans="1:17" x14ac:dyDescent="0.25">
      <c r="A1617" s="22">
        <v>39968</v>
      </c>
      <c r="G1617" s="38">
        <v>8.5</v>
      </c>
      <c r="Q1617" s="28"/>
    </row>
    <row r="1618" spans="1:17" x14ac:dyDescent="0.25">
      <c r="A1618" s="22">
        <v>39969</v>
      </c>
      <c r="G1618" s="38">
        <v>0</v>
      </c>
      <c r="Q1618" s="28"/>
    </row>
    <row r="1619" spans="1:17" x14ac:dyDescent="0.25">
      <c r="A1619" s="22">
        <v>39970</v>
      </c>
      <c r="G1619" s="38">
        <v>2.7</v>
      </c>
      <c r="Q1619" s="28"/>
    </row>
    <row r="1620" spans="1:17" x14ac:dyDescent="0.25">
      <c r="A1620" s="22">
        <v>39971</v>
      </c>
      <c r="G1620" s="38">
        <v>5</v>
      </c>
      <c r="Q1620" s="28"/>
    </row>
    <row r="1621" spans="1:17" x14ac:dyDescent="0.25">
      <c r="A1621" s="22">
        <v>39972</v>
      </c>
      <c r="G1621" s="38">
        <v>0</v>
      </c>
      <c r="Q1621" s="28"/>
    </row>
    <row r="1622" spans="1:17" x14ac:dyDescent="0.25">
      <c r="A1622" s="22">
        <v>39973</v>
      </c>
      <c r="G1622" s="38">
        <v>0</v>
      </c>
      <c r="Q1622" s="28"/>
    </row>
    <row r="1623" spans="1:17" x14ac:dyDescent="0.25">
      <c r="A1623" s="22">
        <v>39974</v>
      </c>
      <c r="G1623" s="38">
        <v>2.2000000000000002</v>
      </c>
      <c r="Q1623" s="28"/>
    </row>
    <row r="1624" spans="1:17" x14ac:dyDescent="0.25">
      <c r="A1624" s="22">
        <v>39975</v>
      </c>
      <c r="G1624" s="38">
        <v>0</v>
      </c>
      <c r="Q1624" s="28"/>
    </row>
    <row r="1625" spans="1:17" x14ac:dyDescent="0.25">
      <c r="A1625" s="22">
        <v>39976</v>
      </c>
      <c r="G1625" s="38">
        <v>60.5</v>
      </c>
      <c r="Q1625" s="28"/>
    </row>
    <row r="1626" spans="1:17" x14ac:dyDescent="0.25">
      <c r="A1626" s="22">
        <v>39977</v>
      </c>
      <c r="G1626" s="38">
        <v>5.9</v>
      </c>
      <c r="Q1626" s="28"/>
    </row>
    <row r="1627" spans="1:17" x14ac:dyDescent="0.25">
      <c r="A1627" s="22">
        <v>39978</v>
      </c>
      <c r="G1627" s="38">
        <v>5</v>
      </c>
      <c r="Q1627" s="28"/>
    </row>
    <row r="1628" spans="1:17" x14ac:dyDescent="0.25">
      <c r="A1628" s="22">
        <v>39979</v>
      </c>
      <c r="G1628" s="38">
        <v>7.9</v>
      </c>
      <c r="Q1628" s="28"/>
    </row>
    <row r="1629" spans="1:17" x14ac:dyDescent="0.25">
      <c r="A1629" s="22">
        <v>39980</v>
      </c>
      <c r="G1629" s="38">
        <v>18.100000000000001</v>
      </c>
      <c r="Q1629" s="28"/>
    </row>
    <row r="1630" spans="1:17" x14ac:dyDescent="0.25">
      <c r="A1630" s="22">
        <v>39981</v>
      </c>
      <c r="G1630" s="38">
        <v>2</v>
      </c>
      <c r="Q1630" s="28"/>
    </row>
    <row r="1631" spans="1:17" x14ac:dyDescent="0.25">
      <c r="A1631" s="22">
        <v>39982</v>
      </c>
      <c r="G1631" s="38">
        <v>8.6</v>
      </c>
      <c r="Q1631" s="28"/>
    </row>
    <row r="1632" spans="1:17" x14ac:dyDescent="0.25">
      <c r="A1632" s="22">
        <v>39983</v>
      </c>
      <c r="G1632" s="38">
        <v>5.5</v>
      </c>
      <c r="Q1632" s="28"/>
    </row>
    <row r="1633" spans="1:17" x14ac:dyDescent="0.25">
      <c r="A1633" s="22">
        <v>39984</v>
      </c>
      <c r="G1633" s="38">
        <v>4.0999999999999996</v>
      </c>
      <c r="Q1633" s="28"/>
    </row>
    <row r="1634" spans="1:17" x14ac:dyDescent="0.25">
      <c r="A1634" s="22">
        <v>39985</v>
      </c>
      <c r="G1634" s="38">
        <v>0</v>
      </c>
      <c r="Q1634" s="28"/>
    </row>
    <row r="1635" spans="1:17" x14ac:dyDescent="0.25">
      <c r="A1635" s="22">
        <v>39986</v>
      </c>
      <c r="G1635" s="38">
        <v>0</v>
      </c>
      <c r="Q1635" s="28"/>
    </row>
    <row r="1636" spans="1:17" x14ac:dyDescent="0.25">
      <c r="A1636" s="22">
        <v>39987</v>
      </c>
      <c r="G1636" s="38">
        <v>0.5</v>
      </c>
      <c r="Q1636" s="28"/>
    </row>
    <row r="1637" spans="1:17" x14ac:dyDescent="0.25">
      <c r="A1637" s="22">
        <v>39988</v>
      </c>
      <c r="G1637" s="38">
        <v>5.2</v>
      </c>
      <c r="Q1637" s="28"/>
    </row>
    <row r="1638" spans="1:17" x14ac:dyDescent="0.25">
      <c r="A1638" s="22">
        <v>39989</v>
      </c>
      <c r="G1638" s="38">
        <v>6.5</v>
      </c>
      <c r="Q1638" s="28"/>
    </row>
    <row r="1639" spans="1:17" x14ac:dyDescent="0.25">
      <c r="A1639" s="22">
        <v>39990</v>
      </c>
      <c r="G1639" s="38">
        <v>16.899999999999999</v>
      </c>
      <c r="Q1639" s="28"/>
    </row>
    <row r="1640" spans="1:17" x14ac:dyDescent="0.25">
      <c r="A1640" s="22">
        <v>39991</v>
      </c>
      <c r="G1640" s="38">
        <v>1.6</v>
      </c>
      <c r="Q1640" s="28"/>
    </row>
    <row r="1641" spans="1:17" x14ac:dyDescent="0.25">
      <c r="A1641" s="22">
        <v>39992</v>
      </c>
      <c r="G1641" s="38">
        <v>0</v>
      </c>
      <c r="Q1641" s="28"/>
    </row>
    <row r="1642" spans="1:17" x14ac:dyDescent="0.25">
      <c r="A1642" s="22">
        <v>39993</v>
      </c>
      <c r="G1642" s="38">
        <v>0</v>
      </c>
      <c r="Q1642" s="28"/>
    </row>
    <row r="1643" spans="1:17" x14ac:dyDescent="0.25">
      <c r="A1643" s="22">
        <v>39994</v>
      </c>
      <c r="G1643" s="38">
        <v>25.6</v>
      </c>
      <c r="Q1643" s="28"/>
    </row>
    <row r="1644" spans="1:17" x14ac:dyDescent="0.25">
      <c r="A1644" s="22">
        <v>39995</v>
      </c>
      <c r="G1644" s="38">
        <v>5.3</v>
      </c>
      <c r="Q1644" s="28"/>
    </row>
    <row r="1645" spans="1:17" x14ac:dyDescent="0.25">
      <c r="A1645" s="22">
        <v>39996</v>
      </c>
      <c r="G1645" s="38">
        <v>8.1999999999999993</v>
      </c>
      <c r="Q1645" s="28"/>
    </row>
    <row r="1646" spans="1:17" x14ac:dyDescent="0.25">
      <c r="A1646" s="22">
        <v>39997</v>
      </c>
      <c r="G1646" s="38">
        <v>4.7</v>
      </c>
      <c r="Q1646" s="28"/>
    </row>
    <row r="1647" spans="1:17" x14ac:dyDescent="0.25">
      <c r="A1647" s="22">
        <v>39998</v>
      </c>
      <c r="G1647" s="38">
        <v>12.1</v>
      </c>
      <c r="Q1647" s="28"/>
    </row>
    <row r="1648" spans="1:17" x14ac:dyDescent="0.25">
      <c r="A1648" s="22">
        <v>39999</v>
      </c>
      <c r="G1648" s="38">
        <v>14.4</v>
      </c>
      <c r="Q1648" s="28"/>
    </row>
    <row r="1649" spans="1:17" x14ac:dyDescent="0.25">
      <c r="A1649" s="22">
        <v>40000</v>
      </c>
      <c r="G1649" s="38">
        <v>0</v>
      </c>
      <c r="Q1649" s="28"/>
    </row>
    <row r="1650" spans="1:17" x14ac:dyDescent="0.25">
      <c r="A1650" s="22">
        <v>40001</v>
      </c>
      <c r="G1650" s="38">
        <v>0</v>
      </c>
      <c r="Q1650" s="28"/>
    </row>
    <row r="1651" spans="1:17" x14ac:dyDescent="0.25">
      <c r="A1651" s="22">
        <v>40002</v>
      </c>
      <c r="G1651" s="38">
        <v>10.8</v>
      </c>
      <c r="Q1651" s="28"/>
    </row>
    <row r="1652" spans="1:17" x14ac:dyDescent="0.25">
      <c r="A1652" s="22">
        <v>40003</v>
      </c>
      <c r="G1652" s="38">
        <v>3.8</v>
      </c>
      <c r="Q1652" s="28"/>
    </row>
    <row r="1653" spans="1:17" x14ac:dyDescent="0.25">
      <c r="A1653" s="22">
        <v>40004</v>
      </c>
      <c r="G1653" s="38">
        <v>0</v>
      </c>
      <c r="Q1653" s="28"/>
    </row>
    <row r="1654" spans="1:17" x14ac:dyDescent="0.25">
      <c r="A1654" s="22">
        <v>40005</v>
      </c>
      <c r="G1654" s="38">
        <v>0.8</v>
      </c>
      <c r="Q1654" s="28"/>
    </row>
    <row r="1655" spans="1:17" x14ac:dyDescent="0.25">
      <c r="A1655" s="22">
        <v>40006</v>
      </c>
      <c r="G1655" s="38">
        <v>0</v>
      </c>
      <c r="Q1655" s="28"/>
    </row>
    <row r="1656" spans="1:17" x14ac:dyDescent="0.25">
      <c r="A1656" s="22">
        <v>40007</v>
      </c>
      <c r="G1656" s="38">
        <v>4.2</v>
      </c>
      <c r="Q1656" s="28"/>
    </row>
    <row r="1657" spans="1:17" x14ac:dyDescent="0.25">
      <c r="A1657" s="22">
        <v>40008</v>
      </c>
      <c r="G1657" s="38">
        <v>8.8000000000000007</v>
      </c>
      <c r="Q1657" s="28"/>
    </row>
    <row r="1658" spans="1:17" x14ac:dyDescent="0.25">
      <c r="A1658" s="22">
        <v>40009</v>
      </c>
      <c r="G1658" s="38">
        <v>32.799999999999997</v>
      </c>
      <c r="Q1658" s="28"/>
    </row>
    <row r="1659" spans="1:17" x14ac:dyDescent="0.25">
      <c r="A1659" s="22">
        <v>40010</v>
      </c>
      <c r="G1659" s="38">
        <v>6.3</v>
      </c>
      <c r="Q1659" s="28"/>
    </row>
    <row r="1660" spans="1:17" x14ac:dyDescent="0.25">
      <c r="A1660" s="22">
        <v>40011</v>
      </c>
      <c r="G1660" s="38">
        <v>4.5999999999999996</v>
      </c>
      <c r="Q1660" s="28"/>
    </row>
    <row r="1661" spans="1:17" x14ac:dyDescent="0.25">
      <c r="A1661" s="22">
        <v>40012</v>
      </c>
      <c r="G1661" s="38">
        <v>0.6</v>
      </c>
      <c r="Q1661" s="28"/>
    </row>
    <row r="1662" spans="1:17" x14ac:dyDescent="0.25">
      <c r="A1662" s="22">
        <v>40013</v>
      </c>
      <c r="G1662" s="38">
        <v>37.9</v>
      </c>
      <c r="Q1662" s="28"/>
    </row>
    <row r="1663" spans="1:17" x14ac:dyDescent="0.25">
      <c r="A1663" s="22">
        <v>40014</v>
      </c>
      <c r="G1663" s="38">
        <v>8.5</v>
      </c>
      <c r="Q1663" s="28"/>
    </row>
    <row r="1664" spans="1:17" x14ac:dyDescent="0.25">
      <c r="A1664" s="22">
        <v>40015</v>
      </c>
      <c r="G1664" s="38">
        <v>2.1</v>
      </c>
      <c r="Q1664" s="28"/>
    </row>
    <row r="1665" spans="1:17" x14ac:dyDescent="0.25">
      <c r="A1665" s="22">
        <v>40016</v>
      </c>
      <c r="G1665" s="38">
        <v>6.8</v>
      </c>
      <c r="Q1665" s="28"/>
    </row>
    <row r="1666" spans="1:17" x14ac:dyDescent="0.25">
      <c r="A1666" s="22">
        <v>40017</v>
      </c>
      <c r="G1666" s="38">
        <v>9.8000000000000007</v>
      </c>
      <c r="Q1666" s="28"/>
    </row>
    <row r="1667" spans="1:17" x14ac:dyDescent="0.25">
      <c r="A1667" s="22">
        <v>40018</v>
      </c>
      <c r="G1667" s="38">
        <v>0.6</v>
      </c>
      <c r="Q1667" s="28"/>
    </row>
    <row r="1668" spans="1:17" x14ac:dyDescent="0.25">
      <c r="A1668" s="22">
        <v>40019</v>
      </c>
      <c r="G1668" s="38">
        <v>4.7</v>
      </c>
      <c r="Q1668" s="28"/>
    </row>
    <row r="1669" spans="1:17" x14ac:dyDescent="0.25">
      <c r="A1669" s="22">
        <v>40020</v>
      </c>
      <c r="G1669" s="38">
        <v>13.6</v>
      </c>
      <c r="Q1669" s="28"/>
    </row>
    <row r="1670" spans="1:17" x14ac:dyDescent="0.25">
      <c r="A1670" s="22">
        <v>40021</v>
      </c>
      <c r="G1670" s="38">
        <v>9.4</v>
      </c>
      <c r="Q1670" s="28"/>
    </row>
    <row r="1671" spans="1:17" x14ac:dyDescent="0.25">
      <c r="A1671" s="22">
        <v>40022</v>
      </c>
      <c r="G1671" s="38">
        <v>11.5</v>
      </c>
      <c r="Q1671" s="28"/>
    </row>
    <row r="1672" spans="1:17" x14ac:dyDescent="0.25">
      <c r="A1672" s="22">
        <v>40023</v>
      </c>
      <c r="G1672" s="38">
        <v>4.5</v>
      </c>
      <c r="Q1672" s="28"/>
    </row>
    <row r="1673" spans="1:17" x14ac:dyDescent="0.25">
      <c r="A1673" s="22">
        <v>40024</v>
      </c>
      <c r="G1673" s="38">
        <v>4.5</v>
      </c>
      <c r="Q1673" s="28"/>
    </row>
    <row r="1674" spans="1:17" x14ac:dyDescent="0.25">
      <c r="A1674" s="22">
        <v>40025</v>
      </c>
      <c r="G1674" s="38">
        <v>0.7</v>
      </c>
      <c r="Q1674" s="28"/>
    </row>
    <row r="1675" spans="1:17" x14ac:dyDescent="0.25">
      <c r="A1675" s="22">
        <v>40026</v>
      </c>
      <c r="G1675" s="28"/>
      <c r="Q1675" s="28"/>
    </row>
    <row r="1676" spans="1:17" x14ac:dyDescent="0.25">
      <c r="A1676" s="22">
        <v>40027</v>
      </c>
      <c r="G1676" s="28"/>
      <c r="Q1676" s="28"/>
    </row>
    <row r="1677" spans="1:17" x14ac:dyDescent="0.25">
      <c r="A1677" s="22">
        <v>40028</v>
      </c>
      <c r="G1677" s="28"/>
      <c r="Q1677" s="28"/>
    </row>
    <row r="1678" spans="1:17" x14ac:dyDescent="0.25">
      <c r="A1678" s="22">
        <v>40029</v>
      </c>
      <c r="G1678" s="28"/>
      <c r="Q1678" s="28"/>
    </row>
    <row r="1679" spans="1:17" x14ac:dyDescent="0.25">
      <c r="A1679" s="22">
        <v>40030</v>
      </c>
      <c r="G1679" s="29"/>
      <c r="Q1679" s="28"/>
    </row>
    <row r="1680" spans="1:17" x14ac:dyDescent="0.25">
      <c r="A1680" s="22">
        <v>40031</v>
      </c>
      <c r="G1680" s="28"/>
      <c r="Q1680" s="28"/>
    </row>
    <row r="1681" spans="1:17" x14ac:dyDescent="0.25">
      <c r="A1681" s="22">
        <v>40032</v>
      </c>
      <c r="G1681" s="28"/>
      <c r="Q1681" s="28"/>
    </row>
    <row r="1682" spans="1:17" x14ac:dyDescent="0.25">
      <c r="A1682" s="22">
        <v>40033</v>
      </c>
      <c r="G1682" s="29"/>
      <c r="Q1682" s="28"/>
    </row>
    <row r="1683" spans="1:17" x14ac:dyDescent="0.25">
      <c r="A1683" s="22">
        <v>40034</v>
      </c>
      <c r="G1683" s="28"/>
      <c r="Q1683" s="28"/>
    </row>
    <row r="1684" spans="1:17" x14ac:dyDescent="0.25">
      <c r="A1684" s="22">
        <v>40035</v>
      </c>
      <c r="G1684" s="28"/>
      <c r="Q1684" s="28"/>
    </row>
    <row r="1685" spans="1:17" x14ac:dyDescent="0.25">
      <c r="A1685" s="22">
        <v>40036</v>
      </c>
      <c r="G1685" s="28"/>
      <c r="Q1685" s="28"/>
    </row>
    <row r="1686" spans="1:17" x14ac:dyDescent="0.25">
      <c r="A1686" s="22">
        <v>40037</v>
      </c>
      <c r="G1686" s="28"/>
      <c r="Q1686" s="28"/>
    </row>
    <row r="1687" spans="1:17" x14ac:dyDescent="0.25">
      <c r="A1687" s="22">
        <v>40038</v>
      </c>
      <c r="G1687" s="29"/>
      <c r="Q1687" s="28"/>
    </row>
    <row r="1688" spans="1:17" x14ac:dyDescent="0.25">
      <c r="A1688" s="22">
        <v>40039</v>
      </c>
      <c r="G1688" s="29"/>
      <c r="Q1688" s="28"/>
    </row>
    <row r="1689" spans="1:17" x14ac:dyDescent="0.25">
      <c r="A1689" s="22">
        <v>40040</v>
      </c>
      <c r="G1689" s="29"/>
      <c r="Q1689" s="28"/>
    </row>
    <row r="1690" spans="1:17" x14ac:dyDescent="0.25">
      <c r="A1690" s="22">
        <v>40041</v>
      </c>
      <c r="G1690" s="29"/>
      <c r="Q1690" s="28"/>
    </row>
    <row r="1691" spans="1:17" x14ac:dyDescent="0.25">
      <c r="A1691" s="22">
        <v>40042</v>
      </c>
      <c r="G1691" s="28"/>
      <c r="Q1691" s="28"/>
    </row>
    <row r="1692" spans="1:17" x14ac:dyDescent="0.25">
      <c r="A1692" s="22">
        <v>40043</v>
      </c>
      <c r="G1692" s="28"/>
      <c r="Q1692" s="28"/>
    </row>
    <row r="1693" spans="1:17" x14ac:dyDescent="0.25">
      <c r="A1693" s="22">
        <v>40044</v>
      </c>
      <c r="G1693" s="29"/>
      <c r="Q1693" s="28"/>
    </row>
    <row r="1694" spans="1:17" x14ac:dyDescent="0.25">
      <c r="A1694" s="22">
        <v>40045</v>
      </c>
      <c r="G1694" s="29"/>
      <c r="Q1694" s="28"/>
    </row>
    <row r="1695" spans="1:17" x14ac:dyDescent="0.25">
      <c r="A1695" s="22">
        <v>40046</v>
      </c>
      <c r="G1695" s="28"/>
      <c r="Q1695" s="28"/>
    </row>
    <row r="1696" spans="1:17" x14ac:dyDescent="0.25">
      <c r="A1696" s="22">
        <v>40047</v>
      </c>
      <c r="G1696" s="28"/>
      <c r="Q1696" s="28"/>
    </row>
    <row r="1697" spans="1:17" x14ac:dyDescent="0.25">
      <c r="A1697" s="22">
        <v>40048</v>
      </c>
      <c r="G1697" s="28"/>
      <c r="Q1697" s="28"/>
    </row>
    <row r="1698" spans="1:17" x14ac:dyDescent="0.25">
      <c r="A1698" s="22">
        <v>40049</v>
      </c>
      <c r="G1698" s="28"/>
      <c r="Q1698" s="28"/>
    </row>
    <row r="1699" spans="1:17" x14ac:dyDescent="0.25">
      <c r="A1699" s="22">
        <v>40050</v>
      </c>
      <c r="G1699" s="28"/>
      <c r="Q1699" s="28"/>
    </row>
    <row r="1700" spans="1:17" x14ac:dyDescent="0.25">
      <c r="A1700" s="22">
        <v>40051</v>
      </c>
      <c r="G1700" s="28"/>
      <c r="Q1700" s="28"/>
    </row>
    <row r="1701" spans="1:17" x14ac:dyDescent="0.25">
      <c r="A1701" s="22">
        <v>40052</v>
      </c>
      <c r="G1701" s="28"/>
      <c r="Q1701" s="28"/>
    </row>
    <row r="1702" spans="1:17" x14ac:dyDescent="0.25">
      <c r="A1702" s="22">
        <v>40053</v>
      </c>
      <c r="G1702" s="28"/>
      <c r="Q1702" s="28"/>
    </row>
    <row r="1703" spans="1:17" x14ac:dyDescent="0.25">
      <c r="A1703" s="22">
        <v>40054</v>
      </c>
      <c r="G1703" s="28"/>
      <c r="Q1703" s="28"/>
    </row>
    <row r="1704" spans="1:17" x14ac:dyDescent="0.25">
      <c r="A1704" s="22">
        <v>40055</v>
      </c>
      <c r="G1704" s="28"/>
      <c r="Q1704" s="28"/>
    </row>
    <row r="1705" spans="1:17" x14ac:dyDescent="0.25">
      <c r="A1705" s="22">
        <v>40056</v>
      </c>
      <c r="G1705" s="28"/>
      <c r="Q1705" s="28"/>
    </row>
    <row r="1706" spans="1:17" x14ac:dyDescent="0.25">
      <c r="A1706" s="22">
        <v>40057</v>
      </c>
      <c r="G1706" s="28"/>
      <c r="Q1706" s="28"/>
    </row>
    <row r="1707" spans="1:17" x14ac:dyDescent="0.25">
      <c r="A1707" s="22">
        <v>40058</v>
      </c>
      <c r="G1707" s="28"/>
      <c r="Q1707" s="28"/>
    </row>
    <row r="1708" spans="1:17" x14ac:dyDescent="0.25">
      <c r="A1708" s="22">
        <v>40059</v>
      </c>
      <c r="G1708" s="28"/>
      <c r="Q1708" s="28"/>
    </row>
    <row r="1709" spans="1:17" x14ac:dyDescent="0.25">
      <c r="A1709" s="22">
        <v>40060</v>
      </c>
      <c r="G1709" s="28"/>
      <c r="Q1709" s="28"/>
    </row>
    <row r="1710" spans="1:17" x14ac:dyDescent="0.25">
      <c r="A1710" s="22">
        <v>40061</v>
      </c>
      <c r="G1710" s="29"/>
      <c r="Q1710" s="28"/>
    </row>
    <row r="1711" spans="1:17" x14ac:dyDescent="0.25">
      <c r="A1711" s="22">
        <v>40062</v>
      </c>
      <c r="G1711" s="28"/>
      <c r="Q1711" s="28"/>
    </row>
    <row r="1712" spans="1:17" x14ac:dyDescent="0.25">
      <c r="A1712" s="22">
        <v>40063</v>
      </c>
      <c r="G1712" s="28"/>
      <c r="Q1712" s="28"/>
    </row>
    <row r="1713" spans="1:17" x14ac:dyDescent="0.25">
      <c r="A1713" s="22">
        <v>40064</v>
      </c>
      <c r="G1713" s="29"/>
      <c r="Q1713" s="28"/>
    </row>
    <row r="1714" spans="1:17" x14ac:dyDescent="0.25">
      <c r="A1714" s="22">
        <v>40065</v>
      </c>
      <c r="G1714" s="28"/>
      <c r="Q1714" s="28"/>
    </row>
    <row r="1715" spans="1:17" x14ac:dyDescent="0.25">
      <c r="A1715" s="22">
        <v>40066</v>
      </c>
      <c r="G1715" s="28"/>
      <c r="Q1715" s="28"/>
    </row>
    <row r="1716" spans="1:17" x14ac:dyDescent="0.25">
      <c r="A1716" s="22">
        <v>40067</v>
      </c>
      <c r="G1716" s="28"/>
      <c r="Q1716" s="28"/>
    </row>
    <row r="1717" spans="1:17" x14ac:dyDescent="0.25">
      <c r="A1717" s="22">
        <v>40068</v>
      </c>
      <c r="G1717" s="28"/>
      <c r="Q1717" s="28"/>
    </row>
    <row r="1718" spans="1:17" x14ac:dyDescent="0.25">
      <c r="A1718" s="22">
        <v>40069</v>
      </c>
      <c r="G1718" s="29"/>
      <c r="Q1718" s="28"/>
    </row>
    <row r="1719" spans="1:17" x14ac:dyDescent="0.25">
      <c r="A1719" s="22">
        <v>40070</v>
      </c>
      <c r="G1719" s="29"/>
      <c r="Q1719" s="28"/>
    </row>
    <row r="1720" spans="1:17" x14ac:dyDescent="0.25">
      <c r="A1720" s="22">
        <v>40071</v>
      </c>
      <c r="G1720" s="29"/>
      <c r="Q1720" s="28"/>
    </row>
    <row r="1721" spans="1:17" x14ac:dyDescent="0.25">
      <c r="A1721" s="22">
        <v>40072</v>
      </c>
      <c r="G1721" s="29"/>
      <c r="Q1721" s="28"/>
    </row>
    <row r="1722" spans="1:17" x14ac:dyDescent="0.25">
      <c r="A1722" s="22">
        <v>40073</v>
      </c>
      <c r="G1722" s="28"/>
      <c r="Q1722" s="28"/>
    </row>
    <row r="1723" spans="1:17" x14ac:dyDescent="0.25">
      <c r="A1723" s="22">
        <v>40074</v>
      </c>
      <c r="G1723" s="28"/>
      <c r="Q1723" s="28"/>
    </row>
    <row r="1724" spans="1:17" x14ac:dyDescent="0.25">
      <c r="A1724" s="22">
        <v>40075</v>
      </c>
      <c r="G1724" s="29"/>
      <c r="Q1724" s="28"/>
    </row>
    <row r="1725" spans="1:17" x14ac:dyDescent="0.25">
      <c r="A1725" s="22">
        <v>40076</v>
      </c>
      <c r="G1725" s="29"/>
      <c r="Q1725" s="28"/>
    </row>
    <row r="1726" spans="1:17" x14ac:dyDescent="0.25">
      <c r="A1726" s="22">
        <v>40077</v>
      </c>
      <c r="G1726" s="28"/>
      <c r="Q1726" s="28"/>
    </row>
    <row r="1727" spans="1:17" x14ac:dyDescent="0.25">
      <c r="A1727" s="22">
        <v>40078</v>
      </c>
      <c r="G1727" s="28"/>
      <c r="Q1727" s="28"/>
    </row>
    <row r="1728" spans="1:17" x14ac:dyDescent="0.25">
      <c r="A1728" s="22">
        <v>40079</v>
      </c>
      <c r="G1728" s="28"/>
      <c r="Q1728" s="28"/>
    </row>
    <row r="1729" spans="1:17" x14ac:dyDescent="0.25">
      <c r="A1729" s="22">
        <v>40080</v>
      </c>
      <c r="G1729" s="28"/>
      <c r="Q1729" s="28"/>
    </row>
    <row r="1730" spans="1:17" x14ac:dyDescent="0.25">
      <c r="A1730" s="22">
        <v>40081</v>
      </c>
      <c r="G1730" s="28"/>
      <c r="Q1730" s="28"/>
    </row>
    <row r="1731" spans="1:17" x14ac:dyDescent="0.25">
      <c r="A1731" s="22">
        <v>40082</v>
      </c>
      <c r="G1731" s="28"/>
      <c r="Q1731" s="28"/>
    </row>
    <row r="1732" spans="1:17" x14ac:dyDescent="0.25">
      <c r="A1732" s="22">
        <v>40083</v>
      </c>
      <c r="G1732" s="28"/>
      <c r="Q1732" s="28"/>
    </row>
    <row r="1733" spans="1:17" x14ac:dyDescent="0.25">
      <c r="A1733" s="22">
        <v>40084</v>
      </c>
      <c r="G1733" s="28"/>
      <c r="Q1733" s="28"/>
    </row>
    <row r="1734" spans="1:17" x14ac:dyDescent="0.25">
      <c r="A1734" s="22">
        <v>40085</v>
      </c>
      <c r="G1734" s="28"/>
      <c r="Q1734" s="28"/>
    </row>
    <row r="1735" spans="1:17" x14ac:dyDescent="0.25">
      <c r="A1735" s="22">
        <v>40086</v>
      </c>
      <c r="G1735" s="28"/>
      <c r="Q1735" s="28"/>
    </row>
    <row r="1736" spans="1:17" x14ac:dyDescent="0.25">
      <c r="A1736" s="22">
        <v>40087</v>
      </c>
      <c r="G1736" s="38">
        <v>7.8</v>
      </c>
      <c r="Q1736" s="28"/>
    </row>
    <row r="1737" spans="1:17" x14ac:dyDescent="0.25">
      <c r="A1737" s="22">
        <v>40088</v>
      </c>
      <c r="G1737" s="38">
        <v>2.1</v>
      </c>
      <c r="Q1737" s="28"/>
    </row>
    <row r="1738" spans="1:17" x14ac:dyDescent="0.25">
      <c r="A1738" s="22">
        <v>40089</v>
      </c>
      <c r="G1738" s="38">
        <v>0</v>
      </c>
      <c r="Q1738" s="28"/>
    </row>
    <row r="1739" spans="1:17" x14ac:dyDescent="0.25">
      <c r="A1739" s="22">
        <v>40090</v>
      </c>
      <c r="G1739" s="38">
        <v>0</v>
      </c>
      <c r="Q1739" s="28"/>
    </row>
    <row r="1740" spans="1:17" x14ac:dyDescent="0.25">
      <c r="A1740" s="22">
        <v>40091</v>
      </c>
      <c r="G1740" s="38">
        <v>5.2</v>
      </c>
      <c r="Q1740" s="28"/>
    </row>
    <row r="1741" spans="1:17" x14ac:dyDescent="0.25">
      <c r="A1741" s="22">
        <v>40092</v>
      </c>
      <c r="G1741" s="38">
        <v>17.5</v>
      </c>
      <c r="Q1741" s="28"/>
    </row>
    <row r="1742" spans="1:17" x14ac:dyDescent="0.25">
      <c r="A1742" s="22">
        <v>40093</v>
      </c>
      <c r="G1742" s="38">
        <v>0</v>
      </c>
      <c r="Q1742" s="28"/>
    </row>
    <row r="1743" spans="1:17" x14ac:dyDescent="0.25">
      <c r="A1743" s="22">
        <v>40094</v>
      </c>
      <c r="G1743" s="38">
        <v>10.5</v>
      </c>
      <c r="Q1743" s="28"/>
    </row>
    <row r="1744" spans="1:17" x14ac:dyDescent="0.25">
      <c r="A1744" s="22">
        <v>40095</v>
      </c>
      <c r="G1744" s="38">
        <v>8.3000000000000007</v>
      </c>
      <c r="Q1744" s="28"/>
    </row>
    <row r="1745" spans="1:17" x14ac:dyDescent="0.25">
      <c r="A1745" s="22">
        <v>40096</v>
      </c>
      <c r="G1745" s="38">
        <v>6.5</v>
      </c>
      <c r="Q1745" s="28"/>
    </row>
    <row r="1746" spans="1:17" x14ac:dyDescent="0.25">
      <c r="A1746" s="22">
        <v>40097</v>
      </c>
      <c r="G1746" s="38">
        <v>6.1</v>
      </c>
      <c r="Q1746" s="28"/>
    </row>
    <row r="1747" spans="1:17" x14ac:dyDescent="0.25">
      <c r="A1747" s="22">
        <v>40098</v>
      </c>
      <c r="G1747" s="38">
        <v>0.6</v>
      </c>
      <c r="Q1747" s="28"/>
    </row>
    <row r="1748" spans="1:17" x14ac:dyDescent="0.25">
      <c r="A1748" s="22">
        <v>40099</v>
      </c>
      <c r="G1748" s="38">
        <v>8.1</v>
      </c>
      <c r="Q1748" s="28"/>
    </row>
    <row r="1749" spans="1:17" x14ac:dyDescent="0.25">
      <c r="A1749" s="22">
        <v>40100</v>
      </c>
      <c r="G1749" s="38">
        <v>6.5</v>
      </c>
      <c r="Q1749" s="28"/>
    </row>
    <row r="1750" spans="1:17" x14ac:dyDescent="0.25">
      <c r="A1750" s="22">
        <v>40101</v>
      </c>
      <c r="G1750" s="38">
        <v>5.4</v>
      </c>
      <c r="Q1750" s="28"/>
    </row>
    <row r="1751" spans="1:17" x14ac:dyDescent="0.25">
      <c r="A1751" s="22">
        <v>40102</v>
      </c>
      <c r="G1751" s="38">
        <v>2.5</v>
      </c>
      <c r="Q1751" s="28"/>
    </row>
    <row r="1752" spans="1:17" x14ac:dyDescent="0.25">
      <c r="A1752" s="22">
        <v>40103</v>
      </c>
      <c r="G1752" s="38">
        <v>0</v>
      </c>
      <c r="Q1752" s="28"/>
    </row>
    <row r="1753" spans="1:17" x14ac:dyDescent="0.25">
      <c r="A1753" s="22">
        <v>40104</v>
      </c>
      <c r="G1753" s="38">
        <v>0</v>
      </c>
      <c r="Q1753" s="28"/>
    </row>
    <row r="1754" spans="1:17" x14ac:dyDescent="0.25">
      <c r="A1754" s="22">
        <v>40105</v>
      </c>
      <c r="G1754" s="38">
        <v>0</v>
      </c>
      <c r="Q1754" s="28"/>
    </row>
    <row r="1755" spans="1:17" x14ac:dyDescent="0.25">
      <c r="A1755" s="22">
        <v>40106</v>
      </c>
      <c r="G1755" s="38">
        <v>0</v>
      </c>
      <c r="Q1755" s="28"/>
    </row>
    <row r="1756" spans="1:17" x14ac:dyDescent="0.25">
      <c r="A1756" s="22">
        <v>40107</v>
      </c>
      <c r="G1756" s="38">
        <v>0</v>
      </c>
      <c r="Q1756" s="28"/>
    </row>
    <row r="1757" spans="1:17" x14ac:dyDescent="0.25">
      <c r="A1757" s="22">
        <v>40108</v>
      </c>
      <c r="G1757" s="38">
        <v>0</v>
      </c>
      <c r="Q1757" s="28"/>
    </row>
    <row r="1758" spans="1:17" x14ac:dyDescent="0.25">
      <c r="A1758" s="22">
        <v>40109</v>
      </c>
      <c r="G1758" s="38">
        <v>8.5</v>
      </c>
      <c r="Q1758" s="28"/>
    </row>
    <row r="1759" spans="1:17" x14ac:dyDescent="0.25">
      <c r="A1759" s="22">
        <v>40110</v>
      </c>
      <c r="G1759" s="38">
        <v>2.2000000000000002</v>
      </c>
      <c r="Q1759" s="28"/>
    </row>
    <row r="1760" spans="1:17" x14ac:dyDescent="0.25">
      <c r="A1760" s="22">
        <v>40111</v>
      </c>
      <c r="G1760" s="38">
        <v>7.4</v>
      </c>
      <c r="Q1760" s="28"/>
    </row>
    <row r="1761" spans="1:17" x14ac:dyDescent="0.25">
      <c r="A1761" s="22">
        <v>40112</v>
      </c>
      <c r="G1761" s="38">
        <v>38.799999999999997</v>
      </c>
      <c r="Q1761" s="28"/>
    </row>
    <row r="1762" spans="1:17" x14ac:dyDescent="0.25">
      <c r="A1762" s="22">
        <v>40113</v>
      </c>
      <c r="G1762" s="38">
        <v>0</v>
      </c>
      <c r="Q1762" s="28"/>
    </row>
    <row r="1763" spans="1:17" x14ac:dyDescent="0.25">
      <c r="A1763" s="22">
        <v>40114</v>
      </c>
      <c r="G1763" s="38">
        <v>0</v>
      </c>
      <c r="Q1763" s="28"/>
    </row>
    <row r="1764" spans="1:17" x14ac:dyDescent="0.25">
      <c r="A1764" s="22">
        <v>40115</v>
      </c>
      <c r="G1764" s="38">
        <v>0</v>
      </c>
      <c r="Q1764" s="28"/>
    </row>
    <row r="1765" spans="1:17" x14ac:dyDescent="0.25">
      <c r="A1765" s="22">
        <v>40116</v>
      </c>
      <c r="G1765" s="38">
        <v>2.4</v>
      </c>
      <c r="Q1765" s="28"/>
    </row>
    <row r="1766" spans="1:17" x14ac:dyDescent="0.25">
      <c r="A1766" s="22">
        <v>40117</v>
      </c>
      <c r="G1766" s="38">
        <v>3.9</v>
      </c>
      <c r="Q1766" s="28"/>
    </row>
    <row r="1767" spans="1:17" x14ac:dyDescent="0.25">
      <c r="A1767" s="22">
        <v>40118</v>
      </c>
      <c r="G1767" s="38">
        <v>0</v>
      </c>
      <c r="Q1767" s="28"/>
    </row>
    <row r="1768" spans="1:17" x14ac:dyDescent="0.25">
      <c r="A1768" s="22">
        <v>40119</v>
      </c>
      <c r="G1768" s="38">
        <v>0</v>
      </c>
      <c r="Q1768" s="28"/>
    </row>
    <row r="1769" spans="1:17" x14ac:dyDescent="0.25">
      <c r="A1769" s="22">
        <v>40120</v>
      </c>
      <c r="G1769" s="38">
        <v>1.1000000000000001</v>
      </c>
      <c r="Q1769" s="28"/>
    </row>
    <row r="1770" spans="1:17" x14ac:dyDescent="0.25">
      <c r="A1770" s="22">
        <v>40121</v>
      </c>
      <c r="G1770" s="38">
        <v>0</v>
      </c>
      <c r="Q1770" s="28"/>
    </row>
    <row r="1771" spans="1:17" x14ac:dyDescent="0.25">
      <c r="A1771" s="22">
        <v>40122</v>
      </c>
      <c r="G1771" s="38">
        <v>0</v>
      </c>
      <c r="Q1771" s="28"/>
    </row>
    <row r="1772" spans="1:17" x14ac:dyDescent="0.25">
      <c r="A1772" s="22">
        <v>40123</v>
      </c>
      <c r="G1772" s="38">
        <v>0</v>
      </c>
      <c r="Q1772" s="28"/>
    </row>
    <row r="1773" spans="1:17" x14ac:dyDescent="0.25">
      <c r="A1773" s="22">
        <v>40124</v>
      </c>
      <c r="G1773" s="38">
        <v>6.1</v>
      </c>
      <c r="Q1773" s="28"/>
    </row>
    <row r="1774" spans="1:17" x14ac:dyDescent="0.25">
      <c r="A1774" s="22">
        <v>40125</v>
      </c>
      <c r="G1774" s="38">
        <v>0</v>
      </c>
      <c r="Q1774" s="28"/>
    </row>
    <row r="1775" spans="1:17" x14ac:dyDescent="0.25">
      <c r="A1775" s="22">
        <v>40126</v>
      </c>
      <c r="G1775" s="38">
        <v>0.5</v>
      </c>
      <c r="Q1775" s="28"/>
    </row>
    <row r="1776" spans="1:17" x14ac:dyDescent="0.25">
      <c r="A1776" s="22">
        <v>40127</v>
      </c>
      <c r="G1776" s="38">
        <v>2.2999999999999998</v>
      </c>
      <c r="Q1776" s="28"/>
    </row>
    <row r="1777" spans="1:17" x14ac:dyDescent="0.25">
      <c r="A1777" s="22">
        <v>40128</v>
      </c>
      <c r="G1777" s="38">
        <v>0.6</v>
      </c>
      <c r="Q1777" s="28"/>
    </row>
    <row r="1778" spans="1:17" x14ac:dyDescent="0.25">
      <c r="A1778" s="22">
        <v>40129</v>
      </c>
      <c r="G1778" s="38">
        <v>0</v>
      </c>
      <c r="Q1778" s="28"/>
    </row>
    <row r="1779" spans="1:17" x14ac:dyDescent="0.25">
      <c r="A1779" s="22">
        <v>40130</v>
      </c>
      <c r="G1779" s="38">
        <v>70.3</v>
      </c>
      <c r="Q1779" s="28"/>
    </row>
    <row r="1780" spans="1:17" x14ac:dyDescent="0.25">
      <c r="A1780" s="22">
        <v>40131</v>
      </c>
      <c r="G1780" s="38">
        <v>8.1999999999999993</v>
      </c>
      <c r="Q1780" s="28"/>
    </row>
    <row r="1781" spans="1:17" x14ac:dyDescent="0.25">
      <c r="A1781" s="22">
        <v>40132</v>
      </c>
      <c r="G1781" s="38">
        <v>26.2</v>
      </c>
      <c r="Q1781" s="28"/>
    </row>
    <row r="1782" spans="1:17" x14ac:dyDescent="0.25">
      <c r="A1782" s="22">
        <v>40133</v>
      </c>
      <c r="G1782" s="38">
        <v>32.4</v>
      </c>
      <c r="Q1782" s="28"/>
    </row>
    <row r="1783" spans="1:17" x14ac:dyDescent="0.25">
      <c r="A1783" s="22">
        <v>40134</v>
      </c>
      <c r="G1783" s="38">
        <v>21.2</v>
      </c>
      <c r="Q1783" s="28"/>
    </row>
    <row r="1784" spans="1:17" x14ac:dyDescent="0.25">
      <c r="A1784" s="22">
        <v>40135</v>
      </c>
      <c r="G1784" s="38">
        <v>10.6</v>
      </c>
      <c r="Q1784" s="28"/>
    </row>
    <row r="1785" spans="1:17" x14ac:dyDescent="0.25">
      <c r="A1785" s="22">
        <v>40136</v>
      </c>
      <c r="G1785" s="38">
        <v>3.7</v>
      </c>
      <c r="Q1785" s="28"/>
    </row>
    <row r="1786" spans="1:17" x14ac:dyDescent="0.25">
      <c r="A1786" s="22">
        <v>40137</v>
      </c>
      <c r="G1786" s="38">
        <v>0</v>
      </c>
      <c r="Q1786" s="28"/>
    </row>
    <row r="1787" spans="1:17" x14ac:dyDescent="0.25">
      <c r="A1787" s="22">
        <v>40138</v>
      </c>
      <c r="G1787" s="38">
        <v>0</v>
      </c>
      <c r="Q1787" s="28"/>
    </row>
    <row r="1788" spans="1:17" x14ac:dyDescent="0.25">
      <c r="A1788" s="22">
        <v>40139</v>
      </c>
      <c r="G1788" s="38">
        <v>0</v>
      </c>
      <c r="Q1788" s="28"/>
    </row>
    <row r="1789" spans="1:17" x14ac:dyDescent="0.25">
      <c r="A1789" s="22">
        <v>40140</v>
      </c>
      <c r="G1789" s="38">
        <v>0</v>
      </c>
      <c r="Q1789" s="28"/>
    </row>
    <row r="1790" spans="1:17" x14ac:dyDescent="0.25">
      <c r="A1790" s="22">
        <v>40141</v>
      </c>
      <c r="G1790" s="38">
        <v>2.2999999999999998</v>
      </c>
      <c r="Q1790" s="28"/>
    </row>
    <row r="1791" spans="1:17" x14ac:dyDescent="0.25">
      <c r="A1791" s="22">
        <v>40142</v>
      </c>
      <c r="G1791" s="38">
        <v>1</v>
      </c>
      <c r="Q1791" s="28"/>
    </row>
    <row r="1792" spans="1:17" x14ac:dyDescent="0.25">
      <c r="A1792" s="22">
        <v>40143</v>
      </c>
      <c r="G1792" s="38">
        <v>23.1</v>
      </c>
      <c r="Q1792" s="28"/>
    </row>
    <row r="1793" spans="1:17" x14ac:dyDescent="0.25">
      <c r="A1793" s="22">
        <v>40144</v>
      </c>
      <c r="G1793" s="38">
        <v>7.3</v>
      </c>
      <c r="Q1793" s="28"/>
    </row>
    <row r="1794" spans="1:17" x14ac:dyDescent="0.25">
      <c r="A1794" s="22">
        <v>40145</v>
      </c>
      <c r="G1794" s="38">
        <v>0.5</v>
      </c>
      <c r="Q1794" s="28"/>
    </row>
    <row r="1795" spans="1:17" x14ac:dyDescent="0.25">
      <c r="A1795" s="22">
        <v>40146</v>
      </c>
      <c r="G1795" s="38">
        <v>13.4</v>
      </c>
      <c r="Q1795" s="28"/>
    </row>
    <row r="1796" spans="1:17" x14ac:dyDescent="0.25">
      <c r="A1796" s="22">
        <v>40147</v>
      </c>
      <c r="G1796" s="38">
        <v>2.1</v>
      </c>
      <c r="Q1796" s="28"/>
    </row>
    <row r="1797" spans="1:17" x14ac:dyDescent="0.25">
      <c r="A1797" s="22">
        <v>40148</v>
      </c>
      <c r="G1797" s="38">
        <v>11.1</v>
      </c>
      <c r="Q1797" s="28"/>
    </row>
    <row r="1798" spans="1:17" x14ac:dyDescent="0.25">
      <c r="A1798" s="22">
        <v>40149</v>
      </c>
      <c r="G1798" s="38">
        <v>5.9</v>
      </c>
      <c r="Q1798" s="28"/>
    </row>
    <row r="1799" spans="1:17" x14ac:dyDescent="0.25">
      <c r="A1799" s="22">
        <v>40150</v>
      </c>
      <c r="G1799" s="38">
        <v>6.8</v>
      </c>
      <c r="Q1799" s="28"/>
    </row>
    <row r="1800" spans="1:17" x14ac:dyDescent="0.25">
      <c r="A1800" s="22">
        <v>40151</v>
      </c>
      <c r="G1800" s="38">
        <v>1.1000000000000001</v>
      </c>
      <c r="Q1800" s="28"/>
    </row>
    <row r="1801" spans="1:17" x14ac:dyDescent="0.25">
      <c r="A1801" s="22">
        <v>40152</v>
      </c>
      <c r="G1801" s="38">
        <v>8.4</v>
      </c>
      <c r="Q1801" s="28"/>
    </row>
    <row r="1802" spans="1:17" x14ac:dyDescent="0.25">
      <c r="A1802" s="22">
        <v>40153</v>
      </c>
      <c r="G1802" s="38">
        <v>6.4</v>
      </c>
      <c r="Q1802" s="28"/>
    </row>
    <row r="1803" spans="1:17" x14ac:dyDescent="0.25">
      <c r="A1803" s="22">
        <v>40154</v>
      </c>
      <c r="G1803" s="38">
        <v>5.7</v>
      </c>
      <c r="Q1803" s="28"/>
    </row>
    <row r="1804" spans="1:17" x14ac:dyDescent="0.25">
      <c r="A1804" s="22">
        <v>40155</v>
      </c>
      <c r="G1804" s="38">
        <v>2.6</v>
      </c>
      <c r="Q1804" s="28"/>
    </row>
    <row r="1805" spans="1:17" x14ac:dyDescent="0.25">
      <c r="A1805" s="22">
        <v>40156</v>
      </c>
      <c r="G1805" s="38">
        <v>0</v>
      </c>
      <c r="Q1805" s="28"/>
    </row>
    <row r="1806" spans="1:17" x14ac:dyDescent="0.25">
      <c r="A1806" s="22">
        <v>40157</v>
      </c>
      <c r="G1806" s="38">
        <v>0.4</v>
      </c>
      <c r="Q1806" s="28"/>
    </row>
    <row r="1807" spans="1:17" x14ac:dyDescent="0.25">
      <c r="A1807" s="22">
        <v>40158</v>
      </c>
      <c r="G1807" s="38">
        <v>17.2</v>
      </c>
      <c r="Q1807" s="28"/>
    </row>
    <row r="1808" spans="1:17" x14ac:dyDescent="0.25">
      <c r="A1808" s="22">
        <v>40159</v>
      </c>
      <c r="G1808" s="38">
        <v>7.6</v>
      </c>
      <c r="Q1808" s="28"/>
    </row>
    <row r="1809" spans="1:17" x14ac:dyDescent="0.25">
      <c r="A1809" s="22">
        <v>40160</v>
      </c>
      <c r="G1809" s="38">
        <v>0</v>
      </c>
      <c r="Q1809" s="28"/>
    </row>
    <row r="1810" spans="1:17" x14ac:dyDescent="0.25">
      <c r="A1810" s="22">
        <v>40161</v>
      </c>
      <c r="G1810" s="38">
        <v>4.2</v>
      </c>
      <c r="Q1810" s="28"/>
    </row>
    <row r="1811" spans="1:17" x14ac:dyDescent="0.25">
      <c r="A1811" s="22">
        <v>40162</v>
      </c>
      <c r="G1811" s="38">
        <v>4.5</v>
      </c>
      <c r="Q1811" s="28"/>
    </row>
    <row r="1812" spans="1:17" x14ac:dyDescent="0.25">
      <c r="A1812" s="22">
        <v>40163</v>
      </c>
      <c r="G1812" s="38">
        <v>0</v>
      </c>
      <c r="Q1812" s="28"/>
    </row>
    <row r="1813" spans="1:17" x14ac:dyDescent="0.25">
      <c r="A1813" s="22">
        <v>40164</v>
      </c>
      <c r="G1813" s="38">
        <v>1.2</v>
      </c>
      <c r="Q1813" s="28"/>
    </row>
    <row r="1814" spans="1:17" x14ac:dyDescent="0.25">
      <c r="A1814" s="22">
        <v>40165</v>
      </c>
      <c r="G1814" s="38">
        <v>0</v>
      </c>
      <c r="Q1814" s="28"/>
    </row>
    <row r="1815" spans="1:17" x14ac:dyDescent="0.25">
      <c r="A1815" s="22">
        <v>40166</v>
      </c>
      <c r="G1815" s="38">
        <v>1.7</v>
      </c>
      <c r="Q1815" s="28"/>
    </row>
    <row r="1816" spans="1:17" x14ac:dyDescent="0.25">
      <c r="A1816" s="22">
        <v>40167</v>
      </c>
      <c r="G1816" s="38">
        <v>0</v>
      </c>
      <c r="Q1816" s="28"/>
    </row>
    <row r="1817" spans="1:17" x14ac:dyDescent="0.25">
      <c r="A1817" s="22">
        <v>40168</v>
      </c>
      <c r="G1817" s="38">
        <v>0</v>
      </c>
      <c r="Q1817" s="28"/>
    </row>
    <row r="1818" spans="1:17" x14ac:dyDescent="0.25">
      <c r="A1818" s="22">
        <v>40169</v>
      </c>
      <c r="G1818" s="38">
        <v>0</v>
      </c>
      <c r="Q1818" s="28"/>
    </row>
    <row r="1819" spans="1:17" x14ac:dyDescent="0.25">
      <c r="A1819" s="22">
        <v>40170</v>
      </c>
      <c r="G1819" s="38">
        <v>0</v>
      </c>
      <c r="Q1819" s="28"/>
    </row>
    <row r="1820" spans="1:17" x14ac:dyDescent="0.25">
      <c r="A1820" s="22">
        <v>40171</v>
      </c>
      <c r="G1820" s="38">
        <v>0</v>
      </c>
      <c r="Q1820" s="28"/>
    </row>
    <row r="1821" spans="1:17" x14ac:dyDescent="0.25">
      <c r="A1821" s="22">
        <v>40172</v>
      </c>
      <c r="G1821" s="38">
        <v>0</v>
      </c>
      <c r="Q1821" s="28"/>
    </row>
    <row r="1822" spans="1:17" x14ac:dyDescent="0.25">
      <c r="A1822" s="22">
        <v>40173</v>
      </c>
      <c r="G1822" s="38">
        <v>0.5</v>
      </c>
      <c r="Q1822" s="28"/>
    </row>
    <row r="1823" spans="1:17" x14ac:dyDescent="0.25">
      <c r="A1823" s="22">
        <v>40174</v>
      </c>
      <c r="G1823" s="38">
        <v>0</v>
      </c>
      <c r="Q1823" s="28"/>
    </row>
    <row r="1824" spans="1:17" x14ac:dyDescent="0.25">
      <c r="A1824" s="22">
        <v>40175</v>
      </c>
      <c r="G1824" s="38">
        <v>2.2000000000000002</v>
      </c>
      <c r="Q1824" s="28"/>
    </row>
    <row r="1825" spans="1:17" x14ac:dyDescent="0.25">
      <c r="A1825" s="22">
        <v>40176</v>
      </c>
      <c r="G1825" s="38">
        <v>0</v>
      </c>
      <c r="Q1825" s="28"/>
    </row>
    <row r="1826" spans="1:17" x14ac:dyDescent="0.25">
      <c r="A1826" s="22">
        <v>40177</v>
      </c>
      <c r="G1826" s="38">
        <v>0</v>
      </c>
      <c r="Q1826" s="28"/>
    </row>
    <row r="1827" spans="1:17" x14ac:dyDescent="0.25">
      <c r="A1827" s="22">
        <v>40178</v>
      </c>
      <c r="G1827" s="38">
        <v>0</v>
      </c>
      <c r="Q1827" s="28"/>
    </row>
    <row r="1828" spans="1:17" x14ac:dyDescent="0.25">
      <c r="A1828" s="22">
        <v>40179</v>
      </c>
      <c r="G1828" s="38">
        <v>0</v>
      </c>
    </row>
    <row r="1829" spans="1:17" x14ac:dyDescent="0.25">
      <c r="A1829" s="22">
        <v>40180</v>
      </c>
      <c r="G1829" s="38">
        <v>0</v>
      </c>
    </row>
    <row r="1830" spans="1:17" x14ac:dyDescent="0.25">
      <c r="A1830" s="22">
        <v>40181</v>
      </c>
      <c r="G1830" s="38">
        <v>0</v>
      </c>
    </row>
    <row r="1831" spans="1:17" x14ac:dyDescent="0.25">
      <c r="A1831" s="22">
        <v>40182</v>
      </c>
      <c r="G1831" s="38">
        <v>0</v>
      </c>
    </row>
    <row r="1832" spans="1:17" x14ac:dyDescent="0.25">
      <c r="A1832" s="22">
        <v>40183</v>
      </c>
      <c r="G1832" s="38">
        <v>0</v>
      </c>
    </row>
    <row r="1833" spans="1:17" x14ac:dyDescent="0.25">
      <c r="A1833" s="22">
        <v>40184</v>
      </c>
      <c r="G1833" s="38">
        <v>0</v>
      </c>
    </row>
    <row r="1834" spans="1:17" x14ac:dyDescent="0.25">
      <c r="A1834" s="22">
        <v>40185</v>
      </c>
      <c r="G1834" s="38">
        <v>0</v>
      </c>
    </row>
    <row r="1835" spans="1:17" x14ac:dyDescent="0.25">
      <c r="A1835" s="22">
        <v>40186</v>
      </c>
      <c r="G1835" s="38">
        <v>0</v>
      </c>
    </row>
    <row r="1836" spans="1:17" x14ac:dyDescent="0.25">
      <c r="A1836" s="22">
        <v>40187</v>
      </c>
      <c r="G1836" s="38">
        <v>3.1</v>
      </c>
    </row>
    <row r="1837" spans="1:17" x14ac:dyDescent="0.25">
      <c r="A1837" s="22">
        <v>40188</v>
      </c>
      <c r="G1837" s="38">
        <v>0.5</v>
      </c>
    </row>
    <row r="1838" spans="1:17" x14ac:dyDescent="0.25">
      <c r="A1838" s="22">
        <v>40189</v>
      </c>
      <c r="G1838" s="38">
        <v>10</v>
      </c>
    </row>
    <row r="1839" spans="1:17" x14ac:dyDescent="0.25">
      <c r="A1839" s="22">
        <v>40190</v>
      </c>
      <c r="G1839" s="38">
        <v>21.7</v>
      </c>
    </row>
    <row r="1840" spans="1:17" x14ac:dyDescent="0.25">
      <c r="A1840" s="22">
        <v>40191</v>
      </c>
      <c r="G1840" s="38">
        <v>6.8</v>
      </c>
    </row>
    <row r="1841" spans="1:7" x14ac:dyDescent="0.25">
      <c r="A1841" s="22">
        <v>40192</v>
      </c>
      <c r="G1841" s="38">
        <v>1</v>
      </c>
    </row>
    <row r="1842" spans="1:7" x14ac:dyDescent="0.25">
      <c r="A1842" s="22">
        <v>40193</v>
      </c>
      <c r="G1842" s="38">
        <v>0</v>
      </c>
    </row>
    <row r="1843" spans="1:7" x14ac:dyDescent="0.25">
      <c r="A1843" s="22">
        <v>40194</v>
      </c>
      <c r="G1843" s="38">
        <v>0</v>
      </c>
    </row>
    <row r="1844" spans="1:7" x14ac:dyDescent="0.25">
      <c r="A1844" s="22">
        <v>40195</v>
      </c>
      <c r="G1844" s="38">
        <v>0</v>
      </c>
    </row>
    <row r="1845" spans="1:7" x14ac:dyDescent="0.25">
      <c r="A1845" s="22">
        <v>40196</v>
      </c>
      <c r="G1845" s="38">
        <v>7.4</v>
      </c>
    </row>
    <row r="1846" spans="1:7" x14ac:dyDescent="0.25">
      <c r="A1846" s="22">
        <v>40197</v>
      </c>
      <c r="G1846" s="38">
        <v>3.2</v>
      </c>
    </row>
    <row r="1847" spans="1:7" x14ac:dyDescent="0.25">
      <c r="A1847" s="22">
        <v>40198</v>
      </c>
      <c r="G1847" s="38">
        <v>0</v>
      </c>
    </row>
    <row r="1848" spans="1:7" x14ac:dyDescent="0.25">
      <c r="A1848" s="22">
        <v>40199</v>
      </c>
      <c r="G1848" s="38">
        <v>0</v>
      </c>
    </row>
    <row r="1849" spans="1:7" x14ac:dyDescent="0.25">
      <c r="A1849" s="22">
        <v>40200</v>
      </c>
      <c r="G1849" s="38">
        <v>3.4</v>
      </c>
    </row>
    <row r="1850" spans="1:7" x14ac:dyDescent="0.25">
      <c r="A1850" s="22">
        <v>40201</v>
      </c>
      <c r="G1850" s="38">
        <v>0</v>
      </c>
    </row>
    <row r="1851" spans="1:7" x14ac:dyDescent="0.25">
      <c r="A1851" s="22">
        <v>40202</v>
      </c>
      <c r="G1851" s="38">
        <v>0</v>
      </c>
    </row>
    <row r="1852" spans="1:7" x14ac:dyDescent="0.25">
      <c r="A1852" s="22">
        <v>40203</v>
      </c>
      <c r="G1852" s="38">
        <v>0</v>
      </c>
    </row>
    <row r="1853" spans="1:7" x14ac:dyDescent="0.25">
      <c r="A1853" s="22">
        <v>40204</v>
      </c>
      <c r="G1853" s="38">
        <v>0.3</v>
      </c>
    </row>
    <row r="1854" spans="1:7" x14ac:dyDescent="0.25">
      <c r="A1854" s="22">
        <v>40205</v>
      </c>
      <c r="G1854" s="38">
        <v>14.9</v>
      </c>
    </row>
    <row r="1855" spans="1:7" x14ac:dyDescent="0.25">
      <c r="A1855" s="22">
        <v>40206</v>
      </c>
      <c r="G1855" s="38">
        <v>8.3000000000000007</v>
      </c>
    </row>
    <row r="1856" spans="1:7" x14ac:dyDescent="0.25">
      <c r="A1856" s="22">
        <v>40207</v>
      </c>
      <c r="G1856" s="38">
        <v>0</v>
      </c>
    </row>
    <row r="1857" spans="1:7" x14ac:dyDescent="0.25">
      <c r="A1857" s="22">
        <v>40208</v>
      </c>
      <c r="G1857" s="38">
        <v>0.6</v>
      </c>
    </row>
    <row r="1858" spans="1:7" x14ac:dyDescent="0.25">
      <c r="A1858" s="22">
        <v>40209</v>
      </c>
      <c r="G1858" s="38">
        <v>0</v>
      </c>
    </row>
    <row r="1859" spans="1:7" x14ac:dyDescent="0.25">
      <c r="A1859" s="22">
        <v>40210</v>
      </c>
      <c r="G1859" s="38">
        <v>0</v>
      </c>
    </row>
    <row r="1860" spans="1:7" x14ac:dyDescent="0.25">
      <c r="A1860" s="22">
        <v>40211</v>
      </c>
      <c r="G1860" s="38">
        <v>0</v>
      </c>
    </row>
    <row r="1861" spans="1:7" x14ac:dyDescent="0.25">
      <c r="A1861" s="22">
        <v>40212</v>
      </c>
      <c r="G1861" s="38">
        <v>2</v>
      </c>
    </row>
    <row r="1862" spans="1:7" x14ac:dyDescent="0.25">
      <c r="A1862" s="22">
        <v>40213</v>
      </c>
      <c r="G1862" s="38">
        <v>0</v>
      </c>
    </row>
    <row r="1863" spans="1:7" x14ac:dyDescent="0.25">
      <c r="A1863" s="22">
        <v>40214</v>
      </c>
      <c r="G1863" s="38">
        <v>0</v>
      </c>
    </row>
    <row r="1864" spans="1:7" x14ac:dyDescent="0.25">
      <c r="A1864" s="22">
        <v>40215</v>
      </c>
      <c r="G1864" s="38">
        <v>0</v>
      </c>
    </row>
    <row r="1865" spans="1:7" x14ac:dyDescent="0.25">
      <c r="A1865" s="22">
        <v>40216</v>
      </c>
      <c r="G1865" s="38">
        <v>0</v>
      </c>
    </row>
    <row r="1866" spans="1:7" x14ac:dyDescent="0.25">
      <c r="A1866" s="22">
        <v>40217</v>
      </c>
      <c r="G1866" s="38">
        <v>0</v>
      </c>
    </row>
    <row r="1867" spans="1:7" x14ac:dyDescent="0.25">
      <c r="A1867" s="22">
        <v>40218</v>
      </c>
      <c r="G1867" s="38">
        <v>0</v>
      </c>
    </row>
    <row r="1868" spans="1:7" x14ac:dyDescent="0.25">
      <c r="A1868" s="22">
        <v>40219</v>
      </c>
      <c r="G1868" s="38">
        <v>0</v>
      </c>
    </row>
    <row r="1869" spans="1:7" x14ac:dyDescent="0.25">
      <c r="A1869" s="22">
        <v>40220</v>
      </c>
      <c r="G1869" s="38">
        <v>0</v>
      </c>
    </row>
    <row r="1870" spans="1:7" x14ac:dyDescent="0.25">
      <c r="A1870" s="22">
        <v>40221</v>
      </c>
      <c r="G1870" s="38">
        <v>0</v>
      </c>
    </row>
    <row r="1871" spans="1:7" x14ac:dyDescent="0.25">
      <c r="A1871" s="22">
        <v>40222</v>
      </c>
      <c r="G1871" s="38">
        <v>0</v>
      </c>
    </row>
    <row r="1872" spans="1:7" x14ac:dyDescent="0.25">
      <c r="A1872" s="22">
        <v>40223</v>
      </c>
      <c r="G1872" s="38">
        <v>0</v>
      </c>
    </row>
    <row r="1873" spans="1:7" x14ac:dyDescent="0.25">
      <c r="A1873" s="22">
        <v>40224</v>
      </c>
      <c r="G1873" s="38">
        <v>0</v>
      </c>
    </row>
    <row r="1874" spans="1:7" x14ac:dyDescent="0.25">
      <c r="A1874" s="22">
        <v>40225</v>
      </c>
      <c r="G1874" s="38">
        <v>0</v>
      </c>
    </row>
    <row r="1875" spans="1:7" x14ac:dyDescent="0.25">
      <c r="A1875" s="22">
        <v>40226</v>
      </c>
      <c r="G1875" s="38">
        <v>0</v>
      </c>
    </row>
    <row r="1876" spans="1:7" x14ac:dyDescent="0.25">
      <c r="A1876" s="22">
        <v>40227</v>
      </c>
      <c r="G1876" s="38">
        <v>0</v>
      </c>
    </row>
    <row r="1877" spans="1:7" x14ac:dyDescent="0.25">
      <c r="A1877" s="22">
        <v>40228</v>
      </c>
      <c r="G1877" s="38">
        <v>0</v>
      </c>
    </row>
    <row r="1878" spans="1:7" x14ac:dyDescent="0.25">
      <c r="A1878" s="22">
        <v>40229</v>
      </c>
      <c r="G1878" s="38">
        <v>0</v>
      </c>
    </row>
    <row r="1879" spans="1:7" x14ac:dyDescent="0.25">
      <c r="A1879" s="22">
        <v>40230</v>
      </c>
      <c r="G1879" s="38">
        <v>0</v>
      </c>
    </row>
    <row r="1880" spans="1:7" x14ac:dyDescent="0.25">
      <c r="A1880" s="22">
        <v>40231</v>
      </c>
      <c r="G1880" s="38">
        <v>0</v>
      </c>
    </row>
    <row r="1881" spans="1:7" x14ac:dyDescent="0.25">
      <c r="A1881" s="22">
        <v>40232</v>
      </c>
      <c r="G1881" s="38">
        <v>0</v>
      </c>
    </row>
    <row r="1882" spans="1:7" x14ac:dyDescent="0.25">
      <c r="A1882" s="22">
        <v>40233</v>
      </c>
      <c r="G1882" s="38">
        <v>0</v>
      </c>
    </row>
    <row r="1883" spans="1:7" x14ac:dyDescent="0.25">
      <c r="A1883" s="22">
        <v>40234</v>
      </c>
      <c r="G1883" s="38">
        <v>0</v>
      </c>
    </row>
    <row r="1884" spans="1:7" x14ac:dyDescent="0.25">
      <c r="A1884" s="22">
        <v>40235</v>
      </c>
      <c r="G1884" s="38">
        <v>0</v>
      </c>
    </row>
    <row r="1885" spans="1:7" x14ac:dyDescent="0.25">
      <c r="A1885" s="22">
        <v>40236</v>
      </c>
      <c r="G1885" s="38">
        <v>0</v>
      </c>
    </row>
    <row r="1886" spans="1:7" x14ac:dyDescent="0.25">
      <c r="A1886" s="22">
        <v>40237</v>
      </c>
      <c r="G1886" s="38">
        <v>0</v>
      </c>
    </row>
    <row r="1887" spans="1:7" x14ac:dyDescent="0.25">
      <c r="A1887" s="22">
        <v>40238</v>
      </c>
      <c r="G1887" s="28"/>
    </row>
    <row r="1888" spans="1:7" x14ac:dyDescent="0.25">
      <c r="A1888" s="22">
        <v>40239</v>
      </c>
      <c r="G1888" s="28"/>
    </row>
    <row r="1889" spans="1:7" x14ac:dyDescent="0.25">
      <c r="A1889" s="22">
        <v>40240</v>
      </c>
      <c r="G1889" s="28"/>
    </row>
    <row r="1890" spans="1:7" x14ac:dyDescent="0.25">
      <c r="A1890" s="22">
        <v>40241</v>
      </c>
      <c r="G1890" s="28"/>
    </row>
    <row r="1891" spans="1:7" x14ac:dyDescent="0.25">
      <c r="A1891" s="22">
        <v>40242</v>
      </c>
      <c r="G1891" s="29"/>
    </row>
    <row r="1892" spans="1:7" x14ac:dyDescent="0.25">
      <c r="A1892" s="22">
        <v>40243</v>
      </c>
      <c r="G1892" s="28"/>
    </row>
    <row r="1893" spans="1:7" x14ac:dyDescent="0.25">
      <c r="A1893" s="22">
        <v>40244</v>
      </c>
      <c r="G1893" s="28"/>
    </row>
    <row r="1894" spans="1:7" x14ac:dyDescent="0.25">
      <c r="A1894" s="22">
        <v>40245</v>
      </c>
      <c r="G1894" s="29"/>
    </row>
    <row r="1895" spans="1:7" x14ac:dyDescent="0.25">
      <c r="A1895" s="22">
        <v>40246</v>
      </c>
      <c r="G1895" s="28"/>
    </row>
    <row r="1896" spans="1:7" x14ac:dyDescent="0.25">
      <c r="A1896" s="22">
        <v>40247</v>
      </c>
      <c r="G1896" s="28"/>
    </row>
    <row r="1897" spans="1:7" x14ac:dyDescent="0.25">
      <c r="A1897" s="22">
        <v>40248</v>
      </c>
      <c r="G1897" s="28"/>
    </row>
    <row r="1898" spans="1:7" x14ac:dyDescent="0.25">
      <c r="A1898" s="22">
        <v>40249</v>
      </c>
      <c r="G1898" s="28"/>
    </row>
    <row r="1899" spans="1:7" x14ac:dyDescent="0.25">
      <c r="A1899" s="22">
        <v>40250</v>
      </c>
      <c r="G1899" s="29"/>
    </row>
    <row r="1900" spans="1:7" x14ac:dyDescent="0.25">
      <c r="A1900" s="22">
        <v>40251</v>
      </c>
      <c r="G1900" s="29"/>
    </row>
    <row r="1901" spans="1:7" x14ac:dyDescent="0.25">
      <c r="A1901" s="22">
        <v>40252</v>
      </c>
      <c r="G1901" s="29"/>
    </row>
    <row r="1902" spans="1:7" x14ac:dyDescent="0.25">
      <c r="A1902" s="22">
        <v>40253</v>
      </c>
      <c r="G1902" s="29"/>
    </row>
    <row r="1903" spans="1:7" x14ac:dyDescent="0.25">
      <c r="A1903" s="22">
        <v>40254</v>
      </c>
      <c r="G1903" s="28"/>
    </row>
    <row r="1904" spans="1:7" x14ac:dyDescent="0.25">
      <c r="A1904" s="22">
        <v>40255</v>
      </c>
      <c r="G1904" s="28"/>
    </row>
    <row r="1905" spans="1:7" x14ac:dyDescent="0.25">
      <c r="A1905" s="22">
        <v>40256</v>
      </c>
      <c r="G1905" s="29"/>
    </row>
    <row r="1906" spans="1:7" x14ac:dyDescent="0.25">
      <c r="A1906" s="22">
        <v>40257</v>
      </c>
      <c r="G1906" s="29"/>
    </row>
    <row r="1907" spans="1:7" x14ac:dyDescent="0.25">
      <c r="A1907" s="22">
        <v>40258</v>
      </c>
      <c r="G1907" s="28"/>
    </row>
    <row r="1908" spans="1:7" x14ac:dyDescent="0.25">
      <c r="A1908" s="22">
        <v>40259</v>
      </c>
      <c r="G1908" s="28"/>
    </row>
    <row r="1909" spans="1:7" x14ac:dyDescent="0.25">
      <c r="A1909" s="22">
        <v>40260</v>
      </c>
      <c r="G1909" s="28"/>
    </row>
    <row r="1910" spans="1:7" x14ac:dyDescent="0.25">
      <c r="A1910" s="22">
        <v>40261</v>
      </c>
      <c r="G1910" s="28"/>
    </row>
    <row r="1911" spans="1:7" x14ac:dyDescent="0.25">
      <c r="A1911" s="22">
        <v>40262</v>
      </c>
      <c r="G1911" s="28"/>
    </row>
    <row r="1912" spans="1:7" x14ac:dyDescent="0.25">
      <c r="A1912" s="22">
        <v>40263</v>
      </c>
      <c r="G1912" s="28"/>
    </row>
    <row r="1913" spans="1:7" x14ac:dyDescent="0.25">
      <c r="A1913" s="22">
        <v>40264</v>
      </c>
      <c r="G1913" s="28"/>
    </row>
    <row r="1914" spans="1:7" x14ac:dyDescent="0.25">
      <c r="A1914" s="22">
        <v>40265</v>
      </c>
      <c r="G1914" s="28"/>
    </row>
    <row r="1915" spans="1:7" x14ac:dyDescent="0.25">
      <c r="A1915" s="22">
        <v>40266</v>
      </c>
      <c r="G1915" s="28"/>
    </row>
    <row r="1916" spans="1:7" x14ac:dyDescent="0.25">
      <c r="A1916" s="22">
        <v>40267</v>
      </c>
      <c r="G1916" s="28"/>
    </row>
    <row r="1917" spans="1:7" x14ac:dyDescent="0.25">
      <c r="A1917" s="22">
        <v>40268</v>
      </c>
      <c r="G1917" s="28"/>
    </row>
    <row r="1918" spans="1:7" x14ac:dyDescent="0.25">
      <c r="A1918" s="22">
        <v>40269</v>
      </c>
      <c r="G1918" s="38">
        <v>0</v>
      </c>
    </row>
    <row r="1919" spans="1:7" x14ac:dyDescent="0.25">
      <c r="A1919" s="22">
        <v>40270</v>
      </c>
      <c r="G1919" s="38">
        <v>0</v>
      </c>
    </row>
    <row r="1920" spans="1:7" x14ac:dyDescent="0.25">
      <c r="A1920" s="22">
        <v>40271</v>
      </c>
      <c r="G1920" s="38">
        <v>0</v>
      </c>
    </row>
    <row r="1921" spans="1:7" x14ac:dyDescent="0.25">
      <c r="A1921" s="22">
        <v>40272</v>
      </c>
      <c r="G1921" s="38">
        <v>0</v>
      </c>
    </row>
    <row r="1922" spans="1:7" x14ac:dyDescent="0.25">
      <c r="A1922" s="22">
        <v>40273</v>
      </c>
      <c r="G1922" s="38">
        <v>0</v>
      </c>
    </row>
    <row r="1923" spans="1:7" x14ac:dyDescent="0.25">
      <c r="A1923" s="22">
        <v>40274</v>
      </c>
      <c r="G1923" s="38">
        <v>6.1</v>
      </c>
    </row>
    <row r="1924" spans="1:7" x14ac:dyDescent="0.25">
      <c r="A1924" s="22">
        <v>40275</v>
      </c>
      <c r="G1924" s="38">
        <v>13.4</v>
      </c>
    </row>
    <row r="1925" spans="1:7" x14ac:dyDescent="0.25">
      <c r="A1925" s="22">
        <v>40276</v>
      </c>
      <c r="G1925" s="38">
        <v>16.100000000000001</v>
      </c>
    </row>
    <row r="1926" spans="1:7" x14ac:dyDescent="0.25">
      <c r="A1926" s="22">
        <v>40277</v>
      </c>
      <c r="G1926" s="38">
        <v>8.1999999999999993</v>
      </c>
    </row>
    <row r="1927" spans="1:7" x14ac:dyDescent="0.25">
      <c r="A1927" s="22">
        <v>40278</v>
      </c>
      <c r="G1927" s="38">
        <v>26.1</v>
      </c>
    </row>
    <row r="1928" spans="1:7" x14ac:dyDescent="0.25">
      <c r="A1928" s="22">
        <v>40279</v>
      </c>
      <c r="G1928" s="38">
        <v>16.100000000000001</v>
      </c>
    </row>
    <row r="1929" spans="1:7" x14ac:dyDescent="0.25">
      <c r="A1929" s="22">
        <v>40280</v>
      </c>
      <c r="G1929" s="38">
        <v>0</v>
      </c>
    </row>
    <row r="1930" spans="1:7" x14ac:dyDescent="0.25">
      <c r="A1930" s="22">
        <v>40281</v>
      </c>
      <c r="G1930" s="38">
        <v>0</v>
      </c>
    </row>
    <row r="1931" spans="1:7" x14ac:dyDescent="0.25">
      <c r="A1931" s="22">
        <v>40282</v>
      </c>
      <c r="G1931" s="38">
        <v>0</v>
      </c>
    </row>
    <row r="1932" spans="1:7" x14ac:dyDescent="0.25">
      <c r="A1932" s="22">
        <v>40283</v>
      </c>
      <c r="G1932" s="38">
        <v>0.9</v>
      </c>
    </row>
    <row r="1933" spans="1:7" x14ac:dyDescent="0.25">
      <c r="A1933" s="22">
        <v>40284</v>
      </c>
      <c r="G1933" s="38">
        <v>0.8</v>
      </c>
    </row>
    <row r="1934" spans="1:7" x14ac:dyDescent="0.25">
      <c r="A1934" s="22">
        <v>40285</v>
      </c>
      <c r="G1934" s="38">
        <v>0</v>
      </c>
    </row>
    <row r="1935" spans="1:7" x14ac:dyDescent="0.25">
      <c r="A1935" s="22">
        <v>40286</v>
      </c>
      <c r="G1935" s="38">
        <v>0.6</v>
      </c>
    </row>
    <row r="1936" spans="1:7" x14ac:dyDescent="0.25">
      <c r="A1936" s="22">
        <v>40287</v>
      </c>
      <c r="G1936" s="38">
        <v>0</v>
      </c>
    </row>
    <row r="1937" spans="1:7" x14ac:dyDescent="0.25">
      <c r="A1937" s="22">
        <v>40288</v>
      </c>
      <c r="G1937" s="38">
        <v>0.6</v>
      </c>
    </row>
    <row r="1938" spans="1:7" x14ac:dyDescent="0.25">
      <c r="A1938" s="22">
        <v>40289</v>
      </c>
      <c r="G1938" s="38">
        <v>0</v>
      </c>
    </row>
    <row r="1939" spans="1:7" x14ac:dyDescent="0.25">
      <c r="A1939" s="22">
        <v>40290</v>
      </c>
      <c r="G1939" s="38">
        <v>0</v>
      </c>
    </row>
    <row r="1940" spans="1:7" x14ac:dyDescent="0.25">
      <c r="A1940" s="22">
        <v>40291</v>
      </c>
      <c r="G1940" s="38">
        <v>0</v>
      </c>
    </row>
    <row r="1941" spans="1:7" x14ac:dyDescent="0.25">
      <c r="A1941" s="22">
        <v>40292</v>
      </c>
      <c r="G1941" s="38">
        <v>2.1</v>
      </c>
    </row>
    <row r="1942" spans="1:7" x14ac:dyDescent="0.25">
      <c r="A1942" s="22">
        <v>40293</v>
      </c>
      <c r="G1942" s="38">
        <v>0</v>
      </c>
    </row>
    <row r="1943" spans="1:7" x14ac:dyDescent="0.25">
      <c r="A1943" s="22">
        <v>40294</v>
      </c>
      <c r="G1943" s="38">
        <v>0</v>
      </c>
    </row>
    <row r="1944" spans="1:7" x14ac:dyDescent="0.25">
      <c r="A1944" s="22">
        <v>40295</v>
      </c>
      <c r="G1944" s="38">
        <v>0</v>
      </c>
    </row>
    <row r="1945" spans="1:7" x14ac:dyDescent="0.25">
      <c r="A1945" s="22">
        <v>40296</v>
      </c>
      <c r="G1945" s="38">
        <v>8.8000000000000007</v>
      </c>
    </row>
    <row r="1946" spans="1:7" x14ac:dyDescent="0.25">
      <c r="A1946" s="22">
        <v>40297</v>
      </c>
      <c r="G1946" s="38">
        <v>0</v>
      </c>
    </row>
    <row r="1947" spans="1:7" x14ac:dyDescent="0.25">
      <c r="A1947" s="22">
        <v>40298</v>
      </c>
      <c r="G1947" s="38">
        <v>0</v>
      </c>
    </row>
    <row r="1948" spans="1:7" x14ac:dyDescent="0.25">
      <c r="A1948" s="22">
        <v>40299</v>
      </c>
      <c r="G1948" s="38">
        <v>0</v>
      </c>
    </row>
    <row r="1949" spans="1:7" x14ac:dyDescent="0.25">
      <c r="A1949" s="22">
        <v>40300</v>
      </c>
      <c r="G1949" s="38">
        <v>0</v>
      </c>
    </row>
    <row r="1950" spans="1:7" x14ac:dyDescent="0.25">
      <c r="A1950" s="22">
        <v>40301</v>
      </c>
      <c r="G1950" s="38">
        <v>3.5</v>
      </c>
    </row>
    <row r="1951" spans="1:7" x14ac:dyDescent="0.25">
      <c r="A1951" s="22">
        <v>40302</v>
      </c>
      <c r="G1951" s="38">
        <v>4.9000000000000004</v>
      </c>
    </row>
    <row r="1952" spans="1:7" x14ac:dyDescent="0.25">
      <c r="A1952" s="22">
        <v>40303</v>
      </c>
      <c r="G1952" s="38">
        <v>3.2</v>
      </c>
    </row>
    <row r="1953" spans="1:7" x14ac:dyDescent="0.25">
      <c r="A1953" s="22">
        <v>40304</v>
      </c>
      <c r="G1953" s="38">
        <v>0</v>
      </c>
    </row>
    <row r="1954" spans="1:7" x14ac:dyDescent="0.25">
      <c r="A1954" s="22">
        <v>40305</v>
      </c>
      <c r="G1954" s="38">
        <v>0</v>
      </c>
    </row>
    <row r="1955" spans="1:7" x14ac:dyDescent="0.25">
      <c r="A1955" s="22">
        <v>40306</v>
      </c>
      <c r="G1955" s="38">
        <v>0</v>
      </c>
    </row>
    <row r="1956" spans="1:7" x14ac:dyDescent="0.25">
      <c r="A1956" s="22">
        <v>40307</v>
      </c>
      <c r="G1956" s="38">
        <v>0</v>
      </c>
    </row>
    <row r="1957" spans="1:7" x14ac:dyDescent="0.25">
      <c r="A1957" s="22">
        <v>40308</v>
      </c>
      <c r="G1957" s="38">
        <v>1.2</v>
      </c>
    </row>
    <row r="1958" spans="1:7" x14ac:dyDescent="0.25">
      <c r="A1958" s="22">
        <v>40309</v>
      </c>
      <c r="G1958" s="38">
        <v>0.5</v>
      </c>
    </row>
    <row r="1959" spans="1:7" x14ac:dyDescent="0.25">
      <c r="A1959" s="22">
        <v>40310</v>
      </c>
      <c r="G1959" s="38">
        <v>4</v>
      </c>
    </row>
    <row r="1960" spans="1:7" x14ac:dyDescent="0.25">
      <c r="A1960" s="22">
        <v>40311</v>
      </c>
      <c r="G1960" s="38">
        <v>15.3</v>
      </c>
    </row>
    <row r="1961" spans="1:7" x14ac:dyDescent="0.25">
      <c r="A1961" s="22">
        <v>40312</v>
      </c>
      <c r="G1961" s="38">
        <v>25.1</v>
      </c>
    </row>
    <row r="1962" spans="1:7" x14ac:dyDescent="0.25">
      <c r="A1962" s="22">
        <v>40313</v>
      </c>
      <c r="G1962" s="38">
        <v>3.2</v>
      </c>
    </row>
    <row r="1963" spans="1:7" x14ac:dyDescent="0.25">
      <c r="A1963" s="22">
        <v>40314</v>
      </c>
      <c r="G1963" s="38">
        <v>9.1999999999999993</v>
      </c>
    </row>
    <row r="1964" spans="1:7" x14ac:dyDescent="0.25">
      <c r="A1964" s="22">
        <v>40315</v>
      </c>
      <c r="G1964" s="38">
        <v>35.799999999999997</v>
      </c>
    </row>
    <row r="1965" spans="1:7" x14ac:dyDescent="0.25">
      <c r="A1965" s="22">
        <v>40316</v>
      </c>
      <c r="G1965" s="38">
        <v>11.2</v>
      </c>
    </row>
    <row r="1966" spans="1:7" x14ac:dyDescent="0.25">
      <c r="A1966" s="22">
        <v>40317</v>
      </c>
      <c r="G1966" s="38">
        <v>0</v>
      </c>
    </row>
    <row r="1967" spans="1:7" x14ac:dyDescent="0.25">
      <c r="A1967" s="22">
        <v>40318</v>
      </c>
      <c r="G1967" s="38">
        <v>0</v>
      </c>
    </row>
    <row r="1968" spans="1:7" x14ac:dyDescent="0.25">
      <c r="A1968" s="22">
        <v>40319</v>
      </c>
      <c r="G1968" s="38">
        <v>0</v>
      </c>
    </row>
    <row r="1969" spans="1:7" x14ac:dyDescent="0.25">
      <c r="A1969" s="22">
        <v>40320</v>
      </c>
      <c r="G1969" s="38">
        <v>5.6</v>
      </c>
    </row>
    <row r="1970" spans="1:7" x14ac:dyDescent="0.25">
      <c r="A1970" s="22">
        <v>40321</v>
      </c>
      <c r="G1970" s="38">
        <v>0.5</v>
      </c>
    </row>
    <row r="1971" spans="1:7" x14ac:dyDescent="0.25">
      <c r="A1971" s="22">
        <v>40322</v>
      </c>
      <c r="G1971" s="38">
        <v>0</v>
      </c>
    </row>
    <row r="1972" spans="1:7" x14ac:dyDescent="0.25">
      <c r="A1972" s="22">
        <v>40323</v>
      </c>
      <c r="G1972" s="40">
        <v>175.5</v>
      </c>
    </row>
    <row r="1973" spans="1:7" x14ac:dyDescent="0.25">
      <c r="A1973" s="22">
        <v>40324</v>
      </c>
      <c r="G1973" s="38">
        <v>2.8</v>
      </c>
    </row>
    <row r="1974" spans="1:7" x14ac:dyDescent="0.25">
      <c r="A1974" s="22">
        <v>40325</v>
      </c>
      <c r="G1974" s="38">
        <v>1.9</v>
      </c>
    </row>
    <row r="1975" spans="1:7" x14ac:dyDescent="0.25">
      <c r="A1975" s="22">
        <v>40326</v>
      </c>
      <c r="G1975" s="38">
        <v>2.8</v>
      </c>
    </row>
    <row r="1976" spans="1:7" x14ac:dyDescent="0.25">
      <c r="A1976" s="22">
        <v>40327</v>
      </c>
      <c r="G1976" s="38">
        <v>5.2</v>
      </c>
    </row>
    <row r="1977" spans="1:7" x14ac:dyDescent="0.25">
      <c r="A1977" s="22">
        <v>40328</v>
      </c>
      <c r="G1977" s="38">
        <v>0.5</v>
      </c>
    </row>
    <row r="1978" spans="1:7" x14ac:dyDescent="0.25">
      <c r="A1978" s="22">
        <v>40329</v>
      </c>
      <c r="G1978" s="38">
        <v>1.4</v>
      </c>
    </row>
    <row r="1979" spans="1:7" x14ac:dyDescent="0.25">
      <c r="A1979" s="22">
        <v>40330</v>
      </c>
      <c r="G1979" s="38">
        <v>13.2</v>
      </c>
    </row>
    <row r="1980" spans="1:7" x14ac:dyDescent="0.25">
      <c r="A1980" s="22">
        <v>40331</v>
      </c>
      <c r="G1980" s="38">
        <v>1.1000000000000001</v>
      </c>
    </row>
    <row r="1981" spans="1:7" x14ac:dyDescent="0.25">
      <c r="A1981" s="22">
        <v>40332</v>
      </c>
      <c r="G1981" s="38">
        <v>0</v>
      </c>
    </row>
    <row r="1982" spans="1:7" x14ac:dyDescent="0.25">
      <c r="A1982" s="22">
        <v>40333</v>
      </c>
      <c r="G1982" s="38">
        <v>0</v>
      </c>
    </row>
    <row r="1983" spans="1:7" x14ac:dyDescent="0.25">
      <c r="A1983" s="22">
        <v>40334</v>
      </c>
      <c r="G1983" s="38">
        <v>31.3</v>
      </c>
    </row>
    <row r="1984" spans="1:7" x14ac:dyDescent="0.25">
      <c r="A1984" s="22">
        <v>40335</v>
      </c>
      <c r="G1984" s="38">
        <v>0</v>
      </c>
    </row>
    <row r="1985" spans="1:7" x14ac:dyDescent="0.25">
      <c r="A1985" s="22">
        <v>40336</v>
      </c>
      <c r="G1985" s="38">
        <v>0.7</v>
      </c>
    </row>
    <row r="1986" spans="1:7" x14ac:dyDescent="0.25">
      <c r="A1986" s="22">
        <v>40337</v>
      </c>
      <c r="G1986" s="38">
        <v>7.1</v>
      </c>
    </row>
    <row r="1987" spans="1:7" x14ac:dyDescent="0.25">
      <c r="A1987" s="22">
        <v>40338</v>
      </c>
      <c r="G1987" s="38">
        <v>15.1</v>
      </c>
    </row>
    <row r="1988" spans="1:7" x14ac:dyDescent="0.25">
      <c r="A1988" s="22">
        <v>40339</v>
      </c>
      <c r="G1988" s="38">
        <v>12</v>
      </c>
    </row>
    <row r="1989" spans="1:7" x14ac:dyDescent="0.25">
      <c r="A1989" s="22">
        <v>40340</v>
      </c>
      <c r="G1989" s="38">
        <v>5.0999999999999996</v>
      </c>
    </row>
    <row r="1990" spans="1:7" x14ac:dyDescent="0.25">
      <c r="A1990" s="22">
        <v>40341</v>
      </c>
      <c r="G1990" s="38">
        <v>0</v>
      </c>
    </row>
    <row r="1991" spans="1:7" x14ac:dyDescent="0.25">
      <c r="A1991" s="22">
        <v>40342</v>
      </c>
      <c r="G1991" s="38">
        <v>4.9000000000000004</v>
      </c>
    </row>
    <row r="1992" spans="1:7" x14ac:dyDescent="0.25">
      <c r="A1992" s="22">
        <v>40343</v>
      </c>
      <c r="G1992" s="38">
        <v>3.2</v>
      </c>
    </row>
    <row r="1993" spans="1:7" x14ac:dyDescent="0.25">
      <c r="A1993" s="22">
        <v>40344</v>
      </c>
      <c r="G1993" s="38">
        <v>3.5</v>
      </c>
    </row>
    <row r="1994" spans="1:7" x14ac:dyDescent="0.25">
      <c r="A1994" s="22">
        <v>40345</v>
      </c>
      <c r="G1994" s="38">
        <v>0</v>
      </c>
    </row>
    <row r="1995" spans="1:7" x14ac:dyDescent="0.25">
      <c r="A1995" s="22">
        <v>40346</v>
      </c>
      <c r="G1995" s="38">
        <v>2.2000000000000002</v>
      </c>
    </row>
    <row r="1996" spans="1:7" x14ac:dyDescent="0.25">
      <c r="A1996" s="22">
        <v>40347</v>
      </c>
      <c r="G1996" s="38">
        <v>4.5999999999999996</v>
      </c>
    </row>
    <row r="1997" spans="1:7" x14ac:dyDescent="0.25">
      <c r="A1997" s="22">
        <v>40348</v>
      </c>
      <c r="G1997" s="38">
        <v>76.5</v>
      </c>
    </row>
    <row r="1998" spans="1:7" x14ac:dyDescent="0.25">
      <c r="A1998" s="22">
        <v>40349</v>
      </c>
      <c r="G1998" s="38">
        <v>36.299999999999997</v>
      </c>
    </row>
    <row r="1999" spans="1:7" x14ac:dyDescent="0.25">
      <c r="A1999" s="22">
        <v>40350</v>
      </c>
      <c r="G1999" s="38">
        <v>6.2</v>
      </c>
    </row>
    <row r="2000" spans="1:7" x14ac:dyDescent="0.25">
      <c r="A2000" s="22">
        <v>40351</v>
      </c>
      <c r="G2000" s="38">
        <v>22.5</v>
      </c>
    </row>
    <row r="2001" spans="1:7" x14ac:dyDescent="0.25">
      <c r="A2001" s="22">
        <v>40352</v>
      </c>
      <c r="G2001" s="38">
        <v>14.4</v>
      </c>
    </row>
    <row r="2002" spans="1:7" x14ac:dyDescent="0.25">
      <c r="A2002" s="22">
        <v>40353</v>
      </c>
      <c r="G2002" s="38">
        <v>18.2</v>
      </c>
    </row>
    <row r="2003" spans="1:7" x14ac:dyDescent="0.25">
      <c r="A2003" s="22">
        <v>40354</v>
      </c>
      <c r="G2003" s="38">
        <v>3.7</v>
      </c>
    </row>
    <row r="2004" spans="1:7" x14ac:dyDescent="0.25">
      <c r="A2004" s="22">
        <v>40355</v>
      </c>
      <c r="G2004" s="38">
        <v>1.6</v>
      </c>
    </row>
    <row r="2005" spans="1:7" x14ac:dyDescent="0.25">
      <c r="A2005" s="22">
        <v>40356</v>
      </c>
      <c r="G2005" s="38">
        <v>0</v>
      </c>
    </row>
    <row r="2006" spans="1:7" x14ac:dyDescent="0.25">
      <c r="A2006" s="22">
        <v>40357</v>
      </c>
      <c r="G2006" s="38">
        <v>15.2</v>
      </c>
    </row>
    <row r="2007" spans="1:7" x14ac:dyDescent="0.25">
      <c r="A2007" s="22">
        <v>40358</v>
      </c>
      <c r="G2007" s="38">
        <v>2.2000000000000002</v>
      </c>
    </row>
    <row r="2008" spans="1:7" x14ac:dyDescent="0.25">
      <c r="A2008" s="22">
        <v>40359</v>
      </c>
      <c r="G2008" s="38">
        <v>6.1</v>
      </c>
    </row>
    <row r="2009" spans="1:7" x14ac:dyDescent="0.25">
      <c r="A2009" s="22">
        <v>40360</v>
      </c>
      <c r="G2009" s="38">
        <v>19.899999999999999</v>
      </c>
    </row>
    <row r="2010" spans="1:7" x14ac:dyDescent="0.25">
      <c r="A2010" s="22">
        <v>40361</v>
      </c>
      <c r="G2010" s="38">
        <v>1.2</v>
      </c>
    </row>
    <row r="2011" spans="1:7" x14ac:dyDescent="0.25">
      <c r="A2011" s="22">
        <v>40362</v>
      </c>
      <c r="G2011" s="38">
        <v>0.3</v>
      </c>
    </row>
    <row r="2012" spans="1:7" x14ac:dyDescent="0.25">
      <c r="A2012" s="22">
        <v>40363</v>
      </c>
      <c r="G2012" s="38">
        <v>1.3</v>
      </c>
    </row>
    <row r="2013" spans="1:7" x14ac:dyDescent="0.25">
      <c r="A2013" s="22">
        <v>40364</v>
      </c>
      <c r="G2013" s="38">
        <v>1.4</v>
      </c>
    </row>
    <row r="2014" spans="1:7" x14ac:dyDescent="0.25">
      <c r="A2014" s="22">
        <v>40365</v>
      </c>
      <c r="G2014" s="38">
        <v>2.9</v>
      </c>
    </row>
    <row r="2015" spans="1:7" x14ac:dyDescent="0.25">
      <c r="A2015" s="22">
        <v>40366</v>
      </c>
      <c r="G2015" s="38">
        <v>0</v>
      </c>
    </row>
    <row r="2016" spans="1:7" x14ac:dyDescent="0.25">
      <c r="A2016" s="22">
        <v>40367</v>
      </c>
      <c r="G2016" s="38">
        <v>28.6</v>
      </c>
    </row>
    <row r="2017" spans="1:7" x14ac:dyDescent="0.25">
      <c r="A2017" s="22">
        <v>40368</v>
      </c>
      <c r="G2017" s="38">
        <v>22.6</v>
      </c>
    </row>
    <row r="2018" spans="1:7" x14ac:dyDescent="0.25">
      <c r="A2018" s="22">
        <v>40369</v>
      </c>
      <c r="G2018" s="38">
        <v>4.3</v>
      </c>
    </row>
    <row r="2019" spans="1:7" x14ac:dyDescent="0.25">
      <c r="A2019" s="22">
        <v>40370</v>
      </c>
      <c r="G2019" s="38">
        <v>27.2</v>
      </c>
    </row>
    <row r="2020" spans="1:7" x14ac:dyDescent="0.25">
      <c r="A2020" s="22">
        <v>40371</v>
      </c>
      <c r="G2020" s="38">
        <v>8.1</v>
      </c>
    </row>
    <row r="2021" spans="1:7" x14ac:dyDescent="0.25">
      <c r="A2021" s="22">
        <v>40372</v>
      </c>
      <c r="G2021" s="38">
        <v>7.5</v>
      </c>
    </row>
    <row r="2022" spans="1:7" x14ac:dyDescent="0.25">
      <c r="A2022" s="22">
        <v>40373</v>
      </c>
      <c r="G2022" s="38">
        <v>21.1</v>
      </c>
    </row>
    <row r="2023" spans="1:7" x14ac:dyDescent="0.25">
      <c r="A2023" s="22">
        <v>40374</v>
      </c>
      <c r="G2023" s="38">
        <v>8.9</v>
      </c>
    </row>
    <row r="2024" spans="1:7" x14ac:dyDescent="0.25">
      <c r="A2024" s="22">
        <v>40375</v>
      </c>
      <c r="G2024" s="38">
        <v>10.1</v>
      </c>
    </row>
    <row r="2025" spans="1:7" x14ac:dyDescent="0.25">
      <c r="A2025" s="22">
        <v>40376</v>
      </c>
      <c r="G2025" s="38">
        <v>16.600000000000001</v>
      </c>
    </row>
    <row r="2026" spans="1:7" x14ac:dyDescent="0.25">
      <c r="A2026" s="22">
        <v>40377</v>
      </c>
      <c r="G2026" s="38">
        <v>4</v>
      </c>
    </row>
    <row r="2027" spans="1:7" x14ac:dyDescent="0.25">
      <c r="A2027" s="22">
        <v>40378</v>
      </c>
      <c r="G2027" s="38">
        <v>0</v>
      </c>
    </row>
    <row r="2028" spans="1:7" x14ac:dyDescent="0.25">
      <c r="A2028" s="22">
        <v>40379</v>
      </c>
      <c r="G2028" s="38">
        <v>17.8</v>
      </c>
    </row>
    <row r="2029" spans="1:7" x14ac:dyDescent="0.25">
      <c r="A2029" s="22">
        <v>40380</v>
      </c>
      <c r="G2029" s="38">
        <v>7.7</v>
      </c>
    </row>
    <row r="2030" spans="1:7" x14ac:dyDescent="0.25">
      <c r="A2030" s="22">
        <v>40381</v>
      </c>
      <c r="G2030" s="38">
        <v>0.6</v>
      </c>
    </row>
    <row r="2031" spans="1:7" x14ac:dyDescent="0.25">
      <c r="A2031" s="22">
        <v>40382</v>
      </c>
      <c r="G2031" s="38">
        <v>2.9</v>
      </c>
    </row>
    <row r="2032" spans="1:7" x14ac:dyDescent="0.25">
      <c r="A2032" s="22">
        <v>40383</v>
      </c>
      <c r="G2032" s="38">
        <v>4.9000000000000004</v>
      </c>
    </row>
    <row r="2033" spans="1:7" x14ac:dyDescent="0.25">
      <c r="A2033" s="22">
        <v>40384</v>
      </c>
      <c r="G2033" s="38">
        <v>2.1</v>
      </c>
    </row>
    <row r="2034" spans="1:7" x14ac:dyDescent="0.25">
      <c r="A2034" s="22">
        <v>40385</v>
      </c>
      <c r="G2034" s="38">
        <v>9.1</v>
      </c>
    </row>
    <row r="2035" spans="1:7" x14ac:dyDescent="0.25">
      <c r="A2035" s="22">
        <v>40386</v>
      </c>
      <c r="G2035" s="38">
        <v>2.8</v>
      </c>
    </row>
    <row r="2036" spans="1:7" x14ac:dyDescent="0.25">
      <c r="A2036" s="22">
        <v>40387</v>
      </c>
      <c r="G2036" s="38">
        <v>27.5</v>
      </c>
    </row>
    <row r="2037" spans="1:7" x14ac:dyDescent="0.25">
      <c r="A2037" s="22">
        <v>40388</v>
      </c>
      <c r="G2037" s="38">
        <v>4.5999999999999996</v>
      </c>
    </row>
    <row r="2038" spans="1:7" x14ac:dyDescent="0.25">
      <c r="A2038" s="22">
        <v>40389</v>
      </c>
      <c r="G2038" s="38">
        <v>8.6999999999999993</v>
      </c>
    </row>
    <row r="2039" spans="1:7" x14ac:dyDescent="0.25">
      <c r="A2039" s="22">
        <v>40390</v>
      </c>
      <c r="G2039" s="38">
        <v>0</v>
      </c>
    </row>
    <row r="2040" spans="1:7" x14ac:dyDescent="0.25">
      <c r="A2040" s="22">
        <v>40391</v>
      </c>
      <c r="G2040" s="38">
        <v>29.4</v>
      </c>
    </row>
    <row r="2041" spans="1:7" x14ac:dyDescent="0.25">
      <c r="A2041" s="22">
        <v>40392</v>
      </c>
      <c r="G2041" s="38">
        <v>32.200000000000003</v>
      </c>
    </row>
    <row r="2042" spans="1:7" x14ac:dyDescent="0.25">
      <c r="A2042" s="22">
        <v>40393</v>
      </c>
      <c r="G2042" s="38">
        <v>0</v>
      </c>
    </row>
    <row r="2043" spans="1:7" x14ac:dyDescent="0.25">
      <c r="A2043" s="22">
        <v>40394</v>
      </c>
      <c r="G2043" s="38">
        <v>0</v>
      </c>
    </row>
    <row r="2044" spans="1:7" x14ac:dyDescent="0.25">
      <c r="A2044" s="22">
        <v>40395</v>
      </c>
      <c r="G2044" s="38">
        <v>0</v>
      </c>
    </row>
    <row r="2045" spans="1:7" x14ac:dyDescent="0.25">
      <c r="A2045" s="22">
        <v>40396</v>
      </c>
      <c r="G2045" s="38">
        <v>1.6</v>
      </c>
    </row>
    <row r="2046" spans="1:7" x14ac:dyDescent="0.25">
      <c r="A2046" s="22">
        <v>40397</v>
      </c>
      <c r="G2046" s="38">
        <v>40.200000000000003</v>
      </c>
    </row>
    <row r="2047" spans="1:7" x14ac:dyDescent="0.25">
      <c r="A2047" s="22">
        <v>40398</v>
      </c>
      <c r="G2047" s="38">
        <v>6</v>
      </c>
    </row>
    <row r="2048" spans="1:7" x14ac:dyDescent="0.25">
      <c r="A2048" s="22">
        <v>40399</v>
      </c>
      <c r="G2048" s="38">
        <v>0.6</v>
      </c>
    </row>
    <row r="2049" spans="1:7" x14ac:dyDescent="0.25">
      <c r="A2049" s="22">
        <v>40400</v>
      </c>
      <c r="G2049" s="38">
        <v>0</v>
      </c>
    </row>
    <row r="2050" spans="1:7" x14ac:dyDescent="0.25">
      <c r="A2050" s="22">
        <v>40401</v>
      </c>
      <c r="G2050" s="38">
        <v>0</v>
      </c>
    </row>
    <row r="2051" spans="1:7" x14ac:dyDescent="0.25">
      <c r="A2051" s="22">
        <v>40402</v>
      </c>
      <c r="G2051" s="38">
        <v>0</v>
      </c>
    </row>
    <row r="2052" spans="1:7" x14ac:dyDescent="0.25">
      <c r="A2052" s="22">
        <v>40403</v>
      </c>
      <c r="G2052" s="38">
        <v>12.5</v>
      </c>
    </row>
    <row r="2053" spans="1:7" x14ac:dyDescent="0.25">
      <c r="A2053" s="22">
        <v>40404</v>
      </c>
      <c r="G2053" s="38">
        <v>9.6999999999999993</v>
      </c>
    </row>
    <row r="2054" spans="1:7" x14ac:dyDescent="0.25">
      <c r="A2054" s="22">
        <v>40405</v>
      </c>
      <c r="G2054" s="38">
        <v>22.1</v>
      </c>
    </row>
    <row r="2055" spans="1:7" x14ac:dyDescent="0.25">
      <c r="A2055" s="22">
        <v>40406</v>
      </c>
      <c r="G2055" s="38">
        <v>11.2</v>
      </c>
    </row>
    <row r="2056" spans="1:7" x14ac:dyDescent="0.25">
      <c r="A2056" s="22">
        <v>40407</v>
      </c>
      <c r="G2056" s="38">
        <v>0.1</v>
      </c>
    </row>
    <row r="2057" spans="1:7" x14ac:dyDescent="0.25">
      <c r="A2057" s="22">
        <v>40408</v>
      </c>
      <c r="G2057" s="38">
        <v>12.6</v>
      </c>
    </row>
    <row r="2058" spans="1:7" x14ac:dyDescent="0.25">
      <c r="A2058" s="22">
        <v>40409</v>
      </c>
      <c r="G2058" s="38">
        <v>5.4</v>
      </c>
    </row>
    <row r="2059" spans="1:7" x14ac:dyDescent="0.25">
      <c r="A2059" s="22">
        <v>40410</v>
      </c>
      <c r="G2059" s="38">
        <v>6.2</v>
      </c>
    </row>
    <row r="2060" spans="1:7" x14ac:dyDescent="0.25">
      <c r="A2060" s="22">
        <v>40411</v>
      </c>
      <c r="G2060" s="38">
        <v>12.1</v>
      </c>
    </row>
    <row r="2061" spans="1:7" x14ac:dyDescent="0.25">
      <c r="A2061" s="22">
        <v>40412</v>
      </c>
      <c r="G2061" s="38">
        <v>19.8</v>
      </c>
    </row>
    <row r="2062" spans="1:7" x14ac:dyDescent="0.25">
      <c r="A2062" s="22">
        <v>40413</v>
      </c>
      <c r="G2062" s="38">
        <v>17.100000000000001</v>
      </c>
    </row>
    <row r="2063" spans="1:7" x14ac:dyDescent="0.25">
      <c r="A2063" s="22">
        <v>40414</v>
      </c>
      <c r="G2063" s="38">
        <v>9.3000000000000007</v>
      </c>
    </row>
    <row r="2064" spans="1:7" x14ac:dyDescent="0.25">
      <c r="A2064" s="22">
        <v>40415</v>
      </c>
      <c r="G2064" s="38">
        <v>7.2</v>
      </c>
    </row>
    <row r="2065" spans="1:7" x14ac:dyDescent="0.25">
      <c r="A2065" s="22">
        <v>40416</v>
      </c>
      <c r="G2065" s="38">
        <v>2.4</v>
      </c>
    </row>
    <row r="2066" spans="1:7" x14ac:dyDescent="0.25">
      <c r="A2066" s="22">
        <v>40417</v>
      </c>
      <c r="G2066" s="38">
        <v>0</v>
      </c>
    </row>
    <row r="2067" spans="1:7" x14ac:dyDescent="0.25">
      <c r="A2067" s="22">
        <v>40418</v>
      </c>
      <c r="G2067" s="38">
        <v>0</v>
      </c>
    </row>
    <row r="2068" spans="1:7" x14ac:dyDescent="0.25">
      <c r="A2068" s="22">
        <v>40419</v>
      </c>
      <c r="G2068" s="38">
        <v>0</v>
      </c>
    </row>
    <row r="2069" spans="1:7" x14ac:dyDescent="0.25">
      <c r="A2069" s="22">
        <v>40420</v>
      </c>
      <c r="G2069" s="38">
        <v>0</v>
      </c>
    </row>
    <row r="2070" spans="1:7" x14ac:dyDescent="0.25">
      <c r="A2070" s="22">
        <v>40421</v>
      </c>
      <c r="G2070" s="28"/>
    </row>
    <row r="2071" spans="1:7" x14ac:dyDescent="0.25">
      <c r="A2071" s="22">
        <v>40422</v>
      </c>
      <c r="G2071" s="28"/>
    </row>
    <row r="2072" spans="1:7" x14ac:dyDescent="0.25">
      <c r="A2072" s="22">
        <v>40423</v>
      </c>
      <c r="G2072" s="28"/>
    </row>
    <row r="2073" spans="1:7" x14ac:dyDescent="0.25">
      <c r="A2073" s="22">
        <v>40424</v>
      </c>
      <c r="G2073" s="28"/>
    </row>
    <row r="2074" spans="1:7" x14ac:dyDescent="0.25">
      <c r="A2074" s="22">
        <v>40425</v>
      </c>
      <c r="G2074" s="28"/>
    </row>
    <row r="2075" spans="1:7" x14ac:dyDescent="0.25">
      <c r="A2075" s="22">
        <v>40426</v>
      </c>
      <c r="G2075" s="29"/>
    </row>
    <row r="2076" spans="1:7" x14ac:dyDescent="0.25">
      <c r="A2076" s="22">
        <v>40427</v>
      </c>
      <c r="G2076" s="28"/>
    </row>
    <row r="2077" spans="1:7" x14ac:dyDescent="0.25">
      <c r="A2077" s="22">
        <v>40428</v>
      </c>
      <c r="G2077" s="28"/>
    </row>
    <row r="2078" spans="1:7" x14ac:dyDescent="0.25">
      <c r="A2078" s="22">
        <v>40429</v>
      </c>
      <c r="G2078" s="29"/>
    </row>
    <row r="2079" spans="1:7" x14ac:dyDescent="0.25">
      <c r="A2079" s="22">
        <v>40430</v>
      </c>
      <c r="G2079" s="28"/>
    </row>
    <row r="2080" spans="1:7" x14ac:dyDescent="0.25">
      <c r="A2080" s="22">
        <v>40431</v>
      </c>
      <c r="G2080" s="28"/>
    </row>
    <row r="2081" spans="1:7" x14ac:dyDescent="0.25">
      <c r="A2081" s="22">
        <v>40432</v>
      </c>
      <c r="G2081" s="28"/>
    </row>
    <row r="2082" spans="1:7" x14ac:dyDescent="0.25">
      <c r="A2082" s="22">
        <v>40433</v>
      </c>
      <c r="G2082" s="28"/>
    </row>
    <row r="2083" spans="1:7" x14ac:dyDescent="0.25">
      <c r="A2083" s="22">
        <v>40434</v>
      </c>
      <c r="G2083" s="29"/>
    </row>
    <row r="2084" spans="1:7" x14ac:dyDescent="0.25">
      <c r="A2084" s="22">
        <v>40435</v>
      </c>
      <c r="G2084" s="29"/>
    </row>
    <row r="2085" spans="1:7" x14ac:dyDescent="0.25">
      <c r="A2085" s="22">
        <v>40436</v>
      </c>
      <c r="G2085" s="29"/>
    </row>
    <row r="2086" spans="1:7" x14ac:dyDescent="0.25">
      <c r="A2086" s="22">
        <v>40437</v>
      </c>
      <c r="G2086" s="29"/>
    </row>
    <row r="2087" spans="1:7" x14ac:dyDescent="0.25">
      <c r="A2087" s="22">
        <v>40438</v>
      </c>
      <c r="G2087" s="28"/>
    </row>
    <row r="2088" spans="1:7" x14ac:dyDescent="0.25">
      <c r="A2088" s="22">
        <v>40439</v>
      </c>
      <c r="G2088" s="28"/>
    </row>
    <row r="2089" spans="1:7" x14ac:dyDescent="0.25">
      <c r="A2089" s="22">
        <v>40440</v>
      </c>
      <c r="G2089" s="29"/>
    </row>
    <row r="2090" spans="1:7" x14ac:dyDescent="0.25">
      <c r="A2090" s="22">
        <v>40441</v>
      </c>
      <c r="G2090" s="29"/>
    </row>
    <row r="2091" spans="1:7" x14ac:dyDescent="0.25">
      <c r="A2091" s="22">
        <v>40442</v>
      </c>
      <c r="G2091" s="28"/>
    </row>
    <row r="2092" spans="1:7" x14ac:dyDescent="0.25">
      <c r="A2092" s="22">
        <v>40443</v>
      </c>
      <c r="G2092" s="28"/>
    </row>
    <row r="2093" spans="1:7" x14ac:dyDescent="0.25">
      <c r="A2093" s="22">
        <v>40444</v>
      </c>
      <c r="G2093" s="28"/>
    </row>
    <row r="2094" spans="1:7" x14ac:dyDescent="0.25">
      <c r="A2094" s="22">
        <v>40445</v>
      </c>
      <c r="G2094" s="28"/>
    </row>
    <row r="2095" spans="1:7" x14ac:dyDescent="0.25">
      <c r="A2095" s="22">
        <v>40446</v>
      </c>
      <c r="G2095" s="28"/>
    </row>
    <row r="2096" spans="1:7" x14ac:dyDescent="0.25">
      <c r="A2096" s="22">
        <v>40447</v>
      </c>
      <c r="G2096" s="28"/>
    </row>
    <row r="2097" spans="1:7" x14ac:dyDescent="0.25">
      <c r="A2097" s="22">
        <v>40448</v>
      </c>
      <c r="G2097" s="28"/>
    </row>
    <row r="2098" spans="1:7" x14ac:dyDescent="0.25">
      <c r="A2098" s="22">
        <v>40449</v>
      </c>
      <c r="G2098" s="28"/>
    </row>
    <row r="2099" spans="1:7" x14ac:dyDescent="0.25">
      <c r="A2099" s="22">
        <v>40450</v>
      </c>
      <c r="G2099" s="28"/>
    </row>
    <row r="2100" spans="1:7" x14ac:dyDescent="0.25">
      <c r="A2100" s="22">
        <v>40451</v>
      </c>
      <c r="G2100" s="28"/>
    </row>
    <row r="2101" spans="1:7" x14ac:dyDescent="0.25">
      <c r="A2101" s="22">
        <v>40452</v>
      </c>
      <c r="G2101" s="38">
        <v>30.8</v>
      </c>
    </row>
    <row r="2102" spans="1:7" x14ac:dyDescent="0.25">
      <c r="A2102" s="22">
        <v>40453</v>
      </c>
      <c r="G2102" s="38">
        <v>29.4</v>
      </c>
    </row>
    <row r="2103" spans="1:7" x14ac:dyDescent="0.25">
      <c r="A2103" s="22">
        <v>40454</v>
      </c>
      <c r="G2103" s="38">
        <v>20.100000000000001</v>
      </c>
    </row>
    <row r="2104" spans="1:7" x14ac:dyDescent="0.25">
      <c r="A2104" s="22">
        <v>40455</v>
      </c>
      <c r="G2104" s="38">
        <v>0</v>
      </c>
    </row>
    <row r="2105" spans="1:7" x14ac:dyDescent="0.25">
      <c r="A2105" s="22">
        <v>40456</v>
      </c>
      <c r="G2105" s="38">
        <v>2.5</v>
      </c>
    </row>
    <row r="2106" spans="1:7" x14ac:dyDescent="0.25">
      <c r="A2106" s="22">
        <v>40457</v>
      </c>
      <c r="G2106" s="38">
        <v>0</v>
      </c>
    </row>
    <row r="2107" spans="1:7" x14ac:dyDescent="0.25">
      <c r="A2107" s="22">
        <v>40458</v>
      </c>
      <c r="G2107" s="38">
        <v>0</v>
      </c>
    </row>
    <row r="2108" spans="1:7" x14ac:dyDescent="0.25">
      <c r="A2108" s="22">
        <v>40459</v>
      </c>
      <c r="G2108" s="38">
        <v>0.7</v>
      </c>
    </row>
    <row r="2109" spans="1:7" x14ac:dyDescent="0.25">
      <c r="A2109" s="22">
        <v>40460</v>
      </c>
      <c r="G2109" s="38">
        <v>0</v>
      </c>
    </row>
    <row r="2110" spans="1:7" x14ac:dyDescent="0.25">
      <c r="A2110" s="22">
        <v>40461</v>
      </c>
      <c r="G2110" s="38">
        <v>0</v>
      </c>
    </row>
    <row r="2111" spans="1:7" x14ac:dyDescent="0.25">
      <c r="A2111" s="22">
        <v>40462</v>
      </c>
      <c r="G2111" s="38">
        <v>2.4</v>
      </c>
    </row>
    <row r="2112" spans="1:7" x14ac:dyDescent="0.25">
      <c r="A2112" s="22">
        <v>40463</v>
      </c>
      <c r="G2112" s="38">
        <v>4.2</v>
      </c>
    </row>
    <row r="2113" spans="1:7" x14ac:dyDescent="0.25">
      <c r="A2113" s="22">
        <v>40464</v>
      </c>
      <c r="G2113" s="38">
        <v>9.9</v>
      </c>
    </row>
    <row r="2114" spans="1:7" x14ac:dyDescent="0.25">
      <c r="A2114" s="22">
        <v>40465</v>
      </c>
      <c r="G2114" s="38">
        <v>22.1</v>
      </c>
    </row>
    <row r="2115" spans="1:7" x14ac:dyDescent="0.25">
      <c r="A2115" s="22">
        <v>40466</v>
      </c>
      <c r="G2115" s="38">
        <v>20.6</v>
      </c>
    </row>
    <row r="2116" spans="1:7" x14ac:dyDescent="0.25">
      <c r="A2116" s="22">
        <v>40467</v>
      </c>
      <c r="G2116" s="38">
        <v>2</v>
      </c>
    </row>
    <row r="2117" spans="1:7" x14ac:dyDescent="0.25">
      <c r="A2117" s="22">
        <v>40468</v>
      </c>
      <c r="G2117" s="38">
        <v>0.7</v>
      </c>
    </row>
    <row r="2118" spans="1:7" x14ac:dyDescent="0.25">
      <c r="A2118" s="22">
        <v>40469</v>
      </c>
      <c r="G2118" s="38">
        <v>21.5</v>
      </c>
    </row>
    <row r="2119" spans="1:7" x14ac:dyDescent="0.25">
      <c r="A2119" s="22">
        <v>40470</v>
      </c>
      <c r="G2119" s="38">
        <v>2.8</v>
      </c>
    </row>
    <row r="2120" spans="1:7" x14ac:dyDescent="0.25">
      <c r="A2120" s="22">
        <v>40471</v>
      </c>
      <c r="G2120" s="38">
        <v>3.2</v>
      </c>
    </row>
    <row r="2121" spans="1:7" x14ac:dyDescent="0.25">
      <c r="A2121" s="22">
        <v>40472</v>
      </c>
      <c r="G2121" s="38">
        <v>0</v>
      </c>
    </row>
    <row r="2122" spans="1:7" x14ac:dyDescent="0.25">
      <c r="A2122" s="22">
        <v>40473</v>
      </c>
      <c r="G2122" s="38">
        <v>4.2</v>
      </c>
    </row>
    <row r="2123" spans="1:7" x14ac:dyDescent="0.25">
      <c r="A2123" s="22">
        <v>40474</v>
      </c>
      <c r="G2123" s="38">
        <v>3.1</v>
      </c>
    </row>
    <row r="2124" spans="1:7" x14ac:dyDescent="0.25">
      <c r="A2124" s="22">
        <v>40475</v>
      </c>
      <c r="G2124" s="38">
        <v>1</v>
      </c>
    </row>
    <row r="2125" spans="1:7" x14ac:dyDescent="0.25">
      <c r="A2125" s="22">
        <v>40476</v>
      </c>
      <c r="G2125" s="38">
        <v>2.1</v>
      </c>
    </row>
    <row r="2126" spans="1:7" x14ac:dyDescent="0.25">
      <c r="A2126" s="22">
        <v>40477</v>
      </c>
      <c r="G2126" s="38">
        <v>0</v>
      </c>
    </row>
    <row r="2127" spans="1:7" x14ac:dyDescent="0.25">
      <c r="A2127" s="22">
        <v>40478</v>
      </c>
      <c r="G2127" s="38">
        <v>20.5</v>
      </c>
    </row>
    <row r="2128" spans="1:7" x14ac:dyDescent="0.25">
      <c r="A2128" s="22">
        <v>40479</v>
      </c>
      <c r="G2128" s="38">
        <v>3.9</v>
      </c>
    </row>
    <row r="2129" spans="1:7" x14ac:dyDescent="0.25">
      <c r="A2129" s="22">
        <v>40480</v>
      </c>
      <c r="G2129" s="38">
        <v>10.4</v>
      </c>
    </row>
    <row r="2130" spans="1:7" x14ac:dyDescent="0.25">
      <c r="A2130" s="22">
        <v>40481</v>
      </c>
      <c r="G2130" s="38">
        <v>5.2</v>
      </c>
    </row>
    <row r="2131" spans="1:7" x14ac:dyDescent="0.25">
      <c r="A2131" s="22">
        <v>40482</v>
      </c>
      <c r="G2131" s="38">
        <v>17.5</v>
      </c>
    </row>
    <row r="2132" spans="1:7" x14ac:dyDescent="0.25">
      <c r="A2132" s="22">
        <v>40483</v>
      </c>
      <c r="G2132" s="38">
        <v>0</v>
      </c>
    </row>
    <row r="2133" spans="1:7" x14ac:dyDescent="0.25">
      <c r="A2133" s="22">
        <v>40484</v>
      </c>
      <c r="G2133" s="38">
        <v>69.8</v>
      </c>
    </row>
    <row r="2134" spans="1:7" x14ac:dyDescent="0.25">
      <c r="A2134" s="22">
        <v>40485</v>
      </c>
      <c r="G2134" s="38">
        <v>12.1</v>
      </c>
    </row>
    <row r="2135" spans="1:7" x14ac:dyDescent="0.25">
      <c r="A2135" s="22">
        <v>40486</v>
      </c>
      <c r="G2135" s="38">
        <v>9.5</v>
      </c>
    </row>
    <row r="2136" spans="1:7" x14ac:dyDescent="0.25">
      <c r="A2136" s="22">
        <v>40487</v>
      </c>
      <c r="G2136" s="38">
        <v>12.4</v>
      </c>
    </row>
    <row r="2137" spans="1:7" x14ac:dyDescent="0.25">
      <c r="A2137" s="22">
        <v>40488</v>
      </c>
      <c r="G2137" s="38">
        <v>0</v>
      </c>
    </row>
    <row r="2138" spans="1:7" x14ac:dyDescent="0.25">
      <c r="A2138" s="22">
        <v>40489</v>
      </c>
      <c r="G2138" s="38">
        <v>0</v>
      </c>
    </row>
    <row r="2139" spans="1:7" x14ac:dyDescent="0.25">
      <c r="A2139" s="22">
        <v>40490</v>
      </c>
      <c r="G2139" s="38">
        <v>0</v>
      </c>
    </row>
    <row r="2140" spans="1:7" x14ac:dyDescent="0.25">
      <c r="A2140" s="22">
        <v>40491</v>
      </c>
      <c r="G2140" s="38">
        <v>0</v>
      </c>
    </row>
    <row r="2141" spans="1:7" x14ac:dyDescent="0.25">
      <c r="A2141" s="22">
        <v>40492</v>
      </c>
      <c r="G2141" s="38">
        <v>4.5</v>
      </c>
    </row>
    <row r="2142" spans="1:7" x14ac:dyDescent="0.25">
      <c r="A2142" s="22">
        <v>40493</v>
      </c>
      <c r="G2142" s="38">
        <v>3.4</v>
      </c>
    </row>
    <row r="2143" spans="1:7" x14ac:dyDescent="0.25">
      <c r="A2143" s="22">
        <v>40494</v>
      </c>
      <c r="G2143" s="38">
        <v>5.0999999999999996</v>
      </c>
    </row>
    <row r="2144" spans="1:7" x14ac:dyDescent="0.25">
      <c r="A2144" s="22">
        <v>40495</v>
      </c>
      <c r="G2144" s="38">
        <v>7.6</v>
      </c>
    </row>
    <row r="2145" spans="1:7" x14ac:dyDescent="0.25">
      <c r="A2145" s="22">
        <v>40496</v>
      </c>
      <c r="G2145" s="38">
        <v>0.9</v>
      </c>
    </row>
    <row r="2146" spans="1:7" x14ac:dyDescent="0.25">
      <c r="A2146" s="22">
        <v>40497</v>
      </c>
      <c r="G2146" s="38">
        <v>6.5</v>
      </c>
    </row>
    <row r="2147" spans="1:7" x14ac:dyDescent="0.25">
      <c r="A2147" s="22">
        <v>40498</v>
      </c>
      <c r="G2147" s="38">
        <v>40.5</v>
      </c>
    </row>
    <row r="2148" spans="1:7" x14ac:dyDescent="0.25">
      <c r="A2148" s="22">
        <v>40499</v>
      </c>
      <c r="G2148" s="38">
        <v>11.1</v>
      </c>
    </row>
    <row r="2149" spans="1:7" x14ac:dyDescent="0.25">
      <c r="A2149" s="22">
        <v>40500</v>
      </c>
      <c r="G2149" s="38">
        <v>0</v>
      </c>
    </row>
    <row r="2150" spans="1:7" x14ac:dyDescent="0.25">
      <c r="A2150" s="22">
        <v>40501</v>
      </c>
      <c r="G2150" s="38">
        <v>11.2</v>
      </c>
    </row>
    <row r="2151" spans="1:7" x14ac:dyDescent="0.25">
      <c r="A2151" s="22">
        <v>40502</v>
      </c>
      <c r="G2151" s="38">
        <v>77.2</v>
      </c>
    </row>
    <row r="2152" spans="1:7" x14ac:dyDescent="0.25">
      <c r="A2152" s="22">
        <v>40503</v>
      </c>
      <c r="G2152" s="38">
        <v>4.5999999999999996</v>
      </c>
    </row>
    <row r="2153" spans="1:7" x14ac:dyDescent="0.25">
      <c r="A2153" s="22">
        <v>40504</v>
      </c>
      <c r="G2153" s="38">
        <v>5</v>
      </c>
    </row>
    <row r="2154" spans="1:7" x14ac:dyDescent="0.25">
      <c r="A2154" s="22">
        <v>40505</v>
      </c>
      <c r="G2154" s="38">
        <v>3.1</v>
      </c>
    </row>
    <row r="2155" spans="1:7" x14ac:dyDescent="0.25">
      <c r="A2155" s="22">
        <v>40506</v>
      </c>
      <c r="G2155" s="38">
        <v>10.199999999999999</v>
      </c>
    </row>
    <row r="2156" spans="1:7" x14ac:dyDescent="0.25">
      <c r="A2156" s="22">
        <v>40507</v>
      </c>
      <c r="G2156" s="38">
        <v>15.7</v>
      </c>
    </row>
    <row r="2157" spans="1:7" x14ac:dyDescent="0.25">
      <c r="A2157" s="22">
        <v>40508</v>
      </c>
      <c r="G2157" s="38">
        <v>107.6</v>
      </c>
    </row>
    <row r="2158" spans="1:7" x14ac:dyDescent="0.25">
      <c r="A2158" s="22">
        <v>40509</v>
      </c>
      <c r="G2158" s="38">
        <v>11.1</v>
      </c>
    </row>
    <row r="2159" spans="1:7" x14ac:dyDescent="0.25">
      <c r="A2159" s="22">
        <v>40510</v>
      </c>
      <c r="G2159" s="38">
        <v>30.5</v>
      </c>
    </row>
    <row r="2160" spans="1:7" x14ac:dyDescent="0.25">
      <c r="A2160" s="22">
        <v>40511</v>
      </c>
      <c r="G2160" s="38">
        <v>30.2</v>
      </c>
    </row>
    <row r="2161" spans="1:7" x14ac:dyDescent="0.25">
      <c r="A2161" s="22">
        <v>40512</v>
      </c>
      <c r="G2161" s="38">
        <v>0.6</v>
      </c>
    </row>
    <row r="2162" spans="1:7" x14ac:dyDescent="0.25">
      <c r="A2162" s="22">
        <v>40513</v>
      </c>
      <c r="G2162" s="38">
        <v>12.1</v>
      </c>
    </row>
    <row r="2163" spans="1:7" x14ac:dyDescent="0.25">
      <c r="A2163" s="22">
        <v>40514</v>
      </c>
      <c r="G2163" s="38">
        <v>10.4</v>
      </c>
    </row>
    <row r="2164" spans="1:7" x14ac:dyDescent="0.25">
      <c r="A2164" s="22">
        <v>40515</v>
      </c>
      <c r="G2164" s="38">
        <v>0.3</v>
      </c>
    </row>
    <row r="2165" spans="1:7" x14ac:dyDescent="0.25">
      <c r="A2165" s="22">
        <v>40516</v>
      </c>
      <c r="G2165" s="38">
        <v>0</v>
      </c>
    </row>
    <row r="2166" spans="1:7" x14ac:dyDescent="0.25">
      <c r="A2166" s="22">
        <v>40517</v>
      </c>
      <c r="G2166" s="38">
        <v>0</v>
      </c>
    </row>
    <row r="2167" spans="1:7" x14ac:dyDescent="0.25">
      <c r="A2167" s="22">
        <v>40518</v>
      </c>
      <c r="G2167" s="38">
        <v>13.6</v>
      </c>
    </row>
    <row r="2168" spans="1:7" x14ac:dyDescent="0.25">
      <c r="A2168" s="22">
        <v>40519</v>
      </c>
      <c r="G2168" s="38">
        <v>16.399999999999999</v>
      </c>
    </row>
    <row r="2169" spans="1:7" x14ac:dyDescent="0.25">
      <c r="A2169" s="22">
        <v>40520</v>
      </c>
      <c r="G2169" s="38">
        <v>29.3</v>
      </c>
    </row>
    <row r="2170" spans="1:7" x14ac:dyDescent="0.25">
      <c r="A2170" s="22">
        <v>40521</v>
      </c>
      <c r="G2170" s="38">
        <v>8.1</v>
      </c>
    </row>
    <row r="2171" spans="1:7" x14ac:dyDescent="0.25">
      <c r="A2171" s="22">
        <v>40522</v>
      </c>
      <c r="G2171" s="38">
        <v>12.3</v>
      </c>
    </row>
    <row r="2172" spans="1:7" x14ac:dyDescent="0.25">
      <c r="A2172" s="22">
        <v>40523</v>
      </c>
      <c r="G2172" s="38">
        <v>1.1000000000000001</v>
      </c>
    </row>
    <row r="2173" spans="1:7" x14ac:dyDescent="0.25">
      <c r="A2173" s="22">
        <v>40524</v>
      </c>
      <c r="G2173" s="38">
        <v>0</v>
      </c>
    </row>
    <row r="2174" spans="1:7" x14ac:dyDescent="0.25">
      <c r="A2174" s="22">
        <v>40525</v>
      </c>
      <c r="G2174" s="38">
        <v>0</v>
      </c>
    </row>
    <row r="2175" spans="1:7" x14ac:dyDescent="0.25">
      <c r="A2175" s="22">
        <v>40526</v>
      </c>
      <c r="G2175" s="38">
        <v>0</v>
      </c>
    </row>
    <row r="2176" spans="1:7" x14ac:dyDescent="0.25">
      <c r="A2176" s="22">
        <v>40527</v>
      </c>
      <c r="G2176" s="38">
        <v>0</v>
      </c>
    </row>
    <row r="2177" spans="1:7" x14ac:dyDescent="0.25">
      <c r="A2177" s="22">
        <v>40528</v>
      </c>
      <c r="G2177" s="38">
        <v>0</v>
      </c>
    </row>
    <row r="2178" spans="1:7" x14ac:dyDescent="0.25">
      <c r="A2178" s="22">
        <v>40529</v>
      </c>
      <c r="G2178" s="38">
        <v>0</v>
      </c>
    </row>
    <row r="2179" spans="1:7" x14ac:dyDescent="0.25">
      <c r="A2179" s="22">
        <v>40530</v>
      </c>
      <c r="G2179" s="38">
        <v>0</v>
      </c>
    </row>
    <row r="2180" spans="1:7" x14ac:dyDescent="0.25">
      <c r="A2180" s="22">
        <v>40531</v>
      </c>
      <c r="G2180" s="38">
        <v>7.9</v>
      </c>
    </row>
    <row r="2181" spans="1:7" x14ac:dyDescent="0.25">
      <c r="A2181" s="22">
        <v>40532</v>
      </c>
      <c r="G2181" s="38">
        <v>44.3</v>
      </c>
    </row>
    <row r="2182" spans="1:7" x14ac:dyDescent="0.25">
      <c r="A2182" s="22">
        <v>40533</v>
      </c>
      <c r="G2182" s="38">
        <v>41.2</v>
      </c>
    </row>
    <row r="2183" spans="1:7" x14ac:dyDescent="0.25">
      <c r="A2183" s="22">
        <v>40534</v>
      </c>
      <c r="G2183" s="38">
        <v>44.5</v>
      </c>
    </row>
    <row r="2184" spans="1:7" x14ac:dyDescent="0.25">
      <c r="A2184" s="22">
        <v>40535</v>
      </c>
      <c r="G2184" s="38">
        <v>9.4</v>
      </c>
    </row>
    <row r="2185" spans="1:7" x14ac:dyDescent="0.25">
      <c r="A2185" s="22">
        <v>40536</v>
      </c>
      <c r="G2185" s="38">
        <v>0.9</v>
      </c>
    </row>
    <row r="2186" spans="1:7" x14ac:dyDescent="0.25">
      <c r="A2186" s="22">
        <v>40537</v>
      </c>
      <c r="G2186" s="38">
        <v>72.2</v>
      </c>
    </row>
    <row r="2187" spans="1:7" x14ac:dyDescent="0.25">
      <c r="A2187" s="22">
        <v>40538</v>
      </c>
      <c r="G2187" s="38">
        <v>0</v>
      </c>
    </row>
    <row r="2188" spans="1:7" x14ac:dyDescent="0.25">
      <c r="A2188" s="22">
        <v>40539</v>
      </c>
      <c r="G2188" s="38">
        <v>40.6</v>
      </c>
    </row>
    <row r="2189" spans="1:7" x14ac:dyDescent="0.25">
      <c r="A2189" s="22">
        <v>40540</v>
      </c>
      <c r="G2189" s="38">
        <v>5</v>
      </c>
    </row>
    <row r="2190" spans="1:7" x14ac:dyDescent="0.25">
      <c r="A2190" s="22">
        <v>40541</v>
      </c>
      <c r="G2190" s="38">
        <v>3.5</v>
      </c>
    </row>
    <row r="2191" spans="1:7" x14ac:dyDescent="0.25">
      <c r="A2191" s="22">
        <v>40542</v>
      </c>
      <c r="G2191" s="38">
        <v>29.5</v>
      </c>
    </row>
    <row r="2192" spans="1:7" x14ac:dyDescent="0.25">
      <c r="A2192" s="22">
        <v>40543</v>
      </c>
      <c r="G2192" s="38">
        <v>0</v>
      </c>
    </row>
    <row r="2193" spans="1:17" x14ac:dyDescent="0.25">
      <c r="A2193" s="22">
        <v>40544</v>
      </c>
      <c r="Q2193" s="24"/>
    </row>
    <row r="2194" spans="1:17" x14ac:dyDescent="0.25">
      <c r="A2194" s="22">
        <v>40545</v>
      </c>
      <c r="Q2194" s="24"/>
    </row>
    <row r="2195" spans="1:17" x14ac:dyDescent="0.25">
      <c r="A2195" s="22">
        <v>40546</v>
      </c>
      <c r="Q2195" s="24"/>
    </row>
    <row r="2196" spans="1:17" x14ac:dyDescent="0.25">
      <c r="A2196" s="22">
        <v>40547</v>
      </c>
      <c r="Q2196" s="24"/>
    </row>
    <row r="2197" spans="1:17" x14ac:dyDescent="0.25">
      <c r="A2197" s="22">
        <v>40548</v>
      </c>
      <c r="Q2197" s="24"/>
    </row>
    <row r="2198" spans="1:17" x14ac:dyDescent="0.25">
      <c r="A2198" s="22">
        <v>40549</v>
      </c>
      <c r="Q2198" s="24"/>
    </row>
    <row r="2199" spans="1:17" x14ac:dyDescent="0.25">
      <c r="A2199" s="22">
        <v>40550</v>
      </c>
      <c r="Q2199" s="24"/>
    </row>
    <row r="2200" spans="1:17" x14ac:dyDescent="0.25">
      <c r="A2200" s="22">
        <v>40551</v>
      </c>
      <c r="Q2200" s="24"/>
    </row>
    <row r="2201" spans="1:17" x14ac:dyDescent="0.25">
      <c r="A2201" s="22">
        <v>40552</v>
      </c>
      <c r="Q2201" s="24"/>
    </row>
    <row r="2202" spans="1:17" x14ac:dyDescent="0.25">
      <c r="A2202" s="22">
        <v>40553</v>
      </c>
      <c r="Q2202" s="24"/>
    </row>
    <row r="2203" spans="1:17" x14ac:dyDescent="0.25">
      <c r="A2203" s="22">
        <v>40554</v>
      </c>
      <c r="Q2203" s="24"/>
    </row>
    <row r="2204" spans="1:17" x14ac:dyDescent="0.25">
      <c r="A2204" s="22">
        <v>40555</v>
      </c>
      <c r="Q2204" s="24"/>
    </row>
    <row r="2205" spans="1:17" x14ac:dyDescent="0.25">
      <c r="A2205" s="22">
        <v>40556</v>
      </c>
      <c r="Q2205" s="24"/>
    </row>
    <row r="2206" spans="1:17" x14ac:dyDescent="0.25">
      <c r="A2206" s="22">
        <v>40557</v>
      </c>
      <c r="Q2206" s="24"/>
    </row>
    <row r="2207" spans="1:17" x14ac:dyDescent="0.25">
      <c r="A2207" s="22">
        <v>40558</v>
      </c>
      <c r="Q2207" s="24"/>
    </row>
    <row r="2208" spans="1:17" x14ac:dyDescent="0.25">
      <c r="A2208" s="22">
        <v>40559</v>
      </c>
      <c r="Q2208" s="24"/>
    </row>
    <row r="2209" spans="1:17" x14ac:dyDescent="0.25">
      <c r="A2209" s="22">
        <v>40560</v>
      </c>
      <c r="Q2209" s="24"/>
    </row>
    <row r="2210" spans="1:17" x14ac:dyDescent="0.25">
      <c r="A2210" s="22">
        <v>40561</v>
      </c>
      <c r="Q2210" s="24"/>
    </row>
    <row r="2211" spans="1:17" x14ac:dyDescent="0.25">
      <c r="A2211" s="22">
        <v>40562</v>
      </c>
      <c r="Q2211" s="24"/>
    </row>
    <row r="2212" spans="1:17" x14ac:dyDescent="0.25">
      <c r="A2212" s="22">
        <v>40563</v>
      </c>
      <c r="Q2212" s="24"/>
    </row>
    <row r="2213" spans="1:17" x14ac:dyDescent="0.25">
      <c r="A2213" s="22">
        <v>40564</v>
      </c>
      <c r="Q2213" s="24"/>
    </row>
    <row r="2214" spans="1:17" x14ac:dyDescent="0.25">
      <c r="A2214" s="22">
        <v>40565</v>
      </c>
      <c r="Q2214" s="24"/>
    </row>
    <row r="2215" spans="1:17" x14ac:dyDescent="0.25">
      <c r="A2215" s="22">
        <v>40566</v>
      </c>
      <c r="Q2215" s="24"/>
    </row>
    <row r="2216" spans="1:17" x14ac:dyDescent="0.25">
      <c r="A2216" s="22">
        <v>40567</v>
      </c>
      <c r="Q2216" s="24"/>
    </row>
    <row r="2217" spans="1:17" x14ac:dyDescent="0.25">
      <c r="A2217" s="22">
        <v>40568</v>
      </c>
      <c r="Q2217" s="24"/>
    </row>
    <row r="2218" spans="1:17" x14ac:dyDescent="0.25">
      <c r="A2218" s="22">
        <v>40569</v>
      </c>
      <c r="Q2218" s="24"/>
    </row>
    <row r="2219" spans="1:17" x14ac:dyDescent="0.25">
      <c r="A2219" s="22">
        <v>40570</v>
      </c>
      <c r="Q2219" s="24"/>
    </row>
    <row r="2220" spans="1:17" x14ac:dyDescent="0.25">
      <c r="A2220" s="22">
        <v>40571</v>
      </c>
      <c r="Q2220" s="24"/>
    </row>
    <row r="2221" spans="1:17" x14ac:dyDescent="0.25">
      <c r="A2221" s="22">
        <v>40572</v>
      </c>
      <c r="Q2221" s="24"/>
    </row>
    <row r="2222" spans="1:17" x14ac:dyDescent="0.25">
      <c r="A2222" s="22">
        <v>40573</v>
      </c>
      <c r="Q2222" s="24"/>
    </row>
    <row r="2223" spans="1:17" x14ac:dyDescent="0.25">
      <c r="A2223" s="22">
        <v>40574</v>
      </c>
      <c r="Q2223" s="24"/>
    </row>
    <row r="2224" spans="1:17" x14ac:dyDescent="0.25">
      <c r="A2224" s="22">
        <v>40575</v>
      </c>
      <c r="Q2224" s="24">
        <v>2.2999999999999998</v>
      </c>
    </row>
    <row r="2225" spans="1:17" x14ac:dyDescent="0.25">
      <c r="A2225" s="22">
        <v>40576</v>
      </c>
      <c r="Q2225" s="24">
        <v>4</v>
      </c>
    </row>
    <row r="2226" spans="1:17" x14ac:dyDescent="0.25">
      <c r="A2226" s="22">
        <v>40577</v>
      </c>
      <c r="Q2226" s="24">
        <v>5.2</v>
      </c>
    </row>
    <row r="2227" spans="1:17" x14ac:dyDescent="0.25">
      <c r="A2227" s="22">
        <v>40578</v>
      </c>
      <c r="Q2227" s="24">
        <v>0.2</v>
      </c>
    </row>
    <row r="2228" spans="1:17" x14ac:dyDescent="0.25">
      <c r="A2228" s="22">
        <v>40579</v>
      </c>
      <c r="Q2228" s="24">
        <v>3.8</v>
      </c>
    </row>
    <row r="2229" spans="1:17" x14ac:dyDescent="0.25">
      <c r="A2229" s="22">
        <v>40580</v>
      </c>
      <c r="Q2229" s="24">
        <v>0.5</v>
      </c>
    </row>
    <row r="2230" spans="1:17" x14ac:dyDescent="0.25">
      <c r="A2230" s="22">
        <v>40581</v>
      </c>
      <c r="Q2230" s="24">
        <v>21.5</v>
      </c>
    </row>
    <row r="2231" spans="1:17" x14ac:dyDescent="0.25">
      <c r="A2231" s="22">
        <v>40582</v>
      </c>
      <c r="Q2231" s="24">
        <v>6.9</v>
      </c>
    </row>
    <row r="2232" spans="1:17" x14ac:dyDescent="0.25">
      <c r="A2232" s="22">
        <v>40583</v>
      </c>
      <c r="Q2232" s="24">
        <v>2</v>
      </c>
    </row>
    <row r="2233" spans="1:17" x14ac:dyDescent="0.25">
      <c r="A2233" s="22">
        <v>40584</v>
      </c>
      <c r="Q2233" s="24">
        <v>0</v>
      </c>
    </row>
    <row r="2234" spans="1:17" x14ac:dyDescent="0.25">
      <c r="A2234" s="22">
        <v>40585</v>
      </c>
      <c r="Q2234" s="24">
        <v>12.7</v>
      </c>
    </row>
    <row r="2235" spans="1:17" x14ac:dyDescent="0.25">
      <c r="A2235" s="22">
        <v>40586</v>
      </c>
      <c r="Q2235" s="24">
        <v>26.7</v>
      </c>
    </row>
    <row r="2236" spans="1:17" x14ac:dyDescent="0.25">
      <c r="A2236" s="22">
        <v>40587</v>
      </c>
      <c r="Q2236" s="24">
        <v>7.5</v>
      </c>
    </row>
    <row r="2237" spans="1:17" x14ac:dyDescent="0.25">
      <c r="A2237" s="22">
        <v>40588</v>
      </c>
      <c r="Q2237" s="24">
        <v>7.4</v>
      </c>
    </row>
    <row r="2238" spans="1:17" x14ac:dyDescent="0.25">
      <c r="A2238" s="22">
        <v>40589</v>
      </c>
      <c r="Q2238" s="24">
        <v>4.5</v>
      </c>
    </row>
    <row r="2239" spans="1:17" x14ac:dyDescent="0.25">
      <c r="A2239" s="22">
        <v>40590</v>
      </c>
      <c r="Q2239" s="24">
        <v>2.9</v>
      </c>
    </row>
    <row r="2240" spans="1:17" x14ac:dyDescent="0.25">
      <c r="A2240" s="22">
        <v>40591</v>
      </c>
      <c r="Q2240" s="24">
        <v>2.7</v>
      </c>
    </row>
    <row r="2241" spans="1:17" x14ac:dyDescent="0.25">
      <c r="A2241" s="22">
        <v>40592</v>
      </c>
      <c r="Q2241" s="24">
        <v>2.8</v>
      </c>
    </row>
    <row r="2242" spans="1:17" x14ac:dyDescent="0.25">
      <c r="A2242" s="22">
        <v>40593</v>
      </c>
      <c r="Q2242" s="24">
        <v>0</v>
      </c>
    </row>
    <row r="2243" spans="1:17" x14ac:dyDescent="0.25">
      <c r="A2243" s="22">
        <v>40594</v>
      </c>
      <c r="Q2243" s="24">
        <v>0.3</v>
      </c>
    </row>
    <row r="2244" spans="1:17" x14ac:dyDescent="0.25">
      <c r="A2244" s="22">
        <v>40595</v>
      </c>
      <c r="Q2244" s="24">
        <v>6.7</v>
      </c>
    </row>
    <row r="2245" spans="1:17" x14ac:dyDescent="0.25">
      <c r="A2245" s="22">
        <v>40596</v>
      </c>
      <c r="Q2245" s="24">
        <v>53.5</v>
      </c>
    </row>
    <row r="2246" spans="1:17" x14ac:dyDescent="0.25">
      <c r="A2246" s="22">
        <v>40597</v>
      </c>
      <c r="Q2246" s="24">
        <v>6.9</v>
      </c>
    </row>
    <row r="2247" spans="1:17" x14ac:dyDescent="0.25">
      <c r="A2247" s="22">
        <v>40598</v>
      </c>
      <c r="Q2247" s="24">
        <v>61.7</v>
      </c>
    </row>
    <row r="2248" spans="1:17" x14ac:dyDescent="0.25">
      <c r="A2248" s="22">
        <v>40599</v>
      </c>
      <c r="Q2248" s="24">
        <v>115.2</v>
      </c>
    </row>
    <row r="2249" spans="1:17" x14ac:dyDescent="0.25">
      <c r="A2249" s="22">
        <v>40600</v>
      </c>
      <c r="Q2249" s="24">
        <v>0.5</v>
      </c>
    </row>
    <row r="2250" spans="1:17" x14ac:dyDescent="0.25">
      <c r="A2250" s="22">
        <v>40601</v>
      </c>
      <c r="Q2250" s="24">
        <v>0.5</v>
      </c>
    </row>
    <row r="2251" spans="1:17" x14ac:dyDescent="0.25">
      <c r="A2251" s="22">
        <v>40602</v>
      </c>
      <c r="Q2251" s="24">
        <v>0</v>
      </c>
    </row>
    <row r="2252" spans="1:17" x14ac:dyDescent="0.25">
      <c r="A2252" s="22">
        <v>40603</v>
      </c>
      <c r="Q2252" s="1">
        <v>0.2</v>
      </c>
    </row>
    <row r="2253" spans="1:17" x14ac:dyDescent="0.25">
      <c r="A2253" s="22">
        <v>40604</v>
      </c>
      <c r="Q2253" s="1">
        <v>3.7</v>
      </c>
    </row>
    <row r="2254" spans="1:17" x14ac:dyDescent="0.25">
      <c r="A2254" s="22">
        <v>40605</v>
      </c>
      <c r="Q2254" s="1">
        <v>0.5</v>
      </c>
    </row>
    <row r="2255" spans="1:17" x14ac:dyDescent="0.25">
      <c r="A2255" s="22">
        <v>40606</v>
      </c>
      <c r="Q2255" s="1">
        <v>0.9</v>
      </c>
    </row>
    <row r="2256" spans="1:17" x14ac:dyDescent="0.25">
      <c r="A2256" s="22">
        <v>40607</v>
      </c>
      <c r="Q2256" s="1">
        <v>0</v>
      </c>
    </row>
    <row r="2257" spans="1:17" x14ac:dyDescent="0.25">
      <c r="A2257" s="22">
        <v>40608</v>
      </c>
      <c r="Q2257" s="1">
        <v>0</v>
      </c>
    </row>
    <row r="2258" spans="1:17" x14ac:dyDescent="0.25">
      <c r="A2258" s="22">
        <v>40609</v>
      </c>
      <c r="Q2258" s="1">
        <v>0</v>
      </c>
    </row>
    <row r="2259" spans="1:17" x14ac:dyDescent="0.25">
      <c r="A2259" s="22">
        <v>40610</v>
      </c>
      <c r="Q2259" s="1">
        <v>0</v>
      </c>
    </row>
    <row r="2260" spans="1:17" x14ac:dyDescent="0.25">
      <c r="A2260" s="22">
        <v>40611</v>
      </c>
      <c r="Q2260" s="1">
        <v>16.3</v>
      </c>
    </row>
    <row r="2261" spans="1:17" x14ac:dyDescent="0.25">
      <c r="A2261" s="22">
        <v>40612</v>
      </c>
      <c r="Q2261" s="1">
        <v>0</v>
      </c>
    </row>
    <row r="2262" spans="1:17" x14ac:dyDescent="0.25">
      <c r="A2262" s="22">
        <v>40613</v>
      </c>
      <c r="Q2262" s="1">
        <v>3.2</v>
      </c>
    </row>
    <row r="2263" spans="1:17" x14ac:dyDescent="0.25">
      <c r="A2263" s="22">
        <v>40614</v>
      </c>
      <c r="Q2263" s="1">
        <v>0</v>
      </c>
    </row>
    <row r="2264" spans="1:17" x14ac:dyDescent="0.25">
      <c r="A2264" s="22">
        <v>40615</v>
      </c>
      <c r="Q2264" s="1">
        <v>3.3</v>
      </c>
    </row>
    <row r="2265" spans="1:17" x14ac:dyDescent="0.25">
      <c r="A2265" s="22">
        <v>40616</v>
      </c>
      <c r="Q2265" s="1">
        <v>5.0999999999999996</v>
      </c>
    </row>
    <row r="2266" spans="1:17" x14ac:dyDescent="0.25">
      <c r="A2266" s="22">
        <v>40617</v>
      </c>
      <c r="Q2266" s="1">
        <v>7.5</v>
      </c>
    </row>
    <row r="2267" spans="1:17" x14ac:dyDescent="0.25">
      <c r="A2267" s="22">
        <v>40618</v>
      </c>
      <c r="Q2267" s="1">
        <v>2.6</v>
      </c>
    </row>
    <row r="2268" spans="1:17" x14ac:dyDescent="0.25">
      <c r="A2268" s="22">
        <v>40619</v>
      </c>
      <c r="Q2268" s="1">
        <v>3.9</v>
      </c>
    </row>
    <row r="2269" spans="1:17" x14ac:dyDescent="0.25">
      <c r="A2269" s="22">
        <v>40620</v>
      </c>
      <c r="Q2269" s="1">
        <v>3.1</v>
      </c>
    </row>
    <row r="2270" spans="1:17" x14ac:dyDescent="0.25">
      <c r="A2270" s="22">
        <v>40621</v>
      </c>
      <c r="Q2270" s="1">
        <v>3.3</v>
      </c>
    </row>
    <row r="2271" spans="1:17" x14ac:dyDescent="0.25">
      <c r="A2271" s="22">
        <v>40622</v>
      </c>
      <c r="Q2271" s="1">
        <v>19.600000000000001</v>
      </c>
    </row>
    <row r="2272" spans="1:17" x14ac:dyDescent="0.25">
      <c r="A2272" s="22">
        <v>40623</v>
      </c>
      <c r="Q2272" s="1">
        <v>28</v>
      </c>
    </row>
    <row r="2273" spans="1:17" x14ac:dyDescent="0.25">
      <c r="A2273" s="22">
        <v>40624</v>
      </c>
      <c r="Q2273" s="1">
        <v>47.7</v>
      </c>
    </row>
    <row r="2274" spans="1:17" x14ac:dyDescent="0.25">
      <c r="A2274" s="22">
        <v>40625</v>
      </c>
      <c r="Q2274" s="1">
        <v>8</v>
      </c>
    </row>
    <row r="2275" spans="1:17" x14ac:dyDescent="0.25">
      <c r="A2275" s="22">
        <v>40626</v>
      </c>
      <c r="Q2275" s="1">
        <v>0</v>
      </c>
    </row>
    <row r="2276" spans="1:17" x14ac:dyDescent="0.25">
      <c r="A2276" s="22">
        <v>40627</v>
      </c>
      <c r="Q2276" s="1">
        <v>0.4</v>
      </c>
    </row>
    <row r="2277" spans="1:17" x14ac:dyDescent="0.25">
      <c r="A2277" s="22">
        <v>40628</v>
      </c>
      <c r="Q2277" s="1">
        <v>0</v>
      </c>
    </row>
    <row r="2278" spans="1:17" x14ac:dyDescent="0.25">
      <c r="A2278" s="22">
        <v>40629</v>
      </c>
      <c r="Q2278" s="1">
        <v>1.8</v>
      </c>
    </row>
    <row r="2279" spans="1:17" x14ac:dyDescent="0.25">
      <c r="A2279" s="22">
        <v>40630</v>
      </c>
      <c r="Q2279" s="1">
        <v>0</v>
      </c>
    </row>
    <row r="2280" spans="1:17" x14ac:dyDescent="0.25">
      <c r="A2280" s="22">
        <v>40631</v>
      </c>
      <c r="Q2280" s="1">
        <v>0</v>
      </c>
    </row>
    <row r="2281" spans="1:17" x14ac:dyDescent="0.25">
      <c r="A2281" s="22">
        <v>40632</v>
      </c>
      <c r="Q2281" s="1">
        <v>0</v>
      </c>
    </row>
    <row r="2282" spans="1:17" x14ac:dyDescent="0.25">
      <c r="A2282" s="22">
        <v>40633</v>
      </c>
      <c r="Q2282" s="1">
        <v>0</v>
      </c>
    </row>
    <row r="2283" spans="1:17" x14ac:dyDescent="0.25">
      <c r="A2283" s="22">
        <v>40634</v>
      </c>
      <c r="Q2283" s="1">
        <v>0</v>
      </c>
    </row>
    <row r="2284" spans="1:17" x14ac:dyDescent="0.25">
      <c r="A2284" s="22">
        <v>40635</v>
      </c>
      <c r="Q2284" s="1">
        <v>0</v>
      </c>
    </row>
    <row r="2285" spans="1:17" x14ac:dyDescent="0.25">
      <c r="A2285" s="22">
        <v>40636</v>
      </c>
      <c r="Q2285" s="1">
        <v>2.2999999999999998</v>
      </c>
    </row>
    <row r="2286" spans="1:17" x14ac:dyDescent="0.25">
      <c r="A2286" s="22">
        <v>40637</v>
      </c>
      <c r="Q2286" s="1">
        <v>0</v>
      </c>
    </row>
    <row r="2287" spans="1:17" x14ac:dyDescent="0.25">
      <c r="A2287" s="22">
        <v>40638</v>
      </c>
      <c r="Q2287" s="1">
        <v>0</v>
      </c>
    </row>
    <row r="2288" spans="1:17" x14ac:dyDescent="0.25">
      <c r="A2288" s="22">
        <v>40639</v>
      </c>
      <c r="Q2288" s="1">
        <v>19.7</v>
      </c>
    </row>
    <row r="2289" spans="1:17" x14ac:dyDescent="0.25">
      <c r="A2289" s="22">
        <v>40640</v>
      </c>
      <c r="Q2289" s="1">
        <v>22.2</v>
      </c>
    </row>
    <row r="2290" spans="1:17" x14ac:dyDescent="0.25">
      <c r="A2290" s="22">
        <v>40641</v>
      </c>
      <c r="Q2290" s="1">
        <v>0.1</v>
      </c>
    </row>
    <row r="2291" spans="1:17" x14ac:dyDescent="0.25">
      <c r="A2291" s="22">
        <v>40642</v>
      </c>
      <c r="Q2291" s="1">
        <v>0.2</v>
      </c>
    </row>
    <row r="2292" spans="1:17" x14ac:dyDescent="0.25">
      <c r="A2292" s="22">
        <v>40643</v>
      </c>
      <c r="Q2292" s="1">
        <v>14.6</v>
      </c>
    </row>
    <row r="2293" spans="1:17" x14ac:dyDescent="0.25">
      <c r="A2293" s="22">
        <v>40644</v>
      </c>
      <c r="Q2293" s="1">
        <v>30.6</v>
      </c>
    </row>
    <row r="2294" spans="1:17" x14ac:dyDescent="0.25">
      <c r="A2294" s="22">
        <v>40645</v>
      </c>
      <c r="Q2294" s="1">
        <v>79.099999999999994</v>
      </c>
    </row>
    <row r="2295" spans="1:17" x14ac:dyDescent="0.25">
      <c r="A2295" s="22">
        <v>40646</v>
      </c>
      <c r="Q2295" s="1">
        <v>7.8</v>
      </c>
    </row>
    <row r="2296" spans="1:17" x14ac:dyDescent="0.25">
      <c r="A2296" s="22">
        <v>40647</v>
      </c>
      <c r="Q2296" s="1">
        <v>0</v>
      </c>
    </row>
    <row r="2297" spans="1:17" x14ac:dyDescent="0.25">
      <c r="A2297" s="22">
        <v>40648</v>
      </c>
      <c r="Q2297" s="1">
        <v>0</v>
      </c>
    </row>
    <row r="2298" spans="1:17" x14ac:dyDescent="0.25">
      <c r="A2298" s="22">
        <v>40649</v>
      </c>
      <c r="Q2298" s="1">
        <v>0</v>
      </c>
    </row>
    <row r="2299" spans="1:17" x14ac:dyDescent="0.25">
      <c r="A2299" s="22">
        <v>40650</v>
      </c>
      <c r="Q2299" s="1">
        <v>2.8</v>
      </c>
    </row>
    <row r="2300" spans="1:17" x14ac:dyDescent="0.25">
      <c r="A2300" s="22">
        <v>40651</v>
      </c>
      <c r="Q2300" s="1">
        <v>9.9</v>
      </c>
    </row>
    <row r="2301" spans="1:17" x14ac:dyDescent="0.25">
      <c r="A2301" s="22">
        <v>40652</v>
      </c>
      <c r="Q2301" s="1">
        <v>0</v>
      </c>
    </row>
    <row r="2302" spans="1:17" x14ac:dyDescent="0.25">
      <c r="A2302" s="22">
        <v>40653</v>
      </c>
      <c r="Q2302" s="1">
        <v>5.3</v>
      </c>
    </row>
    <row r="2303" spans="1:17" x14ac:dyDescent="0.25">
      <c r="A2303" s="22">
        <v>40654</v>
      </c>
      <c r="Q2303" s="1">
        <v>3.9</v>
      </c>
    </row>
    <row r="2304" spans="1:17" x14ac:dyDescent="0.25">
      <c r="A2304" s="22">
        <v>40655</v>
      </c>
      <c r="Q2304" s="1">
        <v>0.8</v>
      </c>
    </row>
    <row r="2305" spans="1:17" x14ac:dyDescent="0.25">
      <c r="A2305" s="22">
        <v>40656</v>
      </c>
      <c r="Q2305" s="1">
        <v>0</v>
      </c>
    </row>
    <row r="2306" spans="1:17" x14ac:dyDescent="0.25">
      <c r="A2306" s="22">
        <v>40657</v>
      </c>
      <c r="Q2306" s="1">
        <v>0</v>
      </c>
    </row>
    <row r="2307" spans="1:17" x14ac:dyDescent="0.25">
      <c r="A2307" s="22">
        <v>40658</v>
      </c>
      <c r="Q2307" s="1">
        <v>9.1999999999999993</v>
      </c>
    </row>
    <row r="2308" spans="1:17" x14ac:dyDescent="0.25">
      <c r="A2308" s="22">
        <v>40659</v>
      </c>
      <c r="Q2308" s="1">
        <v>21.3</v>
      </c>
    </row>
    <row r="2309" spans="1:17" x14ac:dyDescent="0.25">
      <c r="A2309" s="22">
        <v>40660</v>
      </c>
      <c r="Q2309" s="1">
        <v>10.7</v>
      </c>
    </row>
    <row r="2310" spans="1:17" x14ac:dyDescent="0.25">
      <c r="A2310" s="22">
        <v>40661</v>
      </c>
      <c r="Q2310" s="1">
        <v>11.7</v>
      </c>
    </row>
    <row r="2311" spans="1:17" x14ac:dyDescent="0.25">
      <c r="A2311" s="22">
        <v>40662</v>
      </c>
      <c r="Q2311" s="1">
        <v>4.9000000000000004</v>
      </c>
    </row>
    <row r="2312" spans="1:17" x14ac:dyDescent="0.25">
      <c r="A2312" s="22">
        <v>40663</v>
      </c>
      <c r="Q2312" s="1">
        <v>9.4</v>
      </c>
    </row>
    <row r="2313" spans="1:17" x14ac:dyDescent="0.25">
      <c r="A2313" s="22">
        <v>40664</v>
      </c>
      <c r="Q2313" s="1">
        <v>14.7</v>
      </c>
    </row>
    <row r="2314" spans="1:17" x14ac:dyDescent="0.25">
      <c r="A2314" s="22">
        <v>40665</v>
      </c>
      <c r="Q2314" s="1">
        <v>4.7</v>
      </c>
    </row>
    <row r="2315" spans="1:17" x14ac:dyDescent="0.25">
      <c r="A2315" s="22">
        <v>40666</v>
      </c>
      <c r="Q2315" s="1">
        <v>3.2</v>
      </c>
    </row>
    <row r="2316" spans="1:17" x14ac:dyDescent="0.25">
      <c r="A2316" s="22">
        <v>40667</v>
      </c>
      <c r="Q2316" s="1">
        <v>62.3</v>
      </c>
    </row>
    <row r="2317" spans="1:17" x14ac:dyDescent="0.25">
      <c r="A2317" s="22">
        <v>40668</v>
      </c>
      <c r="Q2317" s="1">
        <v>14.2</v>
      </c>
    </row>
    <row r="2318" spans="1:17" x14ac:dyDescent="0.25">
      <c r="A2318" s="22">
        <v>40669</v>
      </c>
      <c r="Q2318" s="1">
        <v>1.3</v>
      </c>
    </row>
    <row r="2319" spans="1:17" x14ac:dyDescent="0.25">
      <c r="A2319" s="22">
        <v>40670</v>
      </c>
      <c r="Q2319" s="1">
        <v>0</v>
      </c>
    </row>
    <row r="2320" spans="1:17" x14ac:dyDescent="0.25">
      <c r="A2320" s="22">
        <v>40671</v>
      </c>
      <c r="Q2320" s="1">
        <v>0</v>
      </c>
    </row>
    <row r="2321" spans="1:17" x14ac:dyDescent="0.25">
      <c r="A2321" s="22">
        <v>40672</v>
      </c>
      <c r="Q2321" s="1">
        <v>0</v>
      </c>
    </row>
    <row r="2322" spans="1:17" x14ac:dyDescent="0.25">
      <c r="A2322" s="22">
        <v>40673</v>
      </c>
      <c r="Q2322" s="1">
        <v>0</v>
      </c>
    </row>
    <row r="2323" spans="1:17" x14ac:dyDescent="0.25">
      <c r="A2323" s="22">
        <v>40674</v>
      </c>
      <c r="Q2323" s="1">
        <v>0</v>
      </c>
    </row>
    <row r="2324" spans="1:17" x14ac:dyDescent="0.25">
      <c r="A2324" s="22">
        <v>40675</v>
      </c>
      <c r="Q2324" s="1">
        <v>0</v>
      </c>
    </row>
    <row r="2325" spans="1:17" x14ac:dyDescent="0.25">
      <c r="A2325" s="22">
        <v>40676</v>
      </c>
      <c r="Q2325" s="1">
        <v>0</v>
      </c>
    </row>
    <row r="2326" spans="1:17" x14ac:dyDescent="0.25">
      <c r="A2326" s="22">
        <v>40677</v>
      </c>
      <c r="Q2326" s="1">
        <v>0</v>
      </c>
    </row>
    <row r="2327" spans="1:17" x14ac:dyDescent="0.25">
      <c r="A2327" s="22">
        <v>40678</v>
      </c>
      <c r="Q2327" s="1">
        <v>0</v>
      </c>
    </row>
    <row r="2328" spans="1:17" x14ac:dyDescent="0.25">
      <c r="A2328" s="22">
        <v>40679</v>
      </c>
      <c r="Q2328" s="1">
        <v>5</v>
      </c>
    </row>
    <row r="2329" spans="1:17" x14ac:dyDescent="0.25">
      <c r="A2329" s="22">
        <v>40680</v>
      </c>
      <c r="Q2329" s="1">
        <v>6.8</v>
      </c>
    </row>
    <row r="2330" spans="1:17" x14ac:dyDescent="0.25">
      <c r="A2330" s="22">
        <v>40681</v>
      </c>
      <c r="Q2330" s="1">
        <v>3.2</v>
      </c>
    </row>
    <row r="2331" spans="1:17" x14ac:dyDescent="0.25">
      <c r="A2331" s="22">
        <v>40682</v>
      </c>
      <c r="Q2331" s="1">
        <v>15.2</v>
      </c>
    </row>
    <row r="2332" spans="1:17" x14ac:dyDescent="0.25">
      <c r="A2332" s="22">
        <v>40683</v>
      </c>
      <c r="Q2332" s="1">
        <v>0</v>
      </c>
    </row>
    <row r="2333" spans="1:17" x14ac:dyDescent="0.25">
      <c r="A2333" s="22">
        <v>40684</v>
      </c>
      <c r="Q2333" s="1">
        <v>0</v>
      </c>
    </row>
    <row r="2334" spans="1:17" x14ac:dyDescent="0.25">
      <c r="A2334" s="22">
        <v>40685</v>
      </c>
      <c r="Q2334" s="1">
        <v>0</v>
      </c>
    </row>
    <row r="2335" spans="1:17" x14ac:dyDescent="0.25">
      <c r="A2335" s="22">
        <v>40686</v>
      </c>
      <c r="Q2335" s="1">
        <v>23.8</v>
      </c>
    </row>
    <row r="2336" spans="1:17" x14ac:dyDescent="0.25">
      <c r="A2336" s="22">
        <v>40687</v>
      </c>
      <c r="Q2336" s="1">
        <v>3.2</v>
      </c>
    </row>
    <row r="2337" spans="1:17" x14ac:dyDescent="0.25">
      <c r="A2337" s="22">
        <v>40688</v>
      </c>
      <c r="Q2337" s="1">
        <v>2.2999999999999998</v>
      </c>
    </row>
    <row r="2338" spans="1:17" x14ac:dyDescent="0.25">
      <c r="A2338" s="22">
        <v>40689</v>
      </c>
      <c r="Q2338" s="1">
        <v>0</v>
      </c>
    </row>
    <row r="2339" spans="1:17" x14ac:dyDescent="0.25">
      <c r="A2339" s="22">
        <v>40690</v>
      </c>
      <c r="Q2339" s="1">
        <v>1.8</v>
      </c>
    </row>
    <row r="2340" spans="1:17" x14ac:dyDescent="0.25">
      <c r="A2340" s="22">
        <v>40691</v>
      </c>
      <c r="Q2340" s="1">
        <v>8.1999999999999993</v>
      </c>
    </row>
    <row r="2341" spans="1:17" x14ac:dyDescent="0.25">
      <c r="A2341" s="22">
        <v>40692</v>
      </c>
      <c r="Q2341" s="1">
        <v>1.1000000000000001</v>
      </c>
    </row>
    <row r="2342" spans="1:17" x14ac:dyDescent="0.25">
      <c r="A2342" s="22">
        <v>40693</v>
      </c>
      <c r="Q2342" s="1">
        <v>3.1</v>
      </c>
    </row>
    <row r="2343" spans="1:17" x14ac:dyDescent="0.25">
      <c r="A2343" s="22">
        <v>40694</v>
      </c>
      <c r="Q2343" s="1">
        <v>0</v>
      </c>
    </row>
    <row r="2344" spans="1:17" x14ac:dyDescent="0.25">
      <c r="A2344" s="22">
        <v>40695</v>
      </c>
      <c r="Q2344" s="1">
        <v>0</v>
      </c>
    </row>
    <row r="2345" spans="1:17" x14ac:dyDescent="0.25">
      <c r="A2345" s="22">
        <v>40696</v>
      </c>
      <c r="Q2345" s="1">
        <v>0</v>
      </c>
    </row>
    <row r="2346" spans="1:17" x14ac:dyDescent="0.25">
      <c r="A2346" s="22">
        <v>40697</v>
      </c>
      <c r="Q2346" s="1">
        <v>0</v>
      </c>
    </row>
    <row r="2347" spans="1:17" x14ac:dyDescent="0.25">
      <c r="A2347" s="22">
        <v>40698</v>
      </c>
      <c r="Q2347" s="1">
        <v>0.8</v>
      </c>
    </row>
    <row r="2348" spans="1:17" x14ac:dyDescent="0.25">
      <c r="A2348" s="22">
        <v>40699</v>
      </c>
      <c r="Q2348" s="1">
        <v>0</v>
      </c>
    </row>
    <row r="2349" spans="1:17" x14ac:dyDescent="0.25">
      <c r="A2349" s="22">
        <v>40700</v>
      </c>
      <c r="Q2349" s="1">
        <v>5.7</v>
      </c>
    </row>
    <row r="2350" spans="1:17" x14ac:dyDescent="0.25">
      <c r="A2350" s="22">
        <v>40701</v>
      </c>
      <c r="Q2350" s="1">
        <v>1.2</v>
      </c>
    </row>
    <row r="2351" spans="1:17" x14ac:dyDescent="0.25">
      <c r="A2351" s="22">
        <v>40702</v>
      </c>
      <c r="Q2351" s="1">
        <v>4.5</v>
      </c>
    </row>
    <row r="2352" spans="1:17" x14ac:dyDescent="0.25">
      <c r="A2352" s="22">
        <v>40703</v>
      </c>
      <c r="Q2352" s="1">
        <v>0</v>
      </c>
    </row>
    <row r="2353" spans="1:17" x14ac:dyDescent="0.25">
      <c r="A2353" s="22">
        <v>40704</v>
      </c>
      <c r="Q2353" s="1">
        <v>0</v>
      </c>
    </row>
    <row r="2354" spans="1:17" x14ac:dyDescent="0.25">
      <c r="A2354" s="22">
        <v>40705</v>
      </c>
      <c r="Q2354" s="1">
        <v>2.7</v>
      </c>
    </row>
    <row r="2355" spans="1:17" x14ac:dyDescent="0.25">
      <c r="A2355" s="22">
        <v>40706</v>
      </c>
      <c r="Q2355" s="1">
        <v>0.2</v>
      </c>
    </row>
    <row r="2356" spans="1:17" x14ac:dyDescent="0.25">
      <c r="A2356" s="22">
        <v>40707</v>
      </c>
      <c r="Q2356" s="1">
        <v>1.6</v>
      </c>
    </row>
    <row r="2357" spans="1:17" x14ac:dyDescent="0.25">
      <c r="A2357" s="22">
        <v>40708</v>
      </c>
      <c r="Q2357" s="1">
        <v>31.7</v>
      </c>
    </row>
    <row r="2358" spans="1:17" x14ac:dyDescent="0.25">
      <c r="A2358" s="22">
        <v>40709</v>
      </c>
      <c r="Q2358" s="1">
        <v>5.6</v>
      </c>
    </row>
    <row r="2359" spans="1:17" x14ac:dyDescent="0.25">
      <c r="A2359" s="22">
        <v>40710</v>
      </c>
      <c r="Q2359" s="1">
        <v>7.1</v>
      </c>
    </row>
    <row r="2360" spans="1:17" x14ac:dyDescent="0.25">
      <c r="A2360" s="22">
        <v>40711</v>
      </c>
      <c r="Q2360" s="1">
        <v>6.9</v>
      </c>
    </row>
    <row r="2361" spans="1:17" x14ac:dyDescent="0.25">
      <c r="A2361" s="22">
        <v>40712</v>
      </c>
      <c r="Q2361" s="1">
        <v>40.200000000000003</v>
      </c>
    </row>
    <row r="2362" spans="1:17" x14ac:dyDescent="0.25">
      <c r="A2362" s="22">
        <v>40713</v>
      </c>
      <c r="Q2362" s="1">
        <v>0</v>
      </c>
    </row>
    <row r="2363" spans="1:17" x14ac:dyDescent="0.25">
      <c r="A2363" s="22">
        <v>40714</v>
      </c>
      <c r="Q2363" s="1">
        <v>2.9</v>
      </c>
    </row>
    <row r="2364" spans="1:17" x14ac:dyDescent="0.25">
      <c r="A2364" s="22">
        <v>40715</v>
      </c>
      <c r="Q2364" s="1">
        <v>0.9</v>
      </c>
    </row>
    <row r="2365" spans="1:17" x14ac:dyDescent="0.25">
      <c r="A2365" s="22">
        <v>40716</v>
      </c>
      <c r="Q2365" s="1">
        <v>42.1</v>
      </c>
    </row>
    <row r="2366" spans="1:17" x14ac:dyDescent="0.25">
      <c r="A2366" s="22">
        <v>40717</v>
      </c>
      <c r="Q2366" s="1">
        <v>0</v>
      </c>
    </row>
    <row r="2367" spans="1:17" x14ac:dyDescent="0.25">
      <c r="A2367" s="22">
        <v>40718</v>
      </c>
      <c r="Q2367" s="1">
        <v>3.2</v>
      </c>
    </row>
    <row r="2368" spans="1:17" x14ac:dyDescent="0.25">
      <c r="A2368" s="22">
        <v>40719</v>
      </c>
      <c r="Q2368" s="1">
        <v>6.9</v>
      </c>
    </row>
    <row r="2369" spans="1:17" x14ac:dyDescent="0.25">
      <c r="A2369" s="22">
        <v>40720</v>
      </c>
      <c r="Q2369" s="1">
        <v>4.0999999999999996</v>
      </c>
    </row>
    <row r="2370" spans="1:17" x14ac:dyDescent="0.25">
      <c r="A2370" s="22">
        <v>40721</v>
      </c>
      <c r="Q2370" s="1">
        <v>1.3</v>
      </c>
    </row>
    <row r="2371" spans="1:17" x14ac:dyDescent="0.25">
      <c r="A2371" s="22">
        <v>40722</v>
      </c>
      <c r="Q2371" s="1">
        <v>1.2</v>
      </c>
    </row>
    <row r="2372" spans="1:17" x14ac:dyDescent="0.25">
      <c r="A2372" s="22">
        <v>40723</v>
      </c>
      <c r="Q2372" s="1">
        <v>12.5</v>
      </c>
    </row>
    <row r="2373" spans="1:17" x14ac:dyDescent="0.25">
      <c r="A2373" s="22">
        <v>40724</v>
      </c>
      <c r="Q2373" s="1">
        <v>21</v>
      </c>
    </row>
    <row r="2374" spans="1:17" x14ac:dyDescent="0.25">
      <c r="A2374" s="22">
        <v>40725</v>
      </c>
      <c r="Q2374" s="1">
        <v>5.6</v>
      </c>
    </row>
    <row r="2375" spans="1:17" x14ac:dyDescent="0.25">
      <c r="A2375" s="22">
        <v>40726</v>
      </c>
      <c r="Q2375" s="1">
        <v>9.1</v>
      </c>
    </row>
    <row r="2376" spans="1:17" x14ac:dyDescent="0.25">
      <c r="A2376" s="22">
        <v>40727</v>
      </c>
      <c r="Q2376" s="1">
        <v>4.4000000000000004</v>
      </c>
    </row>
    <row r="2377" spans="1:17" x14ac:dyDescent="0.25">
      <c r="A2377" s="22">
        <v>40728</v>
      </c>
      <c r="Q2377" s="1">
        <v>0.3</v>
      </c>
    </row>
    <row r="2378" spans="1:17" x14ac:dyDescent="0.25">
      <c r="A2378" s="22">
        <v>40729</v>
      </c>
      <c r="Q2378" s="1">
        <v>16.899999999999999</v>
      </c>
    </row>
    <row r="2379" spans="1:17" x14ac:dyDescent="0.25">
      <c r="A2379" s="22">
        <v>40730</v>
      </c>
      <c r="Q2379" s="1">
        <v>9.5</v>
      </c>
    </row>
    <row r="2380" spans="1:17" x14ac:dyDescent="0.25">
      <c r="A2380" s="22">
        <v>40731</v>
      </c>
      <c r="Q2380" s="1">
        <v>12.3</v>
      </c>
    </row>
    <row r="2381" spans="1:17" x14ac:dyDescent="0.25">
      <c r="A2381" s="22">
        <v>40732</v>
      </c>
      <c r="Q2381" s="1">
        <v>46.5</v>
      </c>
    </row>
    <row r="2382" spans="1:17" x14ac:dyDescent="0.25">
      <c r="A2382" s="22">
        <v>40733</v>
      </c>
      <c r="Q2382" s="1">
        <v>1.5</v>
      </c>
    </row>
    <row r="2383" spans="1:17" x14ac:dyDescent="0.25">
      <c r="A2383" s="22">
        <v>40734</v>
      </c>
      <c r="Q2383" s="1">
        <v>0</v>
      </c>
    </row>
    <row r="2384" spans="1:17" x14ac:dyDescent="0.25">
      <c r="A2384" s="22">
        <v>40735</v>
      </c>
      <c r="Q2384" s="1">
        <v>19.7</v>
      </c>
    </row>
    <row r="2385" spans="1:17" x14ac:dyDescent="0.25">
      <c r="A2385" s="22">
        <v>40736</v>
      </c>
      <c r="Q2385" s="1">
        <v>0.7</v>
      </c>
    </row>
    <row r="2386" spans="1:17" x14ac:dyDescent="0.25">
      <c r="A2386" s="22">
        <v>40737</v>
      </c>
      <c r="Q2386" s="1">
        <v>0</v>
      </c>
    </row>
    <row r="2387" spans="1:17" x14ac:dyDescent="0.25">
      <c r="A2387" s="22">
        <v>40738</v>
      </c>
      <c r="Q2387" s="1">
        <v>0</v>
      </c>
    </row>
    <row r="2388" spans="1:17" x14ac:dyDescent="0.25">
      <c r="A2388" s="22">
        <v>40739</v>
      </c>
      <c r="Q2388" s="1">
        <v>4.0999999999999996</v>
      </c>
    </row>
    <row r="2389" spans="1:17" x14ac:dyDescent="0.25">
      <c r="A2389" s="22">
        <v>40740</v>
      </c>
      <c r="Q2389" s="1">
        <v>6.7</v>
      </c>
    </row>
    <row r="2390" spans="1:17" x14ac:dyDescent="0.25">
      <c r="A2390" s="22">
        <v>40741</v>
      </c>
      <c r="Q2390" s="1">
        <v>9.9</v>
      </c>
    </row>
    <row r="2391" spans="1:17" x14ac:dyDescent="0.25">
      <c r="A2391" s="22">
        <v>40742</v>
      </c>
      <c r="Q2391" s="1">
        <v>6.1</v>
      </c>
    </row>
    <row r="2392" spans="1:17" x14ac:dyDescent="0.25">
      <c r="A2392" s="22">
        <v>40743</v>
      </c>
      <c r="Q2392" s="1">
        <v>3.3</v>
      </c>
    </row>
    <row r="2393" spans="1:17" x14ac:dyDescent="0.25">
      <c r="A2393" s="22">
        <v>40744</v>
      </c>
      <c r="Q2393" s="1">
        <v>0</v>
      </c>
    </row>
    <row r="2394" spans="1:17" x14ac:dyDescent="0.25">
      <c r="A2394" s="22">
        <v>40745</v>
      </c>
      <c r="Q2394" s="1">
        <v>2.1</v>
      </c>
    </row>
    <row r="2395" spans="1:17" x14ac:dyDescent="0.25">
      <c r="A2395" s="22">
        <v>40746</v>
      </c>
      <c r="Q2395" s="1">
        <v>0.5</v>
      </c>
    </row>
    <row r="2396" spans="1:17" x14ac:dyDescent="0.25">
      <c r="A2396" s="22">
        <v>40747</v>
      </c>
      <c r="Q2396" s="1">
        <v>6.5</v>
      </c>
    </row>
    <row r="2397" spans="1:17" x14ac:dyDescent="0.25">
      <c r="A2397" s="22">
        <v>40748</v>
      </c>
      <c r="Q2397" s="1">
        <v>4.4000000000000004</v>
      </c>
    </row>
    <row r="2398" spans="1:17" x14ac:dyDescent="0.25">
      <c r="A2398" s="22">
        <v>40749</v>
      </c>
      <c r="Q2398" s="1">
        <v>0</v>
      </c>
    </row>
    <row r="2399" spans="1:17" x14ac:dyDescent="0.25">
      <c r="A2399" s="22">
        <v>40750</v>
      </c>
      <c r="Q2399" s="1">
        <v>12.8</v>
      </c>
    </row>
    <row r="2400" spans="1:17" x14ac:dyDescent="0.25">
      <c r="A2400" s="22">
        <v>40751</v>
      </c>
      <c r="Q2400" s="1">
        <v>3.3</v>
      </c>
    </row>
    <row r="2401" spans="1:17" x14ac:dyDescent="0.25">
      <c r="A2401" s="22">
        <v>40752</v>
      </c>
      <c r="Q2401" s="1">
        <v>1.7</v>
      </c>
    </row>
    <row r="2402" spans="1:17" x14ac:dyDescent="0.25">
      <c r="A2402" s="22">
        <v>40753</v>
      </c>
      <c r="Q2402" s="1">
        <v>0</v>
      </c>
    </row>
    <row r="2403" spans="1:17" x14ac:dyDescent="0.25">
      <c r="A2403" s="22">
        <v>40754</v>
      </c>
      <c r="Q2403" s="1">
        <v>0.9</v>
      </c>
    </row>
    <row r="2404" spans="1:17" x14ac:dyDescent="0.25">
      <c r="A2404" s="22">
        <v>40755</v>
      </c>
      <c r="Q2404" s="1">
        <v>4.9000000000000004</v>
      </c>
    </row>
    <row r="2405" spans="1:17" x14ac:dyDescent="0.25">
      <c r="A2405" s="22">
        <v>40756</v>
      </c>
      <c r="Q2405" s="1"/>
    </row>
    <row r="2406" spans="1:17" x14ac:dyDescent="0.25">
      <c r="A2406" s="22">
        <v>40757</v>
      </c>
      <c r="Q2406" s="1"/>
    </row>
    <row r="2407" spans="1:17" x14ac:dyDescent="0.25">
      <c r="A2407" s="22">
        <v>40758</v>
      </c>
      <c r="Q2407" s="1"/>
    </row>
    <row r="2408" spans="1:17" x14ac:dyDescent="0.25">
      <c r="A2408" s="22">
        <v>40759</v>
      </c>
      <c r="Q2408" s="1"/>
    </row>
    <row r="2409" spans="1:17" x14ac:dyDescent="0.25">
      <c r="A2409" s="22">
        <v>40760</v>
      </c>
      <c r="Q2409" s="1"/>
    </row>
    <row r="2410" spans="1:17" x14ac:dyDescent="0.25">
      <c r="A2410" s="22">
        <v>40761</v>
      </c>
      <c r="Q2410" s="1"/>
    </row>
    <row r="2411" spans="1:17" x14ac:dyDescent="0.25">
      <c r="A2411" s="22">
        <v>40762</v>
      </c>
      <c r="Q2411" s="1"/>
    </row>
    <row r="2412" spans="1:17" x14ac:dyDescent="0.25">
      <c r="A2412" s="22">
        <v>40763</v>
      </c>
      <c r="Q2412" s="1"/>
    </row>
    <row r="2413" spans="1:17" x14ac:dyDescent="0.25">
      <c r="A2413" s="22">
        <v>40764</v>
      </c>
      <c r="Q2413" s="1"/>
    </row>
    <row r="2414" spans="1:17" x14ac:dyDescent="0.25">
      <c r="A2414" s="22">
        <v>40765</v>
      </c>
      <c r="Q2414" s="1"/>
    </row>
    <row r="2415" spans="1:17" x14ac:dyDescent="0.25">
      <c r="A2415" s="22">
        <v>40766</v>
      </c>
      <c r="Q2415" s="1"/>
    </row>
    <row r="2416" spans="1:17" x14ac:dyDescent="0.25">
      <c r="A2416" s="22">
        <v>40767</v>
      </c>
      <c r="Q2416" s="1"/>
    </row>
    <row r="2417" spans="1:17" x14ac:dyDescent="0.25">
      <c r="A2417" s="22">
        <v>40768</v>
      </c>
      <c r="Q2417" s="1"/>
    </row>
    <row r="2418" spans="1:17" x14ac:dyDescent="0.25">
      <c r="A2418" s="22">
        <v>40769</v>
      </c>
      <c r="Q2418" s="1"/>
    </row>
    <row r="2419" spans="1:17" x14ac:dyDescent="0.25">
      <c r="A2419" s="22">
        <v>40770</v>
      </c>
      <c r="Q2419" s="1"/>
    </row>
    <row r="2420" spans="1:17" x14ac:dyDescent="0.25">
      <c r="A2420" s="22">
        <v>40771</v>
      </c>
      <c r="Q2420" s="1"/>
    </row>
    <row r="2421" spans="1:17" x14ac:dyDescent="0.25">
      <c r="A2421" s="22">
        <v>40772</v>
      </c>
      <c r="Q2421" s="1"/>
    </row>
    <row r="2422" spans="1:17" x14ac:dyDescent="0.25">
      <c r="A2422" s="22">
        <v>40773</v>
      </c>
      <c r="Q2422" s="1"/>
    </row>
    <row r="2423" spans="1:17" x14ac:dyDescent="0.25">
      <c r="A2423" s="22">
        <v>40774</v>
      </c>
      <c r="Q2423" s="1"/>
    </row>
    <row r="2424" spans="1:17" x14ac:dyDescent="0.25">
      <c r="A2424" s="22">
        <v>40775</v>
      </c>
      <c r="Q2424" s="1"/>
    </row>
    <row r="2425" spans="1:17" x14ac:dyDescent="0.25">
      <c r="A2425" s="22">
        <v>40776</v>
      </c>
      <c r="Q2425" s="1"/>
    </row>
    <row r="2426" spans="1:17" x14ac:dyDescent="0.25">
      <c r="A2426" s="22">
        <v>40777</v>
      </c>
      <c r="Q2426" s="1"/>
    </row>
    <row r="2427" spans="1:17" x14ac:dyDescent="0.25">
      <c r="A2427" s="22">
        <v>40778</v>
      </c>
      <c r="Q2427" s="1"/>
    </row>
    <row r="2428" spans="1:17" x14ac:dyDescent="0.25">
      <c r="A2428" s="22">
        <v>40779</v>
      </c>
      <c r="Q2428" s="1"/>
    </row>
    <row r="2429" spans="1:17" x14ac:dyDescent="0.25">
      <c r="A2429" s="22">
        <v>40780</v>
      </c>
      <c r="Q2429" s="1"/>
    </row>
    <row r="2430" spans="1:17" x14ac:dyDescent="0.25">
      <c r="A2430" s="22">
        <v>40781</v>
      </c>
      <c r="Q2430" s="1"/>
    </row>
    <row r="2431" spans="1:17" x14ac:dyDescent="0.25">
      <c r="A2431" s="22">
        <v>40782</v>
      </c>
      <c r="Q2431" s="1"/>
    </row>
    <row r="2432" spans="1:17" x14ac:dyDescent="0.25">
      <c r="A2432" s="22">
        <v>40783</v>
      </c>
      <c r="Q2432" s="1"/>
    </row>
    <row r="2433" spans="1:17" x14ac:dyDescent="0.25">
      <c r="A2433" s="22">
        <v>40784</v>
      </c>
      <c r="Q2433" s="1"/>
    </row>
    <row r="2434" spans="1:17" x14ac:dyDescent="0.25">
      <c r="A2434" s="22">
        <v>40785</v>
      </c>
      <c r="Q2434" s="1"/>
    </row>
    <row r="2435" spans="1:17" x14ac:dyDescent="0.25">
      <c r="A2435" s="22">
        <v>40786</v>
      </c>
      <c r="Q2435" s="1"/>
    </row>
    <row r="2436" spans="1:17" x14ac:dyDescent="0.25">
      <c r="A2436" s="22">
        <v>40787</v>
      </c>
      <c r="Q2436" s="1"/>
    </row>
    <row r="2437" spans="1:17" x14ac:dyDescent="0.25">
      <c r="A2437" s="22">
        <v>40788</v>
      </c>
      <c r="Q2437" s="1"/>
    </row>
    <row r="2438" spans="1:17" x14ac:dyDescent="0.25">
      <c r="A2438" s="22">
        <v>40789</v>
      </c>
      <c r="Q2438" s="1"/>
    </row>
    <row r="2439" spans="1:17" x14ac:dyDescent="0.25">
      <c r="A2439" s="22">
        <v>40790</v>
      </c>
      <c r="Q2439" s="1"/>
    </row>
    <row r="2440" spans="1:17" x14ac:dyDescent="0.25">
      <c r="A2440" s="22">
        <v>40791</v>
      </c>
      <c r="Q2440" s="1"/>
    </row>
    <row r="2441" spans="1:17" x14ac:dyDescent="0.25">
      <c r="A2441" s="22">
        <v>40792</v>
      </c>
      <c r="Q2441" s="1"/>
    </row>
    <row r="2442" spans="1:17" x14ac:dyDescent="0.25">
      <c r="A2442" s="22">
        <v>40793</v>
      </c>
      <c r="Q2442" s="1"/>
    </row>
    <row r="2443" spans="1:17" x14ac:dyDescent="0.25">
      <c r="A2443" s="22">
        <v>40794</v>
      </c>
      <c r="Q2443" s="1"/>
    </row>
    <row r="2444" spans="1:17" x14ac:dyDescent="0.25">
      <c r="A2444" s="22">
        <v>40795</v>
      </c>
      <c r="Q2444" s="1"/>
    </row>
    <row r="2445" spans="1:17" x14ac:dyDescent="0.25">
      <c r="A2445" s="22">
        <v>40796</v>
      </c>
      <c r="Q2445" s="1"/>
    </row>
    <row r="2446" spans="1:17" x14ac:dyDescent="0.25">
      <c r="A2446" s="22">
        <v>40797</v>
      </c>
      <c r="Q2446" s="1"/>
    </row>
    <row r="2447" spans="1:17" x14ac:dyDescent="0.25">
      <c r="A2447" s="22">
        <v>40798</v>
      </c>
      <c r="Q2447" s="1"/>
    </row>
    <row r="2448" spans="1:17" x14ac:dyDescent="0.25">
      <c r="A2448" s="22">
        <v>40799</v>
      </c>
      <c r="Q2448" s="1"/>
    </row>
    <row r="2449" spans="1:17" x14ac:dyDescent="0.25">
      <c r="A2449" s="22">
        <v>40800</v>
      </c>
      <c r="Q2449" s="1"/>
    </row>
    <row r="2450" spans="1:17" x14ac:dyDescent="0.25">
      <c r="A2450" s="22">
        <v>40801</v>
      </c>
      <c r="Q2450" s="1"/>
    </row>
    <row r="2451" spans="1:17" x14ac:dyDescent="0.25">
      <c r="A2451" s="22">
        <v>40802</v>
      </c>
      <c r="Q2451" s="1"/>
    </row>
    <row r="2452" spans="1:17" x14ac:dyDescent="0.25">
      <c r="A2452" s="22">
        <v>40803</v>
      </c>
      <c r="Q2452" s="1"/>
    </row>
    <row r="2453" spans="1:17" x14ac:dyDescent="0.25">
      <c r="A2453" s="22">
        <v>40804</v>
      </c>
      <c r="Q2453" s="1"/>
    </row>
    <row r="2454" spans="1:17" x14ac:dyDescent="0.25">
      <c r="A2454" s="22">
        <v>40805</v>
      </c>
      <c r="Q2454" s="1"/>
    </row>
    <row r="2455" spans="1:17" x14ac:dyDescent="0.25">
      <c r="A2455" s="22">
        <v>40806</v>
      </c>
      <c r="Q2455" s="1"/>
    </row>
    <row r="2456" spans="1:17" x14ac:dyDescent="0.25">
      <c r="A2456" s="22">
        <v>40807</v>
      </c>
      <c r="Q2456" s="1"/>
    </row>
    <row r="2457" spans="1:17" x14ac:dyDescent="0.25">
      <c r="A2457" s="22">
        <v>40808</v>
      </c>
      <c r="Q2457" s="1"/>
    </row>
    <row r="2458" spans="1:17" x14ac:dyDescent="0.25">
      <c r="A2458" s="22">
        <v>40809</v>
      </c>
      <c r="Q2458" s="1"/>
    </row>
    <row r="2459" spans="1:17" x14ac:dyDescent="0.25">
      <c r="A2459" s="22">
        <v>40810</v>
      </c>
      <c r="Q2459" s="1"/>
    </row>
    <row r="2460" spans="1:17" x14ac:dyDescent="0.25">
      <c r="A2460" s="22">
        <v>40811</v>
      </c>
      <c r="Q2460" s="1"/>
    </row>
    <row r="2461" spans="1:17" x14ac:dyDescent="0.25">
      <c r="A2461" s="22">
        <v>40812</v>
      </c>
      <c r="Q2461" s="1"/>
    </row>
    <row r="2462" spans="1:17" x14ac:dyDescent="0.25">
      <c r="A2462" s="22">
        <v>40813</v>
      </c>
      <c r="Q2462" s="1"/>
    </row>
    <row r="2463" spans="1:17" x14ac:dyDescent="0.25">
      <c r="A2463" s="22">
        <v>40814</v>
      </c>
      <c r="Q2463" s="1"/>
    </row>
    <row r="2464" spans="1:17" x14ac:dyDescent="0.25">
      <c r="A2464" s="22">
        <v>40815</v>
      </c>
      <c r="Q2464" s="1"/>
    </row>
    <row r="2465" spans="1:17" x14ac:dyDescent="0.25">
      <c r="A2465" s="22">
        <v>40816</v>
      </c>
      <c r="Q2465" s="1"/>
    </row>
    <row r="2466" spans="1:17" x14ac:dyDescent="0.25">
      <c r="A2466" s="22">
        <v>40817</v>
      </c>
      <c r="Q2466" s="1"/>
    </row>
    <row r="2467" spans="1:17" x14ac:dyDescent="0.25">
      <c r="A2467" s="22">
        <v>40818</v>
      </c>
      <c r="Q2467" s="1"/>
    </row>
    <row r="2468" spans="1:17" x14ac:dyDescent="0.25">
      <c r="A2468" s="22">
        <v>40819</v>
      </c>
      <c r="Q2468" s="1"/>
    </row>
    <row r="2469" spans="1:17" x14ac:dyDescent="0.25">
      <c r="A2469" s="22">
        <v>40820</v>
      </c>
      <c r="Q2469" s="1"/>
    </row>
    <row r="2470" spans="1:17" x14ac:dyDescent="0.25">
      <c r="A2470" s="22">
        <v>40821</v>
      </c>
      <c r="Q2470" s="1"/>
    </row>
    <row r="2471" spans="1:17" x14ac:dyDescent="0.25">
      <c r="A2471" s="22">
        <v>40822</v>
      </c>
      <c r="Q2471" s="1"/>
    </row>
    <row r="2472" spans="1:17" x14ac:dyDescent="0.25">
      <c r="A2472" s="22">
        <v>40823</v>
      </c>
      <c r="Q2472" s="1"/>
    </row>
    <row r="2473" spans="1:17" x14ac:dyDescent="0.25">
      <c r="A2473" s="22">
        <v>40824</v>
      </c>
      <c r="Q2473" s="1"/>
    </row>
    <row r="2474" spans="1:17" x14ac:dyDescent="0.25">
      <c r="A2474" s="22">
        <v>40825</v>
      </c>
      <c r="Q2474" s="1"/>
    </row>
    <row r="2475" spans="1:17" x14ac:dyDescent="0.25">
      <c r="A2475" s="22">
        <v>40826</v>
      </c>
      <c r="Q2475" s="1"/>
    </row>
    <row r="2476" spans="1:17" x14ac:dyDescent="0.25">
      <c r="A2476" s="22">
        <v>40827</v>
      </c>
      <c r="Q2476" s="1"/>
    </row>
    <row r="2477" spans="1:17" x14ac:dyDescent="0.25">
      <c r="A2477" s="22">
        <v>40828</v>
      </c>
      <c r="Q2477" s="1"/>
    </row>
    <row r="2478" spans="1:17" x14ac:dyDescent="0.25">
      <c r="A2478" s="22">
        <v>40829</v>
      </c>
      <c r="Q2478" s="1"/>
    </row>
    <row r="2479" spans="1:17" x14ac:dyDescent="0.25">
      <c r="A2479" s="22">
        <v>40830</v>
      </c>
      <c r="Q2479" s="1"/>
    </row>
    <row r="2480" spans="1:17" x14ac:dyDescent="0.25">
      <c r="A2480" s="22">
        <v>40831</v>
      </c>
      <c r="Q2480" s="1"/>
    </row>
    <row r="2481" spans="1:17" x14ac:dyDescent="0.25">
      <c r="A2481" s="22">
        <v>40832</v>
      </c>
      <c r="Q2481" s="1"/>
    </row>
    <row r="2482" spans="1:17" x14ac:dyDescent="0.25">
      <c r="A2482" s="22">
        <v>40833</v>
      </c>
      <c r="Q2482" s="1"/>
    </row>
    <row r="2483" spans="1:17" x14ac:dyDescent="0.25">
      <c r="A2483" s="22">
        <v>40834</v>
      </c>
      <c r="Q2483" s="1"/>
    </row>
    <row r="2484" spans="1:17" x14ac:dyDescent="0.25">
      <c r="A2484" s="22">
        <v>40835</v>
      </c>
      <c r="Q2484" s="1"/>
    </row>
    <row r="2485" spans="1:17" x14ac:dyDescent="0.25">
      <c r="A2485" s="22">
        <v>40836</v>
      </c>
      <c r="Q2485" s="1"/>
    </row>
    <row r="2486" spans="1:17" x14ac:dyDescent="0.25">
      <c r="A2486" s="22">
        <v>40837</v>
      </c>
      <c r="Q2486" s="1"/>
    </row>
    <row r="2487" spans="1:17" x14ac:dyDescent="0.25">
      <c r="A2487" s="22">
        <v>40838</v>
      </c>
      <c r="Q2487" s="1"/>
    </row>
    <row r="2488" spans="1:17" x14ac:dyDescent="0.25">
      <c r="A2488" s="22">
        <v>40839</v>
      </c>
      <c r="Q2488" s="1"/>
    </row>
    <row r="2489" spans="1:17" x14ac:dyDescent="0.25">
      <c r="A2489" s="22">
        <v>40840</v>
      </c>
      <c r="Q2489" s="1"/>
    </row>
    <row r="2490" spans="1:17" x14ac:dyDescent="0.25">
      <c r="A2490" s="22">
        <v>40841</v>
      </c>
      <c r="Q2490" s="1"/>
    </row>
    <row r="2491" spans="1:17" x14ac:dyDescent="0.25">
      <c r="A2491" s="22">
        <v>40842</v>
      </c>
      <c r="Q2491" s="1"/>
    </row>
    <row r="2492" spans="1:17" x14ac:dyDescent="0.25">
      <c r="A2492" s="22">
        <v>40843</v>
      </c>
      <c r="Q2492" s="1"/>
    </row>
    <row r="2493" spans="1:17" x14ac:dyDescent="0.25">
      <c r="A2493" s="22">
        <v>40844</v>
      </c>
      <c r="Q2493" s="1"/>
    </row>
    <row r="2494" spans="1:17" x14ac:dyDescent="0.25">
      <c r="A2494" s="22">
        <v>40845</v>
      </c>
      <c r="Q2494" s="1"/>
    </row>
    <row r="2495" spans="1:17" x14ac:dyDescent="0.25">
      <c r="A2495" s="22">
        <v>40846</v>
      </c>
      <c r="Q2495" s="1"/>
    </row>
    <row r="2496" spans="1:17" x14ac:dyDescent="0.25">
      <c r="A2496" s="22">
        <v>40847</v>
      </c>
      <c r="Q2496" s="1"/>
    </row>
    <row r="2497" spans="1:17" x14ac:dyDescent="0.25">
      <c r="A2497" s="22">
        <v>40848</v>
      </c>
      <c r="Q2497" s="1"/>
    </row>
    <row r="2498" spans="1:17" x14ac:dyDescent="0.25">
      <c r="A2498" s="22">
        <v>40849</v>
      </c>
      <c r="Q2498" s="1"/>
    </row>
    <row r="2499" spans="1:17" x14ac:dyDescent="0.25">
      <c r="A2499" s="22">
        <v>40850</v>
      </c>
      <c r="Q2499" s="1"/>
    </row>
    <row r="2500" spans="1:17" x14ac:dyDescent="0.25">
      <c r="A2500" s="22">
        <v>40851</v>
      </c>
      <c r="Q2500" s="1"/>
    </row>
    <row r="2501" spans="1:17" x14ac:dyDescent="0.25">
      <c r="A2501" s="22">
        <v>40852</v>
      </c>
      <c r="Q2501" s="1"/>
    </row>
    <row r="2502" spans="1:17" x14ac:dyDescent="0.25">
      <c r="A2502" s="22">
        <v>40853</v>
      </c>
      <c r="Q2502" s="1"/>
    </row>
    <row r="2503" spans="1:17" x14ac:dyDescent="0.25">
      <c r="A2503" s="22">
        <v>40854</v>
      </c>
      <c r="Q2503" s="1"/>
    </row>
    <row r="2504" spans="1:17" x14ac:dyDescent="0.25">
      <c r="A2504" s="22">
        <v>40855</v>
      </c>
      <c r="Q2504" s="1"/>
    </row>
    <row r="2505" spans="1:17" x14ac:dyDescent="0.25">
      <c r="A2505" s="22">
        <v>40856</v>
      </c>
      <c r="Q2505" s="1"/>
    </row>
    <row r="2506" spans="1:17" x14ac:dyDescent="0.25">
      <c r="A2506" s="22">
        <v>40857</v>
      </c>
      <c r="Q2506" s="1"/>
    </row>
    <row r="2507" spans="1:17" x14ac:dyDescent="0.25">
      <c r="A2507" s="22">
        <v>40858</v>
      </c>
      <c r="Q2507" s="1"/>
    </row>
    <row r="2508" spans="1:17" x14ac:dyDescent="0.25">
      <c r="A2508" s="22">
        <v>40859</v>
      </c>
      <c r="Q2508" s="1"/>
    </row>
    <row r="2509" spans="1:17" x14ac:dyDescent="0.25">
      <c r="A2509" s="22">
        <v>40860</v>
      </c>
      <c r="Q2509" s="1"/>
    </row>
    <row r="2510" spans="1:17" x14ac:dyDescent="0.25">
      <c r="A2510" s="22">
        <v>40861</v>
      </c>
      <c r="Q2510" s="1"/>
    </row>
    <row r="2511" spans="1:17" x14ac:dyDescent="0.25">
      <c r="A2511" s="22">
        <v>40862</v>
      </c>
      <c r="Q2511" s="1"/>
    </row>
    <row r="2512" spans="1:17" x14ac:dyDescent="0.25">
      <c r="A2512" s="22">
        <v>40863</v>
      </c>
      <c r="Q2512" s="1"/>
    </row>
    <row r="2513" spans="1:17" x14ac:dyDescent="0.25">
      <c r="A2513" s="22">
        <v>40864</v>
      </c>
      <c r="Q2513" s="1"/>
    </row>
    <row r="2514" spans="1:17" x14ac:dyDescent="0.25">
      <c r="A2514" s="22">
        <v>40865</v>
      </c>
      <c r="Q2514" s="1"/>
    </row>
    <row r="2515" spans="1:17" x14ac:dyDescent="0.25">
      <c r="A2515" s="22">
        <v>40866</v>
      </c>
      <c r="Q2515" s="1"/>
    </row>
    <row r="2516" spans="1:17" x14ac:dyDescent="0.25">
      <c r="A2516" s="22">
        <v>40867</v>
      </c>
      <c r="Q2516" s="1"/>
    </row>
    <row r="2517" spans="1:17" x14ac:dyDescent="0.25">
      <c r="A2517" s="22">
        <v>40868</v>
      </c>
      <c r="Q2517" s="1"/>
    </row>
    <row r="2518" spans="1:17" x14ac:dyDescent="0.25">
      <c r="A2518" s="22">
        <v>40869</v>
      </c>
      <c r="Q2518" s="1"/>
    </row>
    <row r="2519" spans="1:17" x14ac:dyDescent="0.25">
      <c r="A2519" s="22">
        <v>40870</v>
      </c>
      <c r="Q2519" s="1"/>
    </row>
    <row r="2520" spans="1:17" x14ac:dyDescent="0.25">
      <c r="A2520" s="22">
        <v>40871</v>
      </c>
      <c r="Q2520" s="1"/>
    </row>
    <row r="2521" spans="1:17" x14ac:dyDescent="0.25">
      <c r="A2521" s="22">
        <v>40872</v>
      </c>
      <c r="Q2521" s="1"/>
    </row>
    <row r="2522" spans="1:17" x14ac:dyDescent="0.25">
      <c r="A2522" s="22">
        <v>40873</v>
      </c>
      <c r="Q2522" s="1"/>
    </row>
    <row r="2523" spans="1:17" x14ac:dyDescent="0.25">
      <c r="A2523" s="22">
        <v>40874</v>
      </c>
      <c r="Q2523" s="1"/>
    </row>
    <row r="2524" spans="1:17" x14ac:dyDescent="0.25">
      <c r="A2524" s="22">
        <v>40875</v>
      </c>
      <c r="Q2524" s="1"/>
    </row>
    <row r="2525" spans="1:17" x14ac:dyDescent="0.25">
      <c r="A2525" s="22">
        <v>40876</v>
      </c>
      <c r="Q2525" s="1"/>
    </row>
    <row r="2526" spans="1:17" x14ac:dyDescent="0.25">
      <c r="A2526" s="22">
        <v>40877</v>
      </c>
      <c r="Q2526" s="1"/>
    </row>
    <row r="2527" spans="1:17" x14ac:dyDescent="0.25">
      <c r="A2527" s="22">
        <v>40878</v>
      </c>
      <c r="Q2527" s="1"/>
    </row>
    <row r="2528" spans="1:17" x14ac:dyDescent="0.25">
      <c r="A2528" s="22">
        <v>40879</v>
      </c>
      <c r="Q2528" s="1"/>
    </row>
    <row r="2529" spans="1:17" x14ac:dyDescent="0.25">
      <c r="A2529" s="22">
        <v>40880</v>
      </c>
      <c r="Q2529" s="1"/>
    </row>
    <row r="2530" spans="1:17" x14ac:dyDescent="0.25">
      <c r="A2530" s="22">
        <v>40881</v>
      </c>
      <c r="Q2530" s="1"/>
    </row>
    <row r="2531" spans="1:17" x14ac:dyDescent="0.25">
      <c r="A2531" s="22">
        <v>40882</v>
      </c>
      <c r="Q2531" s="1"/>
    </row>
    <row r="2532" spans="1:17" x14ac:dyDescent="0.25">
      <c r="A2532" s="22">
        <v>40883</v>
      </c>
      <c r="Q2532" s="1"/>
    </row>
    <row r="2533" spans="1:17" x14ac:dyDescent="0.25">
      <c r="A2533" s="22">
        <v>40884</v>
      </c>
      <c r="Q2533" s="1"/>
    </row>
    <row r="2534" spans="1:17" x14ac:dyDescent="0.25">
      <c r="A2534" s="22">
        <v>40885</v>
      </c>
      <c r="Q2534" s="1"/>
    </row>
    <row r="2535" spans="1:17" x14ac:dyDescent="0.25">
      <c r="A2535" s="22">
        <v>40886</v>
      </c>
      <c r="Q2535" s="1"/>
    </row>
    <row r="2536" spans="1:17" x14ac:dyDescent="0.25">
      <c r="A2536" s="22">
        <v>40887</v>
      </c>
      <c r="Q2536" s="1"/>
    </row>
    <row r="2537" spans="1:17" x14ac:dyDescent="0.25">
      <c r="A2537" s="22">
        <v>40888</v>
      </c>
      <c r="Q2537" s="1"/>
    </row>
    <row r="2538" spans="1:17" x14ac:dyDescent="0.25">
      <c r="A2538" s="22">
        <v>40889</v>
      </c>
      <c r="Q2538" s="1"/>
    </row>
    <row r="2539" spans="1:17" x14ac:dyDescent="0.25">
      <c r="A2539" s="22">
        <v>40890</v>
      </c>
      <c r="Q2539" s="1"/>
    </row>
    <row r="2540" spans="1:17" x14ac:dyDescent="0.25">
      <c r="A2540" s="22">
        <v>40891</v>
      </c>
      <c r="Q2540" s="1"/>
    </row>
    <row r="2541" spans="1:17" x14ac:dyDescent="0.25">
      <c r="A2541" s="22">
        <v>40892</v>
      </c>
      <c r="Q2541" s="1"/>
    </row>
    <row r="2542" spans="1:17" x14ac:dyDescent="0.25">
      <c r="A2542" s="22">
        <v>40893</v>
      </c>
      <c r="Q2542" s="1"/>
    </row>
    <row r="2543" spans="1:17" x14ac:dyDescent="0.25">
      <c r="A2543" s="22">
        <v>40894</v>
      </c>
      <c r="Q2543" s="1"/>
    </row>
    <row r="2544" spans="1:17" x14ac:dyDescent="0.25">
      <c r="A2544" s="22">
        <v>40895</v>
      </c>
      <c r="Q2544" s="1"/>
    </row>
    <row r="2545" spans="1:17" x14ac:dyDescent="0.25">
      <c r="A2545" s="22">
        <v>40896</v>
      </c>
      <c r="Q2545" s="1"/>
    </row>
    <row r="2546" spans="1:17" x14ac:dyDescent="0.25">
      <c r="A2546" s="22">
        <v>40897</v>
      </c>
      <c r="Q2546" s="1"/>
    </row>
    <row r="2547" spans="1:17" x14ac:dyDescent="0.25">
      <c r="A2547" s="22">
        <v>40898</v>
      </c>
      <c r="Q2547" s="1"/>
    </row>
    <row r="2548" spans="1:17" x14ac:dyDescent="0.25">
      <c r="A2548" s="22">
        <v>40899</v>
      </c>
      <c r="Q2548" s="1"/>
    </row>
    <row r="2549" spans="1:17" x14ac:dyDescent="0.25">
      <c r="A2549" s="22">
        <v>40900</v>
      </c>
      <c r="Q2549" s="1"/>
    </row>
    <row r="2550" spans="1:17" x14ac:dyDescent="0.25">
      <c r="A2550" s="22">
        <v>40901</v>
      </c>
      <c r="Q2550" s="1"/>
    </row>
    <row r="2551" spans="1:17" x14ac:dyDescent="0.25">
      <c r="A2551" s="22">
        <v>40902</v>
      </c>
      <c r="Q2551" s="1"/>
    </row>
    <row r="2552" spans="1:17" x14ac:dyDescent="0.25">
      <c r="A2552" s="22">
        <v>40903</v>
      </c>
      <c r="Q2552" s="1"/>
    </row>
    <row r="2553" spans="1:17" x14ac:dyDescent="0.25">
      <c r="A2553" s="22">
        <v>40904</v>
      </c>
      <c r="Q2553" s="1"/>
    </row>
    <row r="2554" spans="1:17" x14ac:dyDescent="0.25">
      <c r="A2554" s="22">
        <v>40905</v>
      </c>
      <c r="Q2554" s="1"/>
    </row>
    <row r="2555" spans="1:17" x14ac:dyDescent="0.25">
      <c r="A2555" s="22">
        <v>40906</v>
      </c>
      <c r="Q2555" s="1"/>
    </row>
    <row r="2556" spans="1:17" x14ac:dyDescent="0.25">
      <c r="A2556" s="22">
        <v>40907</v>
      </c>
      <c r="Q2556" s="1"/>
    </row>
    <row r="2557" spans="1:17" x14ac:dyDescent="0.25">
      <c r="A2557" s="22">
        <v>40908</v>
      </c>
    </row>
    <row r="2558" spans="1:17" x14ac:dyDescent="0.25">
      <c r="A2558" s="22">
        <v>40909</v>
      </c>
      <c r="K2558" s="24">
        <v>0</v>
      </c>
      <c r="Q2558" s="24"/>
    </row>
    <row r="2559" spans="1:17" x14ac:dyDescent="0.25">
      <c r="A2559" s="22">
        <v>40910</v>
      </c>
      <c r="K2559" s="24">
        <v>0</v>
      </c>
      <c r="Q2559" s="24"/>
    </row>
    <row r="2560" spans="1:17" x14ac:dyDescent="0.25">
      <c r="A2560" s="22">
        <v>40911</v>
      </c>
      <c r="K2560" s="24">
        <v>79.7</v>
      </c>
      <c r="Q2560" s="24"/>
    </row>
    <row r="2561" spans="1:17" x14ac:dyDescent="0.25">
      <c r="A2561" s="22">
        <v>40912</v>
      </c>
      <c r="K2561" s="24">
        <v>67.599999999999994</v>
      </c>
      <c r="Q2561" s="24"/>
    </row>
    <row r="2562" spans="1:17" x14ac:dyDescent="0.25">
      <c r="A2562" s="22">
        <v>40913</v>
      </c>
      <c r="K2562" s="24">
        <v>30.2</v>
      </c>
      <c r="Q2562" s="24"/>
    </row>
    <row r="2563" spans="1:17" x14ac:dyDescent="0.25">
      <c r="A2563" s="22">
        <v>40914</v>
      </c>
      <c r="K2563" s="24">
        <v>4.5</v>
      </c>
      <c r="Q2563" s="24"/>
    </row>
    <row r="2564" spans="1:17" x14ac:dyDescent="0.25">
      <c r="A2564" s="22">
        <v>40915</v>
      </c>
      <c r="K2564" s="24">
        <v>6.2</v>
      </c>
      <c r="Q2564" s="24"/>
    </row>
    <row r="2565" spans="1:17" x14ac:dyDescent="0.25">
      <c r="A2565" s="22">
        <v>40916</v>
      </c>
      <c r="K2565" s="24">
        <v>0</v>
      </c>
      <c r="Q2565" s="24"/>
    </row>
    <row r="2566" spans="1:17" x14ac:dyDescent="0.25">
      <c r="A2566" s="22">
        <v>40917</v>
      </c>
      <c r="K2566" s="24">
        <v>0</v>
      </c>
      <c r="Q2566" s="24"/>
    </row>
    <row r="2567" spans="1:17" x14ac:dyDescent="0.25">
      <c r="A2567" s="22">
        <v>40918</v>
      </c>
      <c r="K2567" s="24">
        <v>0</v>
      </c>
      <c r="Q2567" s="24"/>
    </row>
    <row r="2568" spans="1:17" x14ac:dyDescent="0.25">
      <c r="A2568" s="22">
        <v>40919</v>
      </c>
      <c r="K2568" s="24">
        <v>0</v>
      </c>
      <c r="Q2568" s="24"/>
    </row>
    <row r="2569" spans="1:17" x14ac:dyDescent="0.25">
      <c r="A2569" s="22">
        <v>40920</v>
      </c>
      <c r="K2569" s="24">
        <v>0</v>
      </c>
      <c r="Q2569" s="24"/>
    </row>
    <row r="2570" spans="1:17" x14ac:dyDescent="0.25">
      <c r="A2570" s="22">
        <v>40921</v>
      </c>
      <c r="K2570" s="24">
        <v>0</v>
      </c>
      <c r="Q2570" s="24"/>
    </row>
    <row r="2571" spans="1:17" x14ac:dyDescent="0.25">
      <c r="A2571" s="22">
        <v>40922</v>
      </c>
      <c r="K2571" s="24">
        <v>2.2000000000000002</v>
      </c>
      <c r="Q2571" s="24"/>
    </row>
    <row r="2572" spans="1:17" x14ac:dyDescent="0.25">
      <c r="A2572" s="22">
        <v>40923</v>
      </c>
      <c r="K2572" s="24">
        <v>32</v>
      </c>
      <c r="Q2572" s="24"/>
    </row>
    <row r="2573" spans="1:17" x14ac:dyDescent="0.25">
      <c r="A2573" s="22">
        <v>40924</v>
      </c>
      <c r="K2573" s="24">
        <v>9.6</v>
      </c>
      <c r="Q2573" s="24"/>
    </row>
    <row r="2574" spans="1:17" x14ac:dyDescent="0.25">
      <c r="A2574" s="22">
        <v>40925</v>
      </c>
      <c r="K2574" s="24">
        <v>0</v>
      </c>
      <c r="Q2574" s="24"/>
    </row>
    <row r="2575" spans="1:17" x14ac:dyDescent="0.25">
      <c r="A2575" s="22">
        <v>40926</v>
      </c>
      <c r="K2575" s="24">
        <v>0</v>
      </c>
      <c r="Q2575" s="24"/>
    </row>
    <row r="2576" spans="1:17" x14ac:dyDescent="0.25">
      <c r="A2576" s="22">
        <v>40927</v>
      </c>
      <c r="K2576" s="24">
        <v>0</v>
      </c>
      <c r="Q2576" s="24"/>
    </row>
    <row r="2577" spans="1:17" x14ac:dyDescent="0.25">
      <c r="A2577" s="22">
        <v>40928</v>
      </c>
      <c r="K2577" s="24">
        <v>45.8</v>
      </c>
      <c r="Q2577" s="24"/>
    </row>
    <row r="2578" spans="1:17" x14ac:dyDescent="0.25">
      <c r="A2578" s="22">
        <v>40929</v>
      </c>
      <c r="K2578" s="24">
        <v>2.2000000000000002</v>
      </c>
      <c r="Q2578" s="24"/>
    </row>
    <row r="2579" spans="1:17" x14ac:dyDescent="0.25">
      <c r="A2579" s="22">
        <v>40930</v>
      </c>
      <c r="K2579" s="24">
        <v>0</v>
      </c>
      <c r="Q2579" s="24"/>
    </row>
    <row r="2580" spans="1:17" x14ac:dyDescent="0.25">
      <c r="A2580" s="22">
        <v>40931</v>
      </c>
      <c r="K2580" s="24">
        <v>44.4</v>
      </c>
      <c r="Q2580" s="24"/>
    </row>
    <row r="2581" spans="1:17" x14ac:dyDescent="0.25">
      <c r="A2581" s="22">
        <v>40932</v>
      </c>
      <c r="K2581" s="24">
        <v>0.2</v>
      </c>
      <c r="Q2581" s="24"/>
    </row>
    <row r="2582" spans="1:17" x14ac:dyDescent="0.25">
      <c r="A2582" s="22">
        <v>40933</v>
      </c>
      <c r="K2582" s="24">
        <v>0</v>
      </c>
      <c r="Q2582" s="24"/>
    </row>
    <row r="2583" spans="1:17" x14ac:dyDescent="0.25">
      <c r="A2583" s="22">
        <v>40934</v>
      </c>
      <c r="K2583" s="24">
        <v>2.2000000000000002</v>
      </c>
      <c r="Q2583" s="24"/>
    </row>
    <row r="2584" spans="1:17" x14ac:dyDescent="0.25">
      <c r="A2584" s="22">
        <v>40935</v>
      </c>
      <c r="K2584" s="24">
        <v>17</v>
      </c>
      <c r="Q2584" s="24"/>
    </row>
    <row r="2585" spans="1:17" x14ac:dyDescent="0.25">
      <c r="A2585" s="22">
        <v>40936</v>
      </c>
      <c r="K2585" s="24">
        <v>0</v>
      </c>
      <c r="Q2585" s="24"/>
    </row>
    <row r="2586" spans="1:17" x14ac:dyDescent="0.25">
      <c r="A2586" s="22">
        <v>40937</v>
      </c>
      <c r="K2586" s="24">
        <v>7.5</v>
      </c>
      <c r="Q2586" s="24"/>
    </row>
    <row r="2587" spans="1:17" x14ac:dyDescent="0.25">
      <c r="A2587" s="22">
        <v>40938</v>
      </c>
      <c r="K2587" s="24">
        <v>0</v>
      </c>
      <c r="Q2587" s="24"/>
    </row>
    <row r="2588" spans="1:17" x14ac:dyDescent="0.25">
      <c r="A2588" s="22">
        <v>40939</v>
      </c>
      <c r="K2588" s="24">
        <v>0</v>
      </c>
      <c r="Q2588" s="24"/>
    </row>
    <row r="2589" spans="1:17" x14ac:dyDescent="0.25">
      <c r="A2589" s="22">
        <v>40940</v>
      </c>
      <c r="K2589" s="24">
        <v>0</v>
      </c>
      <c r="Q2589" s="24">
        <v>0.3</v>
      </c>
    </row>
    <row r="2590" spans="1:17" x14ac:dyDescent="0.25">
      <c r="A2590" s="22">
        <v>40941</v>
      </c>
      <c r="K2590" s="24">
        <v>0</v>
      </c>
      <c r="Q2590" s="24">
        <v>2.6</v>
      </c>
    </row>
    <row r="2591" spans="1:17" x14ac:dyDescent="0.25">
      <c r="A2591" s="22">
        <v>40942</v>
      </c>
      <c r="K2591" s="24">
        <v>1.6</v>
      </c>
      <c r="Q2591" s="24">
        <v>0</v>
      </c>
    </row>
    <row r="2592" spans="1:17" x14ac:dyDescent="0.25">
      <c r="A2592" s="22">
        <v>40943</v>
      </c>
      <c r="K2592" s="24">
        <v>0</v>
      </c>
      <c r="Q2592" s="24">
        <v>0</v>
      </c>
    </row>
    <row r="2593" spans="1:17" x14ac:dyDescent="0.25">
      <c r="A2593" s="22">
        <v>40944</v>
      </c>
      <c r="K2593" s="24">
        <v>0</v>
      </c>
      <c r="Q2593" s="24">
        <v>0.5</v>
      </c>
    </row>
    <row r="2594" spans="1:17" x14ac:dyDescent="0.25">
      <c r="A2594" s="22">
        <v>40945</v>
      </c>
      <c r="K2594" s="24">
        <v>0</v>
      </c>
      <c r="Q2594" s="24">
        <v>1.3</v>
      </c>
    </row>
    <row r="2595" spans="1:17" x14ac:dyDescent="0.25">
      <c r="A2595" s="22">
        <v>40946</v>
      </c>
      <c r="K2595" s="24">
        <v>0</v>
      </c>
      <c r="Q2595" s="24">
        <v>3.3</v>
      </c>
    </row>
    <row r="2596" spans="1:17" x14ac:dyDescent="0.25">
      <c r="A2596" s="22">
        <v>40947</v>
      </c>
      <c r="K2596" s="24">
        <v>13.3</v>
      </c>
      <c r="Q2596" s="24">
        <v>86.2</v>
      </c>
    </row>
    <row r="2597" spans="1:17" x14ac:dyDescent="0.25">
      <c r="A2597" s="22">
        <v>40948</v>
      </c>
      <c r="K2597" s="24">
        <v>0</v>
      </c>
      <c r="Q2597" s="24">
        <v>3.1</v>
      </c>
    </row>
    <row r="2598" spans="1:17" x14ac:dyDescent="0.25">
      <c r="A2598" s="22">
        <v>40949</v>
      </c>
      <c r="K2598" s="24">
        <v>0</v>
      </c>
      <c r="Q2598" s="24">
        <v>9.5</v>
      </c>
    </row>
    <row r="2599" spans="1:17" x14ac:dyDescent="0.25">
      <c r="A2599" s="22">
        <v>40950</v>
      </c>
      <c r="K2599" s="24">
        <v>0</v>
      </c>
      <c r="Q2599" s="24">
        <v>8.4</v>
      </c>
    </row>
    <row r="2600" spans="1:17" x14ac:dyDescent="0.25">
      <c r="A2600" s="22">
        <v>40951</v>
      </c>
      <c r="K2600" s="24">
        <v>86.1</v>
      </c>
      <c r="Q2600" s="24">
        <v>0.1</v>
      </c>
    </row>
    <row r="2601" spans="1:17" x14ac:dyDescent="0.25">
      <c r="A2601" s="22">
        <v>40952</v>
      </c>
      <c r="K2601" s="24">
        <v>2.2000000000000002</v>
      </c>
      <c r="Q2601" s="24">
        <v>0.3</v>
      </c>
    </row>
    <row r="2602" spans="1:17" x14ac:dyDescent="0.25">
      <c r="A2602" s="22">
        <v>40953</v>
      </c>
      <c r="K2602" s="24">
        <v>3.1</v>
      </c>
      <c r="Q2602" s="24">
        <v>1.5</v>
      </c>
    </row>
    <row r="2603" spans="1:17" x14ac:dyDescent="0.25">
      <c r="A2603" s="22">
        <v>40954</v>
      </c>
      <c r="K2603" s="24">
        <v>4</v>
      </c>
      <c r="Q2603" s="24">
        <v>9.3000000000000007</v>
      </c>
    </row>
    <row r="2604" spans="1:17" x14ac:dyDescent="0.25">
      <c r="A2604" s="22">
        <v>40955</v>
      </c>
      <c r="K2604" s="24">
        <v>8.5</v>
      </c>
      <c r="Q2604" s="24">
        <v>22.9</v>
      </c>
    </row>
    <row r="2605" spans="1:17" x14ac:dyDescent="0.25">
      <c r="A2605" s="22">
        <v>40956</v>
      </c>
      <c r="K2605" s="24">
        <v>7.3</v>
      </c>
      <c r="Q2605" s="24">
        <v>0</v>
      </c>
    </row>
    <row r="2606" spans="1:17" x14ac:dyDescent="0.25">
      <c r="A2606" s="22">
        <v>40957</v>
      </c>
      <c r="K2606" s="24">
        <v>0</v>
      </c>
      <c r="Q2606" s="24">
        <v>0.2</v>
      </c>
    </row>
    <row r="2607" spans="1:17" x14ac:dyDescent="0.25">
      <c r="A2607" s="22">
        <v>40958</v>
      </c>
      <c r="K2607" s="24">
        <v>0</v>
      </c>
      <c r="Q2607" s="24">
        <v>5.8</v>
      </c>
    </row>
    <row r="2608" spans="1:17" x14ac:dyDescent="0.25">
      <c r="A2608" s="22">
        <v>40959</v>
      </c>
      <c r="K2608" s="24">
        <v>7.2</v>
      </c>
      <c r="Q2608" s="24">
        <v>0.2</v>
      </c>
    </row>
    <row r="2609" spans="1:17" x14ac:dyDescent="0.25">
      <c r="A2609" s="22">
        <v>40960</v>
      </c>
      <c r="K2609" s="24">
        <v>0</v>
      </c>
      <c r="Q2609" s="24">
        <v>4.0999999999999996</v>
      </c>
    </row>
    <row r="2610" spans="1:17" x14ac:dyDescent="0.25">
      <c r="A2610" s="22">
        <v>40961</v>
      </c>
      <c r="K2610" s="24">
        <v>1.9</v>
      </c>
      <c r="Q2610" s="24">
        <v>0</v>
      </c>
    </row>
    <row r="2611" spans="1:17" x14ac:dyDescent="0.25">
      <c r="A2611" s="22">
        <v>40962</v>
      </c>
      <c r="K2611" s="24">
        <v>0</v>
      </c>
      <c r="Q2611" s="24">
        <v>0.8</v>
      </c>
    </row>
    <row r="2612" spans="1:17" x14ac:dyDescent="0.25">
      <c r="A2612" s="22">
        <v>40963</v>
      </c>
      <c r="K2612" s="24">
        <v>0</v>
      </c>
      <c r="Q2612" s="24">
        <v>3.1</v>
      </c>
    </row>
    <row r="2613" spans="1:17" x14ac:dyDescent="0.25">
      <c r="A2613" s="22">
        <v>40964</v>
      </c>
      <c r="K2613" s="24">
        <v>0</v>
      </c>
      <c r="Q2613" s="24">
        <v>8.8000000000000007</v>
      </c>
    </row>
    <row r="2614" spans="1:17" x14ac:dyDescent="0.25">
      <c r="A2614" s="22">
        <v>40965</v>
      </c>
      <c r="K2614" s="24">
        <v>0</v>
      </c>
      <c r="Q2614" s="24">
        <v>0</v>
      </c>
    </row>
    <row r="2615" spans="1:17" x14ac:dyDescent="0.25">
      <c r="A2615" s="22">
        <v>40966</v>
      </c>
      <c r="K2615" s="24">
        <v>6.4</v>
      </c>
      <c r="Q2615" s="24">
        <v>3.6</v>
      </c>
    </row>
    <row r="2616" spans="1:17" x14ac:dyDescent="0.25">
      <c r="A2616" s="22">
        <v>40967</v>
      </c>
      <c r="K2616" s="24">
        <v>7.6</v>
      </c>
      <c r="Q2616" s="24">
        <v>7.6</v>
      </c>
    </row>
    <row r="2617" spans="1:17" x14ac:dyDescent="0.25">
      <c r="A2617" s="22">
        <v>40968</v>
      </c>
      <c r="K2617" s="24">
        <v>8.8000000000000007</v>
      </c>
      <c r="Q2617" s="24">
        <v>104.7</v>
      </c>
    </row>
    <row r="2618" spans="1:17" x14ac:dyDescent="0.25">
      <c r="A2618" s="22">
        <v>40969</v>
      </c>
      <c r="K2618" s="1">
        <v>69.099999999999994</v>
      </c>
      <c r="Q2618" s="1">
        <v>140.19999999999999</v>
      </c>
    </row>
    <row r="2619" spans="1:17" x14ac:dyDescent="0.25">
      <c r="A2619" s="22">
        <v>40970</v>
      </c>
      <c r="K2619" s="1">
        <v>75.400000000000006</v>
      </c>
      <c r="Q2619" s="1">
        <v>0.5</v>
      </c>
    </row>
    <row r="2620" spans="1:17" x14ac:dyDescent="0.25">
      <c r="A2620" s="22">
        <v>40971</v>
      </c>
      <c r="K2620" s="1">
        <v>3.5</v>
      </c>
      <c r="Q2620" s="1">
        <v>2.5</v>
      </c>
    </row>
    <row r="2621" spans="1:17" x14ac:dyDescent="0.25">
      <c r="A2621" s="22">
        <v>40972</v>
      </c>
      <c r="K2621" s="1">
        <v>3.5</v>
      </c>
      <c r="Q2621" s="1">
        <v>12.2</v>
      </c>
    </row>
    <row r="2622" spans="1:17" x14ac:dyDescent="0.25">
      <c r="A2622" s="22">
        <v>40973</v>
      </c>
      <c r="K2622" s="1">
        <v>45.2</v>
      </c>
      <c r="Q2622" s="1">
        <v>11.8</v>
      </c>
    </row>
    <row r="2623" spans="1:17" x14ac:dyDescent="0.25">
      <c r="A2623" s="22">
        <v>40974</v>
      </c>
      <c r="K2623" s="1">
        <v>10.4</v>
      </c>
      <c r="Q2623" s="1">
        <v>0</v>
      </c>
    </row>
    <row r="2624" spans="1:17" x14ac:dyDescent="0.25">
      <c r="A2624" s="22">
        <v>40975</v>
      </c>
      <c r="K2624" s="1">
        <v>0</v>
      </c>
      <c r="Q2624" s="1">
        <v>0.3</v>
      </c>
    </row>
    <row r="2625" spans="1:17" x14ac:dyDescent="0.25">
      <c r="A2625" s="22">
        <v>40976</v>
      </c>
      <c r="K2625" s="1">
        <v>9.1999999999999993</v>
      </c>
      <c r="Q2625" s="1">
        <v>4.5999999999999996</v>
      </c>
    </row>
    <row r="2626" spans="1:17" x14ac:dyDescent="0.25">
      <c r="A2626" s="22">
        <v>40977</v>
      </c>
      <c r="K2626" s="1">
        <v>46.2</v>
      </c>
      <c r="Q2626" s="1">
        <v>8.1999999999999993</v>
      </c>
    </row>
    <row r="2627" spans="1:17" x14ac:dyDescent="0.25">
      <c r="A2627" s="22">
        <v>40978</v>
      </c>
      <c r="K2627" s="1">
        <v>7.9</v>
      </c>
      <c r="Q2627" s="1">
        <v>12.6</v>
      </c>
    </row>
    <row r="2628" spans="1:17" x14ac:dyDescent="0.25">
      <c r="A2628" s="22">
        <v>40979</v>
      </c>
      <c r="K2628" s="1">
        <v>23.2</v>
      </c>
      <c r="Q2628" s="1">
        <v>0</v>
      </c>
    </row>
    <row r="2629" spans="1:17" x14ac:dyDescent="0.25">
      <c r="A2629" s="22">
        <v>40980</v>
      </c>
      <c r="K2629" s="1">
        <v>0</v>
      </c>
      <c r="Q2629" s="1">
        <v>0</v>
      </c>
    </row>
    <row r="2630" spans="1:17" x14ac:dyDescent="0.25">
      <c r="A2630" s="22">
        <v>40981</v>
      </c>
      <c r="K2630" s="1">
        <v>0</v>
      </c>
      <c r="Q2630" s="1">
        <v>0</v>
      </c>
    </row>
    <row r="2631" spans="1:17" x14ac:dyDescent="0.25">
      <c r="A2631" s="22">
        <v>40982</v>
      </c>
      <c r="K2631" s="1">
        <v>0</v>
      </c>
      <c r="Q2631" s="1">
        <v>0</v>
      </c>
    </row>
    <row r="2632" spans="1:17" x14ac:dyDescent="0.25">
      <c r="A2632" s="22">
        <v>40983</v>
      </c>
      <c r="K2632" s="1">
        <v>0</v>
      </c>
      <c r="Q2632" s="1">
        <v>44.1</v>
      </c>
    </row>
    <row r="2633" spans="1:17" x14ac:dyDescent="0.25">
      <c r="A2633" s="22">
        <v>40984</v>
      </c>
      <c r="K2633" s="1">
        <v>17.899999999999999</v>
      </c>
      <c r="Q2633" s="1">
        <v>42.5</v>
      </c>
    </row>
    <row r="2634" spans="1:17" x14ac:dyDescent="0.25">
      <c r="A2634" s="22">
        <v>40985</v>
      </c>
      <c r="K2634" s="1">
        <v>18.399999999999999</v>
      </c>
      <c r="Q2634" s="1">
        <v>0.5</v>
      </c>
    </row>
    <row r="2635" spans="1:17" x14ac:dyDescent="0.25">
      <c r="A2635" s="22">
        <v>40986</v>
      </c>
      <c r="K2635" s="1">
        <v>4.4000000000000004</v>
      </c>
      <c r="Q2635" s="1">
        <v>0</v>
      </c>
    </row>
    <row r="2636" spans="1:17" x14ac:dyDescent="0.25">
      <c r="A2636" s="22">
        <v>40987</v>
      </c>
      <c r="K2636" s="1">
        <v>3.4</v>
      </c>
      <c r="Q2636" s="1">
        <v>0.8</v>
      </c>
    </row>
    <row r="2637" spans="1:17" x14ac:dyDescent="0.25">
      <c r="A2637" s="22">
        <v>40988</v>
      </c>
      <c r="K2637" s="1">
        <v>4.2</v>
      </c>
      <c r="Q2637" s="1">
        <v>11.3</v>
      </c>
    </row>
    <row r="2638" spans="1:17" x14ac:dyDescent="0.25">
      <c r="A2638" s="22">
        <v>40989</v>
      </c>
      <c r="K2638" s="1">
        <v>6.4</v>
      </c>
      <c r="Q2638" s="1">
        <v>19.2</v>
      </c>
    </row>
    <row r="2639" spans="1:17" x14ac:dyDescent="0.25">
      <c r="A2639" s="22">
        <v>40990</v>
      </c>
      <c r="K2639" s="1">
        <v>6.5</v>
      </c>
      <c r="Q2639" s="1">
        <v>5.3</v>
      </c>
    </row>
    <row r="2640" spans="1:17" x14ac:dyDescent="0.25">
      <c r="A2640" s="22">
        <v>40991</v>
      </c>
      <c r="K2640" s="1">
        <v>30.3</v>
      </c>
      <c r="Q2640" s="1">
        <v>0.5</v>
      </c>
    </row>
    <row r="2641" spans="1:17" x14ac:dyDescent="0.25">
      <c r="A2641" s="22">
        <v>40992</v>
      </c>
      <c r="K2641" s="1">
        <v>18.100000000000001</v>
      </c>
      <c r="Q2641" s="1">
        <v>2.8</v>
      </c>
    </row>
    <row r="2642" spans="1:17" x14ac:dyDescent="0.25">
      <c r="A2642" s="22">
        <v>40993</v>
      </c>
      <c r="K2642" s="1">
        <v>0</v>
      </c>
      <c r="Q2642" s="1">
        <v>0</v>
      </c>
    </row>
    <row r="2643" spans="1:17" x14ac:dyDescent="0.25">
      <c r="A2643" s="22">
        <v>40994</v>
      </c>
      <c r="K2643" s="1">
        <v>3</v>
      </c>
      <c r="Q2643" s="1">
        <v>0</v>
      </c>
    </row>
    <row r="2644" spans="1:17" x14ac:dyDescent="0.25">
      <c r="A2644" s="22">
        <v>40995</v>
      </c>
      <c r="K2644" s="1">
        <v>0</v>
      </c>
      <c r="Q2644" s="1">
        <v>0</v>
      </c>
    </row>
    <row r="2645" spans="1:17" x14ac:dyDescent="0.25">
      <c r="A2645" s="22">
        <v>40996</v>
      </c>
      <c r="K2645" s="1">
        <v>0</v>
      </c>
      <c r="Q2645" s="1">
        <v>0</v>
      </c>
    </row>
    <row r="2646" spans="1:17" x14ac:dyDescent="0.25">
      <c r="A2646" s="22">
        <v>40997</v>
      </c>
      <c r="K2646" s="1">
        <v>0</v>
      </c>
      <c r="Q2646" s="1">
        <v>0</v>
      </c>
    </row>
    <row r="2647" spans="1:17" x14ac:dyDescent="0.25">
      <c r="A2647" s="22">
        <v>40998</v>
      </c>
      <c r="K2647" s="1">
        <v>0</v>
      </c>
      <c r="Q2647" s="1">
        <v>0.5</v>
      </c>
    </row>
    <row r="2648" spans="1:17" x14ac:dyDescent="0.25">
      <c r="A2648" s="22">
        <v>40999</v>
      </c>
      <c r="K2648" s="1">
        <v>0</v>
      </c>
      <c r="Q2648" s="1">
        <v>3.4</v>
      </c>
    </row>
    <row r="2649" spans="1:17" x14ac:dyDescent="0.25">
      <c r="A2649" s="22">
        <v>41000</v>
      </c>
      <c r="K2649" s="1">
        <v>0</v>
      </c>
      <c r="Q2649" s="1">
        <v>0.6</v>
      </c>
    </row>
    <row r="2650" spans="1:17" x14ac:dyDescent="0.25">
      <c r="A2650" s="22">
        <v>41001</v>
      </c>
      <c r="K2650" s="1">
        <v>0</v>
      </c>
      <c r="Q2650" s="1">
        <v>0</v>
      </c>
    </row>
    <row r="2651" spans="1:17" x14ac:dyDescent="0.25">
      <c r="A2651" s="22">
        <v>41002</v>
      </c>
      <c r="K2651" s="1">
        <v>0</v>
      </c>
      <c r="Q2651" s="1">
        <v>0</v>
      </c>
    </row>
    <row r="2652" spans="1:17" x14ac:dyDescent="0.25">
      <c r="A2652" s="22">
        <v>41003</v>
      </c>
      <c r="K2652" s="1">
        <v>4</v>
      </c>
      <c r="Q2652" s="1">
        <v>5.5</v>
      </c>
    </row>
    <row r="2653" spans="1:17" x14ac:dyDescent="0.25">
      <c r="A2653" s="22">
        <v>41004</v>
      </c>
      <c r="K2653" s="1">
        <v>0</v>
      </c>
      <c r="Q2653" s="1">
        <v>0.3</v>
      </c>
    </row>
    <row r="2654" spans="1:17" x14ac:dyDescent="0.25">
      <c r="A2654" s="22">
        <v>41005</v>
      </c>
      <c r="K2654" s="1">
        <v>6.1</v>
      </c>
      <c r="Q2654" s="1">
        <v>0</v>
      </c>
    </row>
    <row r="2655" spans="1:17" x14ac:dyDescent="0.25">
      <c r="A2655" s="22">
        <v>41006</v>
      </c>
      <c r="K2655" s="1">
        <v>0</v>
      </c>
      <c r="Q2655" s="1">
        <v>0</v>
      </c>
    </row>
    <row r="2656" spans="1:17" x14ac:dyDescent="0.25">
      <c r="A2656" s="22">
        <v>41007</v>
      </c>
      <c r="K2656" s="1">
        <v>0</v>
      </c>
      <c r="Q2656" s="1">
        <v>1.5</v>
      </c>
    </row>
    <row r="2657" spans="1:17" x14ac:dyDescent="0.25">
      <c r="A2657" s="22">
        <v>41008</v>
      </c>
      <c r="K2657" s="1">
        <v>3.4</v>
      </c>
      <c r="Q2657" s="1">
        <v>2.4</v>
      </c>
    </row>
    <row r="2658" spans="1:17" x14ac:dyDescent="0.25">
      <c r="A2658" s="22">
        <v>41009</v>
      </c>
      <c r="K2658" s="1">
        <v>2.6</v>
      </c>
      <c r="Q2658" s="1">
        <v>5.4</v>
      </c>
    </row>
    <row r="2659" spans="1:17" x14ac:dyDescent="0.25">
      <c r="A2659" s="22">
        <v>41010</v>
      </c>
      <c r="K2659" s="1">
        <v>14.2</v>
      </c>
      <c r="Q2659" s="1">
        <v>9.5</v>
      </c>
    </row>
    <row r="2660" spans="1:17" x14ac:dyDescent="0.25">
      <c r="A2660" s="22">
        <v>41011</v>
      </c>
      <c r="K2660" s="1">
        <v>4.5999999999999996</v>
      </c>
      <c r="Q2660" s="1">
        <v>8.1</v>
      </c>
    </row>
    <row r="2661" spans="1:17" x14ac:dyDescent="0.25">
      <c r="A2661" s="22">
        <v>41012</v>
      </c>
      <c r="K2661" s="1">
        <v>1.1000000000000001</v>
      </c>
      <c r="Q2661" s="1">
        <v>0.2</v>
      </c>
    </row>
    <row r="2662" spans="1:17" x14ac:dyDescent="0.25">
      <c r="A2662" s="22">
        <v>41013</v>
      </c>
      <c r="K2662" s="1">
        <v>0</v>
      </c>
      <c r="Q2662" s="1">
        <v>5.8</v>
      </c>
    </row>
    <row r="2663" spans="1:17" x14ac:dyDescent="0.25">
      <c r="A2663" s="22">
        <v>41014</v>
      </c>
      <c r="K2663" s="1">
        <v>0</v>
      </c>
      <c r="Q2663" s="1">
        <v>3.9</v>
      </c>
    </row>
    <row r="2664" spans="1:17" x14ac:dyDescent="0.25">
      <c r="A2664" s="22">
        <v>41015</v>
      </c>
      <c r="K2664" s="1">
        <v>0</v>
      </c>
      <c r="Q2664" s="1">
        <v>0.4</v>
      </c>
    </row>
    <row r="2665" spans="1:17" x14ac:dyDescent="0.25">
      <c r="A2665" s="22">
        <v>41016</v>
      </c>
      <c r="K2665" s="1">
        <v>7</v>
      </c>
      <c r="Q2665" s="1">
        <v>7.3</v>
      </c>
    </row>
    <row r="2666" spans="1:17" x14ac:dyDescent="0.25">
      <c r="A2666" s="22">
        <v>41017</v>
      </c>
      <c r="K2666" s="1">
        <v>11.7</v>
      </c>
      <c r="Q2666" s="1">
        <v>40.799999999999997</v>
      </c>
    </row>
    <row r="2667" spans="1:17" x14ac:dyDescent="0.25">
      <c r="A2667" s="22">
        <v>41018</v>
      </c>
      <c r="K2667" s="1">
        <v>106.6</v>
      </c>
      <c r="Q2667" s="1">
        <v>18.5</v>
      </c>
    </row>
    <row r="2668" spans="1:17" x14ac:dyDescent="0.25">
      <c r="A2668" s="22">
        <v>41019</v>
      </c>
      <c r="K2668" s="1">
        <v>11.7</v>
      </c>
      <c r="Q2668" s="1">
        <v>68.8</v>
      </c>
    </row>
    <row r="2669" spans="1:17" x14ac:dyDescent="0.25">
      <c r="A2669" s="22">
        <v>41020</v>
      </c>
      <c r="K2669" s="1">
        <v>39.1</v>
      </c>
      <c r="Q2669" s="1">
        <v>0</v>
      </c>
    </row>
    <row r="2670" spans="1:17" x14ac:dyDescent="0.25">
      <c r="A2670" s="22">
        <v>41021</v>
      </c>
      <c r="K2670" s="1">
        <v>0</v>
      </c>
      <c r="Q2670" s="1">
        <v>4.8</v>
      </c>
    </row>
    <row r="2671" spans="1:17" x14ac:dyDescent="0.25">
      <c r="A2671" s="22">
        <v>41022</v>
      </c>
      <c r="K2671" s="1">
        <v>0</v>
      </c>
      <c r="Q2671" s="1">
        <v>0</v>
      </c>
    </row>
    <row r="2672" spans="1:17" x14ac:dyDescent="0.25">
      <c r="A2672" s="22">
        <v>41023</v>
      </c>
      <c r="K2672" s="1">
        <v>0</v>
      </c>
      <c r="Q2672" s="1">
        <v>4.7</v>
      </c>
    </row>
    <row r="2673" spans="1:17" x14ac:dyDescent="0.25">
      <c r="A2673" s="22">
        <v>41024</v>
      </c>
      <c r="K2673" s="1">
        <v>0</v>
      </c>
      <c r="Q2673" s="1">
        <v>7.1</v>
      </c>
    </row>
    <row r="2674" spans="1:17" x14ac:dyDescent="0.25">
      <c r="A2674" s="22">
        <v>41025</v>
      </c>
      <c r="K2674" s="1">
        <v>0</v>
      </c>
      <c r="Q2674" s="1">
        <v>0.2</v>
      </c>
    </row>
    <row r="2675" spans="1:17" x14ac:dyDescent="0.25">
      <c r="A2675" s="22">
        <v>41026</v>
      </c>
      <c r="K2675" s="1">
        <v>0</v>
      </c>
      <c r="Q2675" s="1">
        <v>6.1</v>
      </c>
    </row>
    <row r="2676" spans="1:17" x14ac:dyDescent="0.25">
      <c r="A2676" s="22">
        <v>41027</v>
      </c>
      <c r="K2676" s="1">
        <v>0</v>
      </c>
      <c r="Q2676" s="1">
        <v>10.4</v>
      </c>
    </row>
    <row r="2677" spans="1:17" x14ac:dyDescent="0.25">
      <c r="A2677" s="22">
        <v>41028</v>
      </c>
      <c r="K2677" s="1">
        <v>36.200000000000003</v>
      </c>
      <c r="Q2677" s="1">
        <v>1.3</v>
      </c>
    </row>
    <row r="2678" spans="1:17" x14ac:dyDescent="0.25">
      <c r="A2678" s="22">
        <v>41029</v>
      </c>
      <c r="K2678" s="1">
        <v>1</v>
      </c>
      <c r="Q2678" s="1">
        <v>4.0999999999999996</v>
      </c>
    </row>
    <row r="2679" spans="1:17" x14ac:dyDescent="0.25">
      <c r="A2679" s="22">
        <v>41030</v>
      </c>
      <c r="K2679" s="1">
        <v>6.1</v>
      </c>
      <c r="Q2679" s="1">
        <v>41.2</v>
      </c>
    </row>
    <row r="2680" spans="1:17" x14ac:dyDescent="0.25">
      <c r="A2680" s="22">
        <v>41031</v>
      </c>
      <c r="K2680" s="1">
        <v>27.3</v>
      </c>
      <c r="Q2680" s="1">
        <v>0.1</v>
      </c>
    </row>
    <row r="2681" spans="1:17" x14ac:dyDescent="0.25">
      <c r="A2681" s="22">
        <v>41032</v>
      </c>
      <c r="K2681" s="1">
        <v>26.9</v>
      </c>
      <c r="Q2681" s="1">
        <v>19.2</v>
      </c>
    </row>
    <row r="2682" spans="1:17" x14ac:dyDescent="0.25">
      <c r="A2682" s="22">
        <v>41033</v>
      </c>
      <c r="K2682" s="1">
        <v>3.5</v>
      </c>
      <c r="Q2682" s="1">
        <v>3.2</v>
      </c>
    </row>
    <row r="2683" spans="1:17" x14ac:dyDescent="0.25">
      <c r="A2683" s="22">
        <v>41034</v>
      </c>
      <c r="K2683" s="1">
        <v>0</v>
      </c>
      <c r="Q2683" s="1">
        <v>6.4</v>
      </c>
    </row>
    <row r="2684" spans="1:17" x14ac:dyDescent="0.25">
      <c r="A2684" s="22">
        <v>41035</v>
      </c>
      <c r="K2684" s="1">
        <v>2.1</v>
      </c>
      <c r="Q2684" s="1">
        <v>9</v>
      </c>
    </row>
    <row r="2685" spans="1:17" x14ac:dyDescent="0.25">
      <c r="A2685" s="22">
        <v>41036</v>
      </c>
      <c r="K2685" s="1">
        <v>2.4</v>
      </c>
      <c r="Q2685" s="1">
        <v>0.9</v>
      </c>
    </row>
    <row r="2686" spans="1:17" x14ac:dyDescent="0.25">
      <c r="A2686" s="22">
        <v>41037</v>
      </c>
      <c r="K2686" s="1">
        <v>0</v>
      </c>
      <c r="Q2686" s="1">
        <v>5.7</v>
      </c>
    </row>
    <row r="2687" spans="1:17" x14ac:dyDescent="0.25">
      <c r="A2687" s="22">
        <v>41038</v>
      </c>
      <c r="K2687" s="1">
        <v>13.1</v>
      </c>
      <c r="Q2687" s="1">
        <v>9.4</v>
      </c>
    </row>
    <row r="2688" spans="1:17" x14ac:dyDescent="0.25">
      <c r="A2688" s="22">
        <v>41039</v>
      </c>
      <c r="K2688" s="1">
        <v>3.7</v>
      </c>
      <c r="Q2688" s="1">
        <v>63.8</v>
      </c>
    </row>
    <row r="2689" spans="1:17" x14ac:dyDescent="0.25">
      <c r="A2689" s="22">
        <v>41040</v>
      </c>
      <c r="K2689" s="1">
        <v>104.8</v>
      </c>
      <c r="Q2689" s="1">
        <v>2.2999999999999998</v>
      </c>
    </row>
    <row r="2690" spans="1:17" x14ac:dyDescent="0.25">
      <c r="A2690" s="22">
        <v>41041</v>
      </c>
      <c r="K2690" s="1">
        <v>0.2</v>
      </c>
      <c r="Q2690" s="1">
        <v>0</v>
      </c>
    </row>
    <row r="2691" spans="1:17" x14ac:dyDescent="0.25">
      <c r="A2691" s="22">
        <v>41042</v>
      </c>
      <c r="K2691" s="1">
        <v>0</v>
      </c>
      <c r="Q2691" s="1">
        <v>0.1</v>
      </c>
    </row>
    <row r="2692" spans="1:17" x14ac:dyDescent="0.25">
      <c r="A2692" s="22">
        <v>41043</v>
      </c>
      <c r="K2692" s="1">
        <v>0.1</v>
      </c>
      <c r="Q2692" s="1">
        <v>0.5</v>
      </c>
    </row>
    <row r="2693" spans="1:17" x14ac:dyDescent="0.25">
      <c r="A2693" s="22">
        <v>41044</v>
      </c>
      <c r="K2693" s="1">
        <v>0</v>
      </c>
      <c r="Q2693" s="1">
        <v>31.6</v>
      </c>
    </row>
    <row r="2694" spans="1:17" x14ac:dyDescent="0.25">
      <c r="A2694" s="22">
        <v>41045</v>
      </c>
      <c r="K2694" s="1">
        <v>0</v>
      </c>
      <c r="Q2694" s="1">
        <v>0.8</v>
      </c>
    </row>
    <row r="2695" spans="1:17" x14ac:dyDescent="0.25">
      <c r="A2695" s="22">
        <v>41046</v>
      </c>
      <c r="K2695" s="1">
        <v>13.3</v>
      </c>
      <c r="Q2695" s="1">
        <v>3.9</v>
      </c>
    </row>
    <row r="2696" spans="1:17" x14ac:dyDescent="0.25">
      <c r="A2696" s="22">
        <v>41047</v>
      </c>
      <c r="K2696" s="1">
        <v>0</v>
      </c>
      <c r="Q2696" s="1">
        <v>0.6</v>
      </c>
    </row>
    <row r="2697" spans="1:17" x14ac:dyDescent="0.25">
      <c r="A2697" s="22">
        <v>41048</v>
      </c>
      <c r="K2697" s="1">
        <v>10.7</v>
      </c>
      <c r="Q2697" s="1">
        <v>2.8</v>
      </c>
    </row>
    <row r="2698" spans="1:17" x14ac:dyDescent="0.25">
      <c r="A2698" s="22">
        <v>41049</v>
      </c>
      <c r="K2698" s="1">
        <v>3.5</v>
      </c>
      <c r="Q2698" s="1">
        <v>2.9</v>
      </c>
    </row>
    <row r="2699" spans="1:17" x14ac:dyDescent="0.25">
      <c r="A2699" s="22">
        <v>41050</v>
      </c>
      <c r="K2699" s="1">
        <v>2.1</v>
      </c>
      <c r="Q2699" s="1">
        <v>5.3</v>
      </c>
    </row>
    <row r="2700" spans="1:17" x14ac:dyDescent="0.25">
      <c r="A2700" s="22">
        <v>41051</v>
      </c>
      <c r="K2700" s="1">
        <v>4.7</v>
      </c>
      <c r="Q2700" s="1">
        <v>7.2</v>
      </c>
    </row>
    <row r="2701" spans="1:17" x14ac:dyDescent="0.25">
      <c r="A2701" s="22">
        <v>41052</v>
      </c>
      <c r="K2701" s="1">
        <v>24.3</v>
      </c>
      <c r="Q2701" s="1">
        <v>22.8</v>
      </c>
    </row>
    <row r="2702" spans="1:17" x14ac:dyDescent="0.25">
      <c r="A2702" s="22">
        <v>41053</v>
      </c>
      <c r="K2702" s="1">
        <v>14.4</v>
      </c>
      <c r="Q2702" s="1">
        <v>0.4</v>
      </c>
    </row>
    <row r="2703" spans="1:17" x14ac:dyDescent="0.25">
      <c r="A2703" s="22">
        <v>41054</v>
      </c>
      <c r="K2703" s="1">
        <v>14.1</v>
      </c>
      <c r="Q2703" s="1">
        <v>2.2999999999999998</v>
      </c>
    </row>
    <row r="2704" spans="1:17" x14ac:dyDescent="0.25">
      <c r="A2704" s="22">
        <v>41055</v>
      </c>
      <c r="K2704" s="1">
        <v>1.4</v>
      </c>
      <c r="Q2704" s="1">
        <v>0.7</v>
      </c>
    </row>
    <row r="2705" spans="1:17" x14ac:dyDescent="0.25">
      <c r="A2705" s="22">
        <v>41056</v>
      </c>
      <c r="K2705" s="1">
        <v>19</v>
      </c>
      <c r="Q2705" s="1">
        <v>7.7</v>
      </c>
    </row>
    <row r="2706" spans="1:17" x14ac:dyDescent="0.25">
      <c r="A2706" s="22">
        <v>41057</v>
      </c>
      <c r="K2706" s="1">
        <v>0</v>
      </c>
      <c r="Q2706" s="1">
        <v>13.7</v>
      </c>
    </row>
    <row r="2707" spans="1:17" x14ac:dyDescent="0.25">
      <c r="A2707" s="22">
        <v>41058</v>
      </c>
      <c r="K2707" s="1">
        <v>0</v>
      </c>
      <c r="Q2707" s="1">
        <v>31.8</v>
      </c>
    </row>
    <row r="2708" spans="1:17" x14ac:dyDescent="0.25">
      <c r="A2708" s="22">
        <v>41059</v>
      </c>
      <c r="K2708" s="1">
        <v>30.5</v>
      </c>
      <c r="Q2708" s="1">
        <v>16.5</v>
      </c>
    </row>
    <row r="2709" spans="1:17" x14ac:dyDescent="0.25">
      <c r="A2709" s="22">
        <v>41060</v>
      </c>
      <c r="K2709" s="1">
        <v>37.799999999999997</v>
      </c>
      <c r="Q2709" s="1"/>
    </row>
    <row r="2710" spans="1:17" x14ac:dyDescent="0.25">
      <c r="A2710" s="22">
        <v>41061</v>
      </c>
      <c r="K2710" s="1">
        <v>4.0999999999999996</v>
      </c>
      <c r="Q2710" s="1">
        <v>0</v>
      </c>
    </row>
    <row r="2711" spans="1:17" x14ac:dyDescent="0.25">
      <c r="A2711" s="22">
        <v>41062</v>
      </c>
      <c r="K2711" s="1">
        <v>3.2</v>
      </c>
      <c r="Q2711" s="1">
        <v>2</v>
      </c>
    </row>
    <row r="2712" spans="1:17" x14ac:dyDescent="0.25">
      <c r="A2712" s="22">
        <v>41063</v>
      </c>
      <c r="K2712" s="1">
        <v>0</v>
      </c>
      <c r="Q2712" s="1">
        <v>0</v>
      </c>
    </row>
    <row r="2713" spans="1:17" x14ac:dyDescent="0.25">
      <c r="A2713" s="22">
        <v>41064</v>
      </c>
      <c r="K2713" s="1">
        <v>0</v>
      </c>
      <c r="Q2713" s="1">
        <v>3.4</v>
      </c>
    </row>
    <row r="2714" spans="1:17" x14ac:dyDescent="0.25">
      <c r="A2714" s="22">
        <v>41065</v>
      </c>
      <c r="K2714" s="1">
        <v>0</v>
      </c>
      <c r="Q2714" s="1">
        <v>28.4</v>
      </c>
    </row>
    <row r="2715" spans="1:17" x14ac:dyDescent="0.25">
      <c r="A2715" s="22">
        <v>41066</v>
      </c>
      <c r="K2715" s="1">
        <v>21.3</v>
      </c>
      <c r="Q2715" s="1">
        <v>3.1</v>
      </c>
    </row>
    <row r="2716" spans="1:17" x14ac:dyDescent="0.25">
      <c r="A2716" s="22">
        <v>41067</v>
      </c>
      <c r="K2716" s="1">
        <v>24.3</v>
      </c>
      <c r="Q2716" s="1">
        <v>1.3</v>
      </c>
    </row>
    <row r="2717" spans="1:17" x14ac:dyDescent="0.25">
      <c r="A2717" s="22">
        <v>41068</v>
      </c>
      <c r="K2717" s="1">
        <v>1.2</v>
      </c>
      <c r="Q2717" s="1">
        <v>0</v>
      </c>
    </row>
    <row r="2718" spans="1:17" x14ac:dyDescent="0.25">
      <c r="A2718" s="22">
        <v>41069</v>
      </c>
      <c r="K2718" s="1">
        <v>0.5</v>
      </c>
      <c r="Q2718" s="1">
        <v>0</v>
      </c>
    </row>
    <row r="2719" spans="1:17" x14ac:dyDescent="0.25">
      <c r="A2719" s="22">
        <v>41070</v>
      </c>
      <c r="K2719" s="1">
        <v>0.9</v>
      </c>
      <c r="Q2719" s="1">
        <v>5.7</v>
      </c>
    </row>
    <row r="2720" spans="1:17" x14ac:dyDescent="0.25">
      <c r="A2720" s="22">
        <v>41071</v>
      </c>
      <c r="K2720" s="1">
        <v>19.100000000000001</v>
      </c>
      <c r="Q2720" s="1">
        <v>0</v>
      </c>
    </row>
    <row r="2721" spans="1:17" x14ac:dyDescent="0.25">
      <c r="A2721" s="22">
        <v>41072</v>
      </c>
      <c r="K2721" s="1">
        <v>0.4</v>
      </c>
      <c r="Q2721" s="1">
        <v>0</v>
      </c>
    </row>
    <row r="2722" spans="1:17" x14ac:dyDescent="0.25">
      <c r="A2722" s="22">
        <v>41073</v>
      </c>
      <c r="K2722" s="1">
        <v>0.2</v>
      </c>
      <c r="Q2722" s="1">
        <v>3.5</v>
      </c>
    </row>
    <row r="2723" spans="1:17" x14ac:dyDescent="0.25">
      <c r="A2723" s="22">
        <v>41074</v>
      </c>
      <c r="K2723" s="1">
        <v>6.4</v>
      </c>
      <c r="Q2723" s="1">
        <v>24</v>
      </c>
    </row>
    <row r="2724" spans="1:17" x14ac:dyDescent="0.25">
      <c r="A2724" s="22">
        <v>41075</v>
      </c>
      <c r="K2724" s="1">
        <v>4.8</v>
      </c>
      <c r="Q2724" s="1">
        <v>24.3</v>
      </c>
    </row>
    <row r="2725" spans="1:17" x14ac:dyDescent="0.25">
      <c r="A2725" s="22">
        <v>41076</v>
      </c>
      <c r="K2725" s="1">
        <v>12.2</v>
      </c>
      <c r="Q2725" s="1">
        <v>4.4000000000000004</v>
      </c>
    </row>
    <row r="2726" spans="1:17" x14ac:dyDescent="0.25">
      <c r="A2726" s="22">
        <v>41077</v>
      </c>
      <c r="K2726" s="1">
        <v>7.8</v>
      </c>
      <c r="Q2726" s="1">
        <v>0</v>
      </c>
    </row>
    <row r="2727" spans="1:17" x14ac:dyDescent="0.25">
      <c r="A2727" s="22">
        <v>41078</v>
      </c>
      <c r="K2727" s="1">
        <v>2.2000000000000002</v>
      </c>
      <c r="Q2727" s="1">
        <v>1.7</v>
      </c>
    </row>
    <row r="2728" spans="1:17" x14ac:dyDescent="0.25">
      <c r="A2728" s="22">
        <v>41079</v>
      </c>
      <c r="K2728" s="1">
        <v>1.7</v>
      </c>
      <c r="Q2728" s="1">
        <v>0.7</v>
      </c>
    </row>
    <row r="2729" spans="1:17" x14ac:dyDescent="0.25">
      <c r="A2729" s="22">
        <v>41080</v>
      </c>
      <c r="K2729" s="1">
        <v>0.5</v>
      </c>
      <c r="Q2729" s="1">
        <v>0</v>
      </c>
    </row>
    <row r="2730" spans="1:17" x14ac:dyDescent="0.25">
      <c r="A2730" s="22">
        <v>41081</v>
      </c>
      <c r="K2730" s="1">
        <v>0.8</v>
      </c>
      <c r="Q2730" s="1">
        <v>0</v>
      </c>
    </row>
    <row r="2731" spans="1:17" x14ac:dyDescent="0.25">
      <c r="A2731" s="22">
        <v>41082</v>
      </c>
      <c r="K2731" s="1">
        <v>0.1</v>
      </c>
      <c r="Q2731" s="1">
        <v>0</v>
      </c>
    </row>
    <row r="2732" spans="1:17" x14ac:dyDescent="0.25">
      <c r="A2732" s="22">
        <v>41083</v>
      </c>
      <c r="K2732" s="1">
        <v>0</v>
      </c>
      <c r="Q2732" s="1">
        <v>3.3</v>
      </c>
    </row>
    <row r="2733" spans="1:17" x14ac:dyDescent="0.25">
      <c r="A2733" s="22">
        <v>41084</v>
      </c>
      <c r="K2733" s="1">
        <v>0</v>
      </c>
      <c r="Q2733" s="1">
        <v>7.2</v>
      </c>
    </row>
    <row r="2734" spans="1:17" x14ac:dyDescent="0.25">
      <c r="A2734" s="22">
        <v>41085</v>
      </c>
      <c r="K2734" s="1">
        <v>0</v>
      </c>
      <c r="Q2734" s="1">
        <v>5.2</v>
      </c>
    </row>
    <row r="2735" spans="1:17" x14ac:dyDescent="0.25">
      <c r="A2735" s="22">
        <v>41086</v>
      </c>
      <c r="K2735" s="1">
        <v>0</v>
      </c>
      <c r="Q2735" s="1">
        <v>8.5</v>
      </c>
    </row>
    <row r="2736" spans="1:17" x14ac:dyDescent="0.25">
      <c r="A2736" s="22">
        <v>41087</v>
      </c>
      <c r="K2736" s="1">
        <v>28.1</v>
      </c>
      <c r="Q2736" s="1">
        <v>3.6</v>
      </c>
    </row>
    <row r="2737" spans="1:17" x14ac:dyDescent="0.25">
      <c r="A2737" s="22">
        <v>41088</v>
      </c>
      <c r="K2737" s="1">
        <v>0</v>
      </c>
      <c r="Q2737" s="1">
        <v>4.5</v>
      </c>
    </row>
    <row r="2738" spans="1:17" x14ac:dyDescent="0.25">
      <c r="A2738" s="22">
        <v>41089</v>
      </c>
      <c r="K2738" s="1">
        <v>4.0999999999999996</v>
      </c>
      <c r="Q2738" s="1">
        <v>0</v>
      </c>
    </row>
    <row r="2739" spans="1:17" x14ac:dyDescent="0.25">
      <c r="A2739" s="22">
        <v>41090</v>
      </c>
      <c r="K2739" s="1">
        <v>1.9</v>
      </c>
      <c r="Q2739" s="1">
        <v>8.1999999999999993</v>
      </c>
    </row>
    <row r="2740" spans="1:17" x14ac:dyDescent="0.25">
      <c r="A2740" s="22">
        <v>41091</v>
      </c>
      <c r="K2740" s="1">
        <v>23.1</v>
      </c>
      <c r="Q2740" s="1">
        <v>16.5</v>
      </c>
    </row>
    <row r="2741" spans="1:17" x14ac:dyDescent="0.25">
      <c r="A2741" s="22">
        <v>41092</v>
      </c>
      <c r="K2741" s="1">
        <v>3.3</v>
      </c>
      <c r="Q2741" s="1">
        <v>0.7</v>
      </c>
    </row>
    <row r="2742" spans="1:17" x14ac:dyDescent="0.25">
      <c r="A2742" s="22">
        <v>41093</v>
      </c>
      <c r="K2742" s="1">
        <v>4.2</v>
      </c>
      <c r="Q2742" s="1">
        <v>0</v>
      </c>
    </row>
    <row r="2743" spans="1:17" x14ac:dyDescent="0.25">
      <c r="A2743" s="22">
        <v>41094</v>
      </c>
      <c r="K2743" s="1">
        <v>17.899999999999999</v>
      </c>
      <c r="Q2743" s="1">
        <v>2.2999999999999998</v>
      </c>
    </row>
    <row r="2744" spans="1:17" x14ac:dyDescent="0.25">
      <c r="A2744" s="22">
        <v>41095</v>
      </c>
      <c r="K2744" s="1">
        <v>2.9</v>
      </c>
      <c r="Q2744" s="1">
        <v>0.5</v>
      </c>
    </row>
    <row r="2745" spans="1:17" x14ac:dyDescent="0.25">
      <c r="A2745" s="22">
        <v>41096</v>
      </c>
      <c r="K2745" s="1">
        <v>1.2</v>
      </c>
      <c r="Q2745" s="1">
        <v>1.6</v>
      </c>
    </row>
    <row r="2746" spans="1:17" x14ac:dyDescent="0.25">
      <c r="A2746" s="22">
        <v>41097</v>
      </c>
      <c r="K2746" s="1">
        <v>4.3</v>
      </c>
      <c r="Q2746" s="1">
        <v>0.1</v>
      </c>
    </row>
    <row r="2747" spans="1:17" x14ac:dyDescent="0.25">
      <c r="A2747" s="22">
        <v>41098</v>
      </c>
      <c r="K2747" s="1">
        <v>0</v>
      </c>
      <c r="Q2747" s="1">
        <v>2.2000000000000002</v>
      </c>
    </row>
    <row r="2748" spans="1:17" x14ac:dyDescent="0.25">
      <c r="A2748" s="22">
        <v>41099</v>
      </c>
      <c r="K2748" s="1">
        <v>2.6</v>
      </c>
      <c r="Q2748" s="1">
        <v>0.5</v>
      </c>
    </row>
    <row r="2749" spans="1:17" x14ac:dyDescent="0.25">
      <c r="A2749" s="22">
        <v>41100</v>
      </c>
      <c r="K2749" s="1">
        <v>1.7</v>
      </c>
      <c r="Q2749" s="1">
        <v>5.7</v>
      </c>
    </row>
    <row r="2750" spans="1:17" x14ac:dyDescent="0.25">
      <c r="A2750" s="22">
        <v>41101</v>
      </c>
      <c r="K2750" s="1">
        <v>4.5999999999999996</v>
      </c>
      <c r="Q2750" s="1">
        <v>0.7</v>
      </c>
    </row>
    <row r="2751" spans="1:17" x14ac:dyDescent="0.25">
      <c r="A2751" s="22">
        <v>41102</v>
      </c>
      <c r="K2751" s="1">
        <v>6.5</v>
      </c>
      <c r="Q2751" s="1">
        <v>0.8</v>
      </c>
    </row>
    <row r="2752" spans="1:17" x14ac:dyDescent="0.25">
      <c r="A2752" s="22">
        <v>41103</v>
      </c>
      <c r="K2752" s="1">
        <v>3.2</v>
      </c>
      <c r="Q2752" s="1">
        <v>0.4</v>
      </c>
    </row>
    <row r="2753" spans="1:17" x14ac:dyDescent="0.25">
      <c r="A2753" s="22">
        <v>41104</v>
      </c>
      <c r="K2753" s="1">
        <v>0.1</v>
      </c>
      <c r="Q2753" s="1">
        <v>19</v>
      </c>
    </row>
    <row r="2754" spans="1:17" x14ac:dyDescent="0.25">
      <c r="A2754" s="22">
        <v>41105</v>
      </c>
      <c r="K2754" s="1">
        <v>0</v>
      </c>
      <c r="Q2754" s="1">
        <v>6.4</v>
      </c>
    </row>
    <row r="2755" spans="1:17" x14ac:dyDescent="0.25">
      <c r="A2755" s="22">
        <v>41106</v>
      </c>
      <c r="K2755" s="1">
        <v>43.2</v>
      </c>
      <c r="Q2755" s="1">
        <v>2.6</v>
      </c>
    </row>
    <row r="2756" spans="1:17" x14ac:dyDescent="0.25">
      <c r="A2756" s="22">
        <v>41107</v>
      </c>
      <c r="K2756" s="1">
        <v>0</v>
      </c>
      <c r="Q2756" s="1">
        <v>9.6</v>
      </c>
    </row>
    <row r="2757" spans="1:17" x14ac:dyDescent="0.25">
      <c r="A2757" s="22">
        <v>41108</v>
      </c>
      <c r="K2757" s="1">
        <v>7.6</v>
      </c>
      <c r="Q2757" s="1">
        <v>0.2</v>
      </c>
    </row>
    <row r="2758" spans="1:17" x14ac:dyDescent="0.25">
      <c r="A2758" s="22">
        <v>41109</v>
      </c>
      <c r="K2758" s="1">
        <v>0</v>
      </c>
      <c r="Q2758" s="1">
        <v>0</v>
      </c>
    </row>
    <row r="2759" spans="1:17" x14ac:dyDescent="0.25">
      <c r="A2759" s="22">
        <v>41110</v>
      </c>
      <c r="K2759" s="1">
        <v>0</v>
      </c>
      <c r="Q2759" s="1">
        <v>0</v>
      </c>
    </row>
    <row r="2760" spans="1:17" x14ac:dyDescent="0.25">
      <c r="A2760" s="22">
        <v>41111</v>
      </c>
      <c r="K2760" s="1">
        <v>0</v>
      </c>
      <c r="Q2760" s="1">
        <v>1.8</v>
      </c>
    </row>
    <row r="2761" spans="1:17" x14ac:dyDescent="0.25">
      <c r="A2761" s="22">
        <v>41112</v>
      </c>
      <c r="K2761" s="1">
        <v>0</v>
      </c>
      <c r="Q2761" s="1">
        <v>5.5</v>
      </c>
    </row>
    <row r="2762" spans="1:17" x14ac:dyDescent="0.25">
      <c r="A2762" s="22">
        <v>41113</v>
      </c>
      <c r="K2762" s="1">
        <v>38.4</v>
      </c>
      <c r="Q2762" s="1">
        <v>53.4</v>
      </c>
    </row>
    <row r="2763" spans="1:17" x14ac:dyDescent="0.25">
      <c r="A2763" s="22">
        <v>41114</v>
      </c>
      <c r="K2763" s="1">
        <v>26</v>
      </c>
      <c r="Q2763" s="1">
        <v>12.2</v>
      </c>
    </row>
    <row r="2764" spans="1:17" x14ac:dyDescent="0.25">
      <c r="A2764" s="22">
        <v>41115</v>
      </c>
      <c r="K2764" s="1">
        <v>2</v>
      </c>
      <c r="Q2764" s="1">
        <v>0</v>
      </c>
    </row>
    <row r="2765" spans="1:17" x14ac:dyDescent="0.25">
      <c r="A2765" s="22">
        <v>41116</v>
      </c>
      <c r="K2765" s="1">
        <v>0</v>
      </c>
      <c r="Q2765" s="1">
        <v>1.3</v>
      </c>
    </row>
    <row r="2766" spans="1:17" x14ac:dyDescent="0.25">
      <c r="A2766" s="22">
        <v>41117</v>
      </c>
      <c r="K2766" s="1">
        <v>0</v>
      </c>
      <c r="Q2766" s="1">
        <v>0</v>
      </c>
    </row>
    <row r="2767" spans="1:17" x14ac:dyDescent="0.25">
      <c r="A2767" s="22">
        <v>41118</v>
      </c>
      <c r="K2767" s="1">
        <v>11.5</v>
      </c>
      <c r="Q2767" s="1">
        <v>4.7</v>
      </c>
    </row>
    <row r="2768" spans="1:17" x14ac:dyDescent="0.25">
      <c r="A2768" s="22">
        <v>41119</v>
      </c>
      <c r="K2768" s="1">
        <v>0</v>
      </c>
      <c r="Q2768" s="1">
        <v>39.1</v>
      </c>
    </row>
    <row r="2769" spans="1:17" x14ac:dyDescent="0.25">
      <c r="A2769" s="22">
        <v>41120</v>
      </c>
      <c r="K2769" s="1">
        <v>27.5</v>
      </c>
      <c r="Q2769" s="1">
        <v>1.7</v>
      </c>
    </row>
    <row r="2770" spans="1:17" x14ac:dyDescent="0.25">
      <c r="A2770" s="22">
        <v>41121</v>
      </c>
      <c r="K2770" s="1">
        <v>1.1000000000000001</v>
      </c>
      <c r="Q2770" s="1">
        <v>11.5</v>
      </c>
    </row>
    <row r="2771" spans="1:17" x14ac:dyDescent="0.25">
      <c r="A2771" s="22">
        <v>41122</v>
      </c>
      <c r="K2771" s="1">
        <v>2.9</v>
      </c>
      <c r="Q2771" s="1">
        <v>0</v>
      </c>
    </row>
    <row r="2772" spans="1:17" x14ac:dyDescent="0.25">
      <c r="A2772" s="22">
        <v>41123</v>
      </c>
      <c r="K2772" s="1">
        <v>1</v>
      </c>
      <c r="Q2772" s="1">
        <v>3.5</v>
      </c>
    </row>
    <row r="2773" spans="1:17" x14ac:dyDescent="0.25">
      <c r="A2773" s="22">
        <v>41124</v>
      </c>
      <c r="K2773" s="1">
        <v>0</v>
      </c>
      <c r="Q2773" s="1">
        <v>35.9</v>
      </c>
    </row>
    <row r="2774" spans="1:17" x14ac:dyDescent="0.25">
      <c r="A2774" s="22">
        <v>41125</v>
      </c>
      <c r="K2774" s="1">
        <v>58</v>
      </c>
      <c r="Q2774" s="1">
        <v>0</v>
      </c>
    </row>
    <row r="2775" spans="1:17" x14ac:dyDescent="0.25">
      <c r="A2775" s="22">
        <v>41126</v>
      </c>
      <c r="K2775" s="1">
        <v>0</v>
      </c>
      <c r="Q2775" s="1">
        <v>2.5</v>
      </c>
    </row>
    <row r="2776" spans="1:17" x14ac:dyDescent="0.25">
      <c r="A2776" s="22">
        <v>41127</v>
      </c>
      <c r="K2776" s="1">
        <v>0</v>
      </c>
      <c r="Q2776" s="1">
        <v>3.1</v>
      </c>
    </row>
    <row r="2777" spans="1:17" x14ac:dyDescent="0.25">
      <c r="A2777" s="22">
        <v>41128</v>
      </c>
      <c r="K2777" s="1">
        <v>0</v>
      </c>
      <c r="Q2777" s="1">
        <v>16.600000000000001</v>
      </c>
    </row>
    <row r="2778" spans="1:17" x14ac:dyDescent="0.25">
      <c r="A2778" s="22">
        <v>41129</v>
      </c>
      <c r="K2778" s="1">
        <v>0</v>
      </c>
      <c r="Q2778" s="1">
        <v>9.1</v>
      </c>
    </row>
    <row r="2779" spans="1:17" x14ac:dyDescent="0.25">
      <c r="A2779" s="22">
        <v>41130</v>
      </c>
      <c r="K2779" s="1">
        <v>0</v>
      </c>
      <c r="Q2779" s="1">
        <v>1.7</v>
      </c>
    </row>
    <row r="2780" spans="1:17" x14ac:dyDescent="0.25">
      <c r="A2780" s="22">
        <v>41131</v>
      </c>
      <c r="K2780" s="1">
        <v>0</v>
      </c>
      <c r="Q2780" s="1">
        <v>0</v>
      </c>
    </row>
    <row r="2781" spans="1:17" x14ac:dyDescent="0.25">
      <c r="A2781" s="22">
        <v>41132</v>
      </c>
      <c r="K2781" s="1">
        <v>0</v>
      </c>
      <c r="Q2781" s="1">
        <v>18.8</v>
      </c>
    </row>
    <row r="2782" spans="1:17" x14ac:dyDescent="0.25">
      <c r="A2782" s="22">
        <v>41133</v>
      </c>
      <c r="K2782" s="1">
        <v>0</v>
      </c>
      <c r="Q2782" s="1">
        <v>7.1</v>
      </c>
    </row>
    <row r="2783" spans="1:17" x14ac:dyDescent="0.25">
      <c r="A2783" s="22">
        <v>41134</v>
      </c>
      <c r="K2783" s="1">
        <v>84.3</v>
      </c>
      <c r="Q2783" s="1">
        <v>8.6</v>
      </c>
    </row>
    <row r="2784" spans="1:17" x14ac:dyDescent="0.25">
      <c r="A2784" s="22">
        <v>41135</v>
      </c>
      <c r="K2784" s="1">
        <v>10.4</v>
      </c>
      <c r="Q2784" s="1">
        <v>8</v>
      </c>
    </row>
    <row r="2785" spans="1:17" x14ac:dyDescent="0.25">
      <c r="A2785" s="22">
        <v>41136</v>
      </c>
      <c r="K2785" s="1">
        <v>9.6</v>
      </c>
      <c r="Q2785" s="1">
        <v>0</v>
      </c>
    </row>
    <row r="2786" spans="1:17" x14ac:dyDescent="0.25">
      <c r="A2786" s="22">
        <v>41137</v>
      </c>
      <c r="K2786" s="1">
        <v>7.3</v>
      </c>
      <c r="Q2786" s="1">
        <v>3.5</v>
      </c>
    </row>
    <row r="2787" spans="1:17" x14ac:dyDescent="0.25">
      <c r="A2787" s="22">
        <v>41138</v>
      </c>
      <c r="K2787" s="1">
        <v>2.4</v>
      </c>
      <c r="Q2787" s="1">
        <v>5.0999999999999996</v>
      </c>
    </row>
    <row r="2788" spans="1:17" x14ac:dyDescent="0.25">
      <c r="A2788" s="22">
        <v>41139</v>
      </c>
      <c r="K2788" s="1">
        <v>2.2000000000000002</v>
      </c>
      <c r="Q2788" s="1">
        <v>21.5</v>
      </c>
    </row>
    <row r="2789" spans="1:17" x14ac:dyDescent="0.25">
      <c r="A2789" s="22">
        <v>41140</v>
      </c>
      <c r="K2789" s="1">
        <v>0</v>
      </c>
      <c r="Q2789" s="1">
        <v>0</v>
      </c>
    </row>
    <row r="2790" spans="1:17" x14ac:dyDescent="0.25">
      <c r="A2790" s="22">
        <v>41141</v>
      </c>
      <c r="K2790" s="1">
        <v>11.3</v>
      </c>
      <c r="Q2790" s="1">
        <v>0.3</v>
      </c>
    </row>
    <row r="2791" spans="1:17" x14ac:dyDescent="0.25">
      <c r="A2791" s="22">
        <v>41142</v>
      </c>
      <c r="K2791" s="1">
        <v>0</v>
      </c>
      <c r="Q2791" s="1">
        <v>1.1000000000000001</v>
      </c>
    </row>
    <row r="2792" spans="1:17" x14ac:dyDescent="0.25">
      <c r="A2792" s="22">
        <v>41143</v>
      </c>
      <c r="K2792" s="1">
        <v>12.2</v>
      </c>
      <c r="Q2792" s="1">
        <v>50</v>
      </c>
    </row>
    <row r="2793" spans="1:17" x14ac:dyDescent="0.25">
      <c r="A2793" s="22">
        <v>41144</v>
      </c>
      <c r="K2793" s="1">
        <v>37.5</v>
      </c>
      <c r="Q2793" s="1">
        <v>13.2</v>
      </c>
    </row>
    <row r="2794" spans="1:17" x14ac:dyDescent="0.25">
      <c r="A2794" s="22">
        <v>41145</v>
      </c>
      <c r="K2794" s="1">
        <v>0.1</v>
      </c>
      <c r="Q2794" s="1">
        <v>1.1000000000000001</v>
      </c>
    </row>
    <row r="2795" spans="1:17" x14ac:dyDescent="0.25">
      <c r="A2795" s="22">
        <v>41146</v>
      </c>
      <c r="K2795" s="1">
        <v>7.8</v>
      </c>
      <c r="Q2795" s="1">
        <v>6.1</v>
      </c>
    </row>
    <row r="2796" spans="1:17" x14ac:dyDescent="0.25">
      <c r="A2796" s="22">
        <v>41147</v>
      </c>
      <c r="K2796" s="1">
        <v>0</v>
      </c>
      <c r="Q2796" s="1">
        <v>123.1</v>
      </c>
    </row>
    <row r="2797" spans="1:17" x14ac:dyDescent="0.25">
      <c r="A2797" s="22">
        <v>41148</v>
      </c>
      <c r="K2797" s="1">
        <v>127.5</v>
      </c>
      <c r="Q2797" s="1">
        <v>3.1</v>
      </c>
    </row>
    <row r="2798" spans="1:17" x14ac:dyDescent="0.25">
      <c r="A2798" s="22">
        <v>41149</v>
      </c>
      <c r="K2798" s="1">
        <v>0</v>
      </c>
      <c r="Q2798" s="1">
        <v>7.9</v>
      </c>
    </row>
    <row r="2799" spans="1:17" x14ac:dyDescent="0.25">
      <c r="A2799" s="22">
        <v>41150</v>
      </c>
      <c r="K2799" s="1">
        <v>32.1</v>
      </c>
      <c r="Q2799" s="1">
        <v>2.2999999999999998</v>
      </c>
    </row>
    <row r="2800" spans="1:17" x14ac:dyDescent="0.25">
      <c r="A2800" s="22">
        <v>41151</v>
      </c>
      <c r="K2800" s="1">
        <v>0</v>
      </c>
      <c r="Q2800" s="1">
        <v>1.3</v>
      </c>
    </row>
    <row r="2801" spans="1:17" x14ac:dyDescent="0.25">
      <c r="A2801" s="22">
        <v>41152</v>
      </c>
      <c r="K2801" s="1">
        <v>5.3</v>
      </c>
      <c r="Q2801" s="1">
        <v>0</v>
      </c>
    </row>
    <row r="2802" spans="1:17" x14ac:dyDescent="0.25">
      <c r="A2802" s="22">
        <v>41153</v>
      </c>
      <c r="K2802" s="1">
        <v>0</v>
      </c>
      <c r="Q2802" s="1">
        <v>0</v>
      </c>
    </row>
    <row r="2803" spans="1:17" x14ac:dyDescent="0.25">
      <c r="A2803" s="22">
        <v>41154</v>
      </c>
      <c r="K2803" s="1">
        <v>0</v>
      </c>
      <c r="Q2803" s="1">
        <v>0</v>
      </c>
    </row>
    <row r="2804" spans="1:17" x14ac:dyDescent="0.25">
      <c r="A2804" s="22">
        <v>41155</v>
      </c>
      <c r="K2804" s="1">
        <v>0</v>
      </c>
      <c r="Q2804" s="1">
        <v>0.3</v>
      </c>
    </row>
    <row r="2805" spans="1:17" x14ac:dyDescent="0.25">
      <c r="A2805" s="22">
        <v>41156</v>
      </c>
      <c r="K2805" s="1">
        <v>10.1</v>
      </c>
      <c r="Q2805" s="1">
        <v>2.5</v>
      </c>
    </row>
    <row r="2806" spans="1:17" x14ac:dyDescent="0.25">
      <c r="A2806" s="22">
        <v>41157</v>
      </c>
      <c r="K2806" s="1">
        <v>4.3</v>
      </c>
      <c r="Q2806" s="1">
        <v>2.8</v>
      </c>
    </row>
    <row r="2807" spans="1:17" x14ac:dyDescent="0.25">
      <c r="A2807" s="22">
        <v>41158</v>
      </c>
      <c r="K2807" s="1">
        <v>1</v>
      </c>
      <c r="Q2807" s="1">
        <v>0</v>
      </c>
    </row>
    <row r="2808" spans="1:17" x14ac:dyDescent="0.25">
      <c r="A2808" s="22">
        <v>41159</v>
      </c>
      <c r="K2808" s="1">
        <v>0</v>
      </c>
      <c r="Q2808" s="1">
        <v>11.2</v>
      </c>
    </row>
    <row r="2809" spans="1:17" x14ac:dyDescent="0.25">
      <c r="A2809" s="22">
        <v>41160</v>
      </c>
      <c r="K2809" s="1">
        <v>0</v>
      </c>
      <c r="Q2809" s="1">
        <v>2.5</v>
      </c>
    </row>
    <row r="2810" spans="1:17" x14ac:dyDescent="0.25">
      <c r="A2810" s="22">
        <v>41161</v>
      </c>
      <c r="K2810" s="1">
        <v>0</v>
      </c>
      <c r="Q2810" s="1">
        <v>21.8</v>
      </c>
    </row>
    <row r="2811" spans="1:17" x14ac:dyDescent="0.25">
      <c r="A2811" s="22">
        <v>41162</v>
      </c>
      <c r="K2811" s="1">
        <v>29.1</v>
      </c>
      <c r="Q2811" s="1">
        <v>2.4</v>
      </c>
    </row>
    <row r="2812" spans="1:17" x14ac:dyDescent="0.25">
      <c r="A2812" s="22">
        <v>41163</v>
      </c>
      <c r="K2812" s="1">
        <v>8.1</v>
      </c>
      <c r="Q2812" s="1">
        <v>7</v>
      </c>
    </row>
    <row r="2813" spans="1:17" x14ac:dyDescent="0.25">
      <c r="A2813" s="22">
        <v>41164</v>
      </c>
      <c r="K2813" s="1">
        <v>47.5</v>
      </c>
      <c r="Q2813" s="1">
        <v>0</v>
      </c>
    </row>
    <row r="2814" spans="1:17" x14ac:dyDescent="0.25">
      <c r="A2814" s="22">
        <v>41165</v>
      </c>
      <c r="K2814" s="1">
        <v>0</v>
      </c>
      <c r="Q2814" s="1">
        <v>1.4</v>
      </c>
    </row>
    <row r="2815" spans="1:17" x14ac:dyDescent="0.25">
      <c r="A2815" s="22">
        <v>41166</v>
      </c>
      <c r="K2815" s="1">
        <v>0.2</v>
      </c>
      <c r="Q2815" s="1">
        <v>0</v>
      </c>
    </row>
    <row r="2816" spans="1:17" x14ac:dyDescent="0.25">
      <c r="A2816" s="22">
        <v>41167</v>
      </c>
      <c r="K2816" s="1">
        <v>1.1000000000000001</v>
      </c>
      <c r="Q2816" s="1">
        <v>0</v>
      </c>
    </row>
    <row r="2817" spans="1:17" x14ac:dyDescent="0.25">
      <c r="A2817" s="22">
        <v>41168</v>
      </c>
      <c r="K2817" s="1">
        <v>0</v>
      </c>
      <c r="Q2817" s="1">
        <v>0</v>
      </c>
    </row>
    <row r="2818" spans="1:17" x14ac:dyDescent="0.25">
      <c r="A2818" s="22">
        <v>41169</v>
      </c>
      <c r="K2818" s="1">
        <v>0</v>
      </c>
      <c r="Q2818" s="1">
        <v>13.2</v>
      </c>
    </row>
    <row r="2819" spans="1:17" x14ac:dyDescent="0.25">
      <c r="A2819" s="22">
        <v>41170</v>
      </c>
      <c r="K2819" s="1">
        <v>1.6</v>
      </c>
      <c r="Q2819" s="1">
        <v>33.299999999999997</v>
      </c>
    </row>
    <row r="2820" spans="1:17" x14ac:dyDescent="0.25">
      <c r="A2820" s="22">
        <v>41171</v>
      </c>
      <c r="K2820" s="1">
        <v>16</v>
      </c>
      <c r="Q2820" s="1">
        <v>4.2</v>
      </c>
    </row>
    <row r="2821" spans="1:17" x14ac:dyDescent="0.25">
      <c r="A2821" s="22">
        <v>41172</v>
      </c>
      <c r="K2821" s="1">
        <v>6.7</v>
      </c>
      <c r="Q2821" s="1">
        <v>9.6999999999999993</v>
      </c>
    </row>
    <row r="2822" spans="1:17" x14ac:dyDescent="0.25">
      <c r="A2822" s="22">
        <v>41173</v>
      </c>
      <c r="K2822" s="1">
        <v>17.100000000000001</v>
      </c>
      <c r="Q2822" s="1">
        <v>0</v>
      </c>
    </row>
    <row r="2823" spans="1:17" x14ac:dyDescent="0.25">
      <c r="A2823" s="22">
        <v>41174</v>
      </c>
      <c r="K2823" s="1">
        <v>3.8</v>
      </c>
      <c r="Q2823" s="1">
        <v>0</v>
      </c>
    </row>
    <row r="2824" spans="1:17" x14ac:dyDescent="0.25">
      <c r="A2824" s="22">
        <v>41175</v>
      </c>
      <c r="K2824" s="1">
        <v>0</v>
      </c>
      <c r="Q2824" s="1">
        <v>14.7</v>
      </c>
    </row>
    <row r="2825" spans="1:17" x14ac:dyDescent="0.25">
      <c r="A2825" s="22">
        <v>41176</v>
      </c>
      <c r="K2825" s="1">
        <v>16.2</v>
      </c>
      <c r="Q2825" s="1">
        <v>25.7</v>
      </c>
    </row>
    <row r="2826" spans="1:17" x14ac:dyDescent="0.25">
      <c r="A2826" s="22">
        <v>41177</v>
      </c>
      <c r="K2826" s="1">
        <v>20.6</v>
      </c>
      <c r="Q2826" s="1">
        <v>0</v>
      </c>
    </row>
    <row r="2827" spans="1:17" x14ac:dyDescent="0.25">
      <c r="A2827" s="22">
        <v>41178</v>
      </c>
      <c r="K2827" s="1">
        <v>0</v>
      </c>
      <c r="Q2827" s="1">
        <v>0</v>
      </c>
    </row>
    <row r="2828" spans="1:17" x14ac:dyDescent="0.25">
      <c r="A2828" s="22">
        <v>41179</v>
      </c>
      <c r="K2828" s="1">
        <v>0</v>
      </c>
      <c r="Q2828" s="1">
        <v>0</v>
      </c>
    </row>
    <row r="2829" spans="1:17" x14ac:dyDescent="0.25">
      <c r="A2829" s="22">
        <v>41180</v>
      </c>
      <c r="K2829" s="1">
        <v>0</v>
      </c>
      <c r="Q2829" s="1">
        <v>0</v>
      </c>
    </row>
    <row r="2830" spans="1:17" x14ac:dyDescent="0.25">
      <c r="A2830" s="22">
        <v>41181</v>
      </c>
      <c r="K2830" s="1">
        <v>0</v>
      </c>
      <c r="Q2830" s="1">
        <v>4.4000000000000004</v>
      </c>
    </row>
    <row r="2831" spans="1:17" x14ac:dyDescent="0.25">
      <c r="A2831" s="22">
        <v>41182</v>
      </c>
      <c r="K2831" s="1">
        <v>0</v>
      </c>
      <c r="Q2831" s="1">
        <v>1.1000000000000001</v>
      </c>
    </row>
    <row r="2832" spans="1:17" x14ac:dyDescent="0.25">
      <c r="A2832" s="22">
        <v>41183</v>
      </c>
      <c r="K2832" s="1">
        <v>24.6</v>
      </c>
      <c r="Q2832" s="1">
        <v>3.7</v>
      </c>
    </row>
    <row r="2833" spans="1:17" x14ac:dyDescent="0.25">
      <c r="A2833" s="22">
        <v>41184</v>
      </c>
      <c r="K2833" s="1">
        <v>14.7</v>
      </c>
      <c r="Q2833" s="1">
        <v>0.9</v>
      </c>
    </row>
    <row r="2834" spans="1:17" x14ac:dyDescent="0.25">
      <c r="A2834" s="22">
        <v>41185</v>
      </c>
      <c r="K2834" s="1">
        <v>0.5</v>
      </c>
      <c r="Q2834" s="1">
        <v>50.2</v>
      </c>
    </row>
    <row r="2835" spans="1:17" x14ac:dyDescent="0.25">
      <c r="A2835" s="22">
        <v>41186</v>
      </c>
      <c r="K2835" s="1">
        <v>34</v>
      </c>
      <c r="Q2835" s="1">
        <v>0</v>
      </c>
    </row>
    <row r="2836" spans="1:17" x14ac:dyDescent="0.25">
      <c r="A2836" s="22">
        <v>41187</v>
      </c>
      <c r="K2836" s="1">
        <v>0</v>
      </c>
      <c r="Q2836" s="1">
        <v>0</v>
      </c>
    </row>
    <row r="2837" spans="1:17" x14ac:dyDescent="0.25">
      <c r="A2837" s="22">
        <v>41188</v>
      </c>
      <c r="K2837" s="1">
        <v>0</v>
      </c>
      <c r="Q2837" s="1">
        <v>0</v>
      </c>
    </row>
    <row r="2838" spans="1:17" x14ac:dyDescent="0.25">
      <c r="A2838" s="22">
        <v>41189</v>
      </c>
      <c r="K2838" s="1">
        <v>0</v>
      </c>
      <c r="Q2838" s="1">
        <v>0.4</v>
      </c>
    </row>
    <row r="2839" spans="1:17" x14ac:dyDescent="0.25">
      <c r="A2839" s="22">
        <v>41190</v>
      </c>
      <c r="K2839" s="1">
        <v>4.5999999999999996</v>
      </c>
      <c r="Q2839" s="1">
        <v>0</v>
      </c>
    </row>
    <row r="2840" spans="1:17" x14ac:dyDescent="0.25">
      <c r="A2840" s="22">
        <v>41191</v>
      </c>
      <c r="K2840" s="1">
        <v>3.1</v>
      </c>
      <c r="Q2840" s="1">
        <v>0.4</v>
      </c>
    </row>
    <row r="2841" spans="1:17" x14ac:dyDescent="0.25">
      <c r="A2841" s="22">
        <v>41192</v>
      </c>
      <c r="K2841" s="1">
        <v>2</v>
      </c>
      <c r="Q2841" s="1">
        <v>0.3</v>
      </c>
    </row>
    <row r="2842" spans="1:17" x14ac:dyDescent="0.25">
      <c r="A2842" s="22">
        <v>41193</v>
      </c>
      <c r="K2842" s="1">
        <v>10</v>
      </c>
      <c r="Q2842" s="1">
        <v>22.8</v>
      </c>
    </row>
    <row r="2843" spans="1:17" x14ac:dyDescent="0.25">
      <c r="A2843" s="22">
        <v>41194</v>
      </c>
      <c r="K2843" s="1">
        <v>8.1</v>
      </c>
      <c r="Q2843" s="1">
        <v>57.7</v>
      </c>
    </row>
    <row r="2844" spans="1:17" x14ac:dyDescent="0.25">
      <c r="A2844" s="22">
        <v>41195</v>
      </c>
      <c r="K2844" s="1">
        <v>6</v>
      </c>
      <c r="Q2844" s="1">
        <v>0</v>
      </c>
    </row>
    <row r="2845" spans="1:17" x14ac:dyDescent="0.25">
      <c r="A2845" s="22">
        <v>41196</v>
      </c>
      <c r="K2845" s="1">
        <v>0</v>
      </c>
      <c r="Q2845" s="1">
        <v>8</v>
      </c>
    </row>
    <row r="2846" spans="1:17" x14ac:dyDescent="0.25">
      <c r="A2846" s="22">
        <v>41197</v>
      </c>
      <c r="K2846" s="1">
        <v>1.8</v>
      </c>
      <c r="Q2846" s="1">
        <v>0.5</v>
      </c>
    </row>
    <row r="2847" spans="1:17" x14ac:dyDescent="0.25">
      <c r="A2847" s="22">
        <v>41198</v>
      </c>
      <c r="K2847" s="1">
        <v>0.8</v>
      </c>
      <c r="Q2847" s="1">
        <v>10.6</v>
      </c>
    </row>
    <row r="2848" spans="1:17" x14ac:dyDescent="0.25">
      <c r="A2848" s="22">
        <v>41199</v>
      </c>
      <c r="K2848" s="1">
        <v>3.1</v>
      </c>
      <c r="Q2848" s="1">
        <v>7.3</v>
      </c>
    </row>
    <row r="2849" spans="1:17" x14ac:dyDescent="0.25">
      <c r="A2849" s="22">
        <v>41200</v>
      </c>
      <c r="K2849" s="1">
        <v>6.8</v>
      </c>
      <c r="Q2849" s="1">
        <v>8.1</v>
      </c>
    </row>
    <row r="2850" spans="1:17" x14ac:dyDescent="0.25">
      <c r="A2850" s="22">
        <v>41201</v>
      </c>
      <c r="K2850" s="1">
        <v>15.5</v>
      </c>
      <c r="Q2850" s="1">
        <v>17.2</v>
      </c>
    </row>
    <row r="2851" spans="1:17" x14ac:dyDescent="0.25">
      <c r="A2851" s="22">
        <v>41202</v>
      </c>
      <c r="K2851" s="1">
        <v>16.2</v>
      </c>
      <c r="Q2851" s="1">
        <v>0</v>
      </c>
    </row>
    <row r="2852" spans="1:17" x14ac:dyDescent="0.25">
      <c r="A2852" s="22">
        <v>41203</v>
      </c>
      <c r="K2852" s="1">
        <v>0.2</v>
      </c>
      <c r="Q2852" s="1">
        <v>0</v>
      </c>
    </row>
    <row r="2853" spans="1:17" x14ac:dyDescent="0.25">
      <c r="A2853" s="22">
        <v>41204</v>
      </c>
      <c r="K2853" s="1">
        <v>0</v>
      </c>
      <c r="Q2853" s="1">
        <v>0</v>
      </c>
    </row>
    <row r="2854" spans="1:17" x14ac:dyDescent="0.25">
      <c r="A2854" s="22">
        <v>41205</v>
      </c>
      <c r="K2854" s="1">
        <v>0</v>
      </c>
      <c r="Q2854" s="1">
        <v>0.5</v>
      </c>
    </row>
    <row r="2855" spans="1:17" x14ac:dyDescent="0.25">
      <c r="A2855" s="22">
        <v>41206</v>
      </c>
      <c r="K2855" s="1">
        <v>4.2</v>
      </c>
      <c r="Q2855" s="1">
        <v>11.9</v>
      </c>
    </row>
    <row r="2856" spans="1:17" x14ac:dyDescent="0.25">
      <c r="A2856" s="22">
        <v>41207</v>
      </c>
      <c r="K2856" s="1">
        <v>9.6</v>
      </c>
      <c r="Q2856" s="1">
        <v>0.5</v>
      </c>
    </row>
    <row r="2857" spans="1:17" x14ac:dyDescent="0.25">
      <c r="A2857" s="22">
        <v>41208</v>
      </c>
      <c r="K2857" s="1">
        <v>0.5</v>
      </c>
      <c r="Q2857" s="1">
        <v>5.3</v>
      </c>
    </row>
    <row r="2858" spans="1:17" x14ac:dyDescent="0.25">
      <c r="A2858" s="22">
        <v>41209</v>
      </c>
      <c r="K2858" s="1">
        <v>0</v>
      </c>
      <c r="Q2858" s="1">
        <v>0</v>
      </c>
    </row>
    <row r="2859" spans="1:17" x14ac:dyDescent="0.25">
      <c r="A2859" s="22">
        <v>41210</v>
      </c>
      <c r="K2859" s="1">
        <v>0</v>
      </c>
      <c r="Q2859" s="1">
        <v>0</v>
      </c>
    </row>
    <row r="2860" spans="1:17" x14ac:dyDescent="0.25">
      <c r="A2860" s="22">
        <v>41211</v>
      </c>
      <c r="K2860" s="1">
        <v>0</v>
      </c>
      <c r="Q2860" s="1">
        <v>0</v>
      </c>
    </row>
    <row r="2861" spans="1:17" x14ac:dyDescent="0.25">
      <c r="A2861" s="22">
        <v>41212</v>
      </c>
      <c r="K2861" s="1">
        <v>0</v>
      </c>
      <c r="Q2861" s="1">
        <v>0</v>
      </c>
    </row>
    <row r="2862" spans="1:17" x14ac:dyDescent="0.25">
      <c r="A2862" s="22">
        <v>41213</v>
      </c>
      <c r="K2862" s="1">
        <v>0</v>
      </c>
      <c r="Q2862" s="1">
        <v>1</v>
      </c>
    </row>
    <row r="2863" spans="1:17" x14ac:dyDescent="0.25">
      <c r="A2863" s="22">
        <v>41214</v>
      </c>
      <c r="K2863" s="1">
        <v>1.2</v>
      </c>
      <c r="Q2863" s="1">
        <v>0.4</v>
      </c>
    </row>
    <row r="2864" spans="1:17" x14ac:dyDescent="0.25">
      <c r="A2864" s="22">
        <v>41215</v>
      </c>
      <c r="K2864" s="1">
        <v>0.3</v>
      </c>
      <c r="Q2864" s="1">
        <v>11.7</v>
      </c>
    </row>
    <row r="2865" spans="1:17" x14ac:dyDescent="0.25">
      <c r="A2865" s="22">
        <v>41216</v>
      </c>
      <c r="K2865" s="1">
        <v>0</v>
      </c>
      <c r="Q2865" s="1">
        <v>0</v>
      </c>
    </row>
    <row r="2866" spans="1:17" x14ac:dyDescent="0.25">
      <c r="A2866" s="22">
        <v>41217</v>
      </c>
      <c r="K2866" s="1">
        <v>0</v>
      </c>
      <c r="Q2866" s="1">
        <v>0</v>
      </c>
    </row>
    <row r="2867" spans="1:17" x14ac:dyDescent="0.25">
      <c r="A2867" s="22">
        <v>41218</v>
      </c>
      <c r="K2867" s="1">
        <v>1.7</v>
      </c>
      <c r="Q2867" s="1">
        <v>21.5</v>
      </c>
    </row>
    <row r="2868" spans="1:17" x14ac:dyDescent="0.25">
      <c r="A2868" s="22">
        <v>41219</v>
      </c>
      <c r="K2868" s="1">
        <v>10.6</v>
      </c>
      <c r="Q2868" s="1">
        <v>0.3</v>
      </c>
    </row>
    <row r="2869" spans="1:17" x14ac:dyDescent="0.25">
      <c r="A2869" s="22">
        <v>41220</v>
      </c>
      <c r="K2869" s="1">
        <v>0.6</v>
      </c>
      <c r="Q2869" s="1">
        <v>8.6999999999999993</v>
      </c>
    </row>
    <row r="2870" spans="1:17" x14ac:dyDescent="0.25">
      <c r="A2870" s="22">
        <v>41221</v>
      </c>
      <c r="K2870" s="1">
        <v>2.2000000000000002</v>
      </c>
      <c r="Q2870" s="1">
        <v>1.3</v>
      </c>
    </row>
    <row r="2871" spans="1:17" x14ac:dyDescent="0.25">
      <c r="A2871" s="22">
        <v>41222</v>
      </c>
      <c r="K2871" s="1">
        <v>3.1</v>
      </c>
      <c r="Q2871" s="1">
        <v>21.4</v>
      </c>
    </row>
    <row r="2872" spans="1:17" x14ac:dyDescent="0.25">
      <c r="A2872" s="22">
        <v>41223</v>
      </c>
      <c r="K2872" s="1">
        <v>20.6</v>
      </c>
      <c r="Q2872" s="1">
        <v>30.8</v>
      </c>
    </row>
    <row r="2873" spans="1:17" x14ac:dyDescent="0.25">
      <c r="A2873" s="22">
        <v>41224</v>
      </c>
      <c r="K2873" s="1">
        <v>0</v>
      </c>
      <c r="Q2873" s="1">
        <v>0</v>
      </c>
    </row>
    <row r="2874" spans="1:17" x14ac:dyDescent="0.25">
      <c r="A2874" s="22">
        <v>41225</v>
      </c>
      <c r="K2874" s="1">
        <v>2.6</v>
      </c>
      <c r="Q2874" s="1">
        <v>1.3</v>
      </c>
    </row>
    <row r="2875" spans="1:17" x14ac:dyDescent="0.25">
      <c r="A2875" s="22">
        <v>41226</v>
      </c>
      <c r="K2875" s="1">
        <v>3.7</v>
      </c>
      <c r="Q2875" s="1">
        <v>0</v>
      </c>
    </row>
    <row r="2876" spans="1:17" x14ac:dyDescent="0.25">
      <c r="A2876" s="22">
        <v>41227</v>
      </c>
      <c r="K2876" s="1">
        <v>0</v>
      </c>
      <c r="Q2876" s="1">
        <v>4.5999999999999996</v>
      </c>
    </row>
    <row r="2877" spans="1:17" x14ac:dyDescent="0.25">
      <c r="A2877" s="22">
        <v>41228</v>
      </c>
      <c r="K2877" s="1">
        <v>1.1000000000000001</v>
      </c>
      <c r="Q2877" s="1">
        <v>8.1999999999999993</v>
      </c>
    </row>
    <row r="2878" spans="1:17" x14ac:dyDescent="0.25">
      <c r="A2878" s="22">
        <v>41229</v>
      </c>
      <c r="K2878" s="1">
        <v>11.2</v>
      </c>
      <c r="Q2878" s="1">
        <v>12.4</v>
      </c>
    </row>
    <row r="2879" spans="1:17" x14ac:dyDescent="0.25">
      <c r="A2879" s="22">
        <v>41230</v>
      </c>
      <c r="K2879" s="1">
        <v>0</v>
      </c>
      <c r="Q2879" s="1">
        <v>10.199999999999999</v>
      </c>
    </row>
    <row r="2880" spans="1:17" x14ac:dyDescent="0.25">
      <c r="A2880" s="22">
        <v>41231</v>
      </c>
      <c r="K2880" s="1">
        <v>38.6</v>
      </c>
      <c r="Q2880" s="1">
        <v>5</v>
      </c>
    </row>
    <row r="2881" spans="1:17" x14ac:dyDescent="0.25">
      <c r="A2881" s="22">
        <v>41232</v>
      </c>
      <c r="K2881" s="1">
        <v>8.1</v>
      </c>
      <c r="Q2881" s="1">
        <v>1</v>
      </c>
    </row>
    <row r="2882" spans="1:17" x14ac:dyDescent="0.25">
      <c r="A2882" s="22">
        <v>41233</v>
      </c>
      <c r="K2882" s="1">
        <v>8.1</v>
      </c>
      <c r="Q2882" s="1">
        <v>0.5</v>
      </c>
    </row>
    <row r="2883" spans="1:17" x14ac:dyDescent="0.25">
      <c r="A2883" s="22">
        <v>41234</v>
      </c>
      <c r="K2883" s="1">
        <v>0</v>
      </c>
      <c r="Q2883" s="1">
        <v>0</v>
      </c>
    </row>
    <row r="2884" spans="1:17" x14ac:dyDescent="0.25">
      <c r="A2884" s="22">
        <v>41235</v>
      </c>
      <c r="K2884" s="1">
        <v>0</v>
      </c>
      <c r="Q2884" s="1">
        <v>0</v>
      </c>
    </row>
    <row r="2885" spans="1:17" x14ac:dyDescent="0.25">
      <c r="A2885" s="22">
        <v>41236</v>
      </c>
      <c r="K2885" s="1">
        <v>0</v>
      </c>
      <c r="Q2885" s="1">
        <v>3.5</v>
      </c>
    </row>
    <row r="2886" spans="1:17" x14ac:dyDescent="0.25">
      <c r="A2886" s="22">
        <v>41237</v>
      </c>
      <c r="K2886" s="1">
        <v>0</v>
      </c>
      <c r="Q2886" s="1">
        <v>32.299999999999997</v>
      </c>
    </row>
    <row r="2887" spans="1:17" x14ac:dyDescent="0.25">
      <c r="A2887" s="22">
        <v>41238</v>
      </c>
      <c r="K2887" s="1">
        <v>55.2</v>
      </c>
      <c r="Q2887" s="1">
        <v>16.8</v>
      </c>
    </row>
    <row r="2888" spans="1:17" x14ac:dyDescent="0.25">
      <c r="A2888" s="22">
        <v>41239</v>
      </c>
      <c r="K2888" s="1">
        <v>14.2</v>
      </c>
      <c r="Q2888" s="1">
        <v>2.2999999999999998</v>
      </c>
    </row>
    <row r="2889" spans="1:17" x14ac:dyDescent="0.25">
      <c r="A2889" s="22">
        <v>41240</v>
      </c>
      <c r="K2889" s="1">
        <v>2.7</v>
      </c>
      <c r="Q2889" s="1">
        <v>1.2</v>
      </c>
    </row>
    <row r="2890" spans="1:17" x14ac:dyDescent="0.25">
      <c r="A2890" s="22">
        <v>41241</v>
      </c>
      <c r="K2890" s="1">
        <v>6.4</v>
      </c>
      <c r="Q2890" s="1">
        <v>9.9</v>
      </c>
    </row>
    <row r="2891" spans="1:17" x14ac:dyDescent="0.25">
      <c r="A2891" s="22">
        <v>41242</v>
      </c>
      <c r="K2891" s="1">
        <v>5.2</v>
      </c>
      <c r="Q2891" s="1">
        <v>2.7</v>
      </c>
    </row>
    <row r="2892" spans="1:17" x14ac:dyDescent="0.25">
      <c r="A2892" s="22">
        <v>41243</v>
      </c>
      <c r="K2892" s="1">
        <v>4.3</v>
      </c>
      <c r="Q2892" s="1">
        <v>0.1</v>
      </c>
    </row>
    <row r="2893" spans="1:17" x14ac:dyDescent="0.25">
      <c r="A2893" s="22">
        <v>41244</v>
      </c>
      <c r="K2893" s="1">
        <v>2.1</v>
      </c>
      <c r="Q2893" s="1">
        <v>0</v>
      </c>
    </row>
    <row r="2894" spans="1:17" x14ac:dyDescent="0.25">
      <c r="A2894" s="22">
        <v>41245</v>
      </c>
      <c r="K2894" s="1">
        <v>0</v>
      </c>
      <c r="Q2894" s="1">
        <v>0</v>
      </c>
    </row>
    <row r="2895" spans="1:17" x14ac:dyDescent="0.25">
      <c r="A2895" s="22">
        <v>41246</v>
      </c>
      <c r="K2895" s="1">
        <v>0</v>
      </c>
      <c r="Q2895" s="1">
        <v>0</v>
      </c>
    </row>
    <row r="2896" spans="1:17" x14ac:dyDescent="0.25">
      <c r="A2896" s="22">
        <v>41247</v>
      </c>
      <c r="K2896" s="1">
        <v>0</v>
      </c>
      <c r="Q2896" s="1">
        <v>0</v>
      </c>
    </row>
    <row r="2897" spans="1:17" x14ac:dyDescent="0.25">
      <c r="A2897" s="22">
        <v>41248</v>
      </c>
      <c r="K2897" s="1">
        <v>5.6</v>
      </c>
      <c r="Q2897" s="1">
        <v>0</v>
      </c>
    </row>
    <row r="2898" spans="1:17" x14ac:dyDescent="0.25">
      <c r="A2898" s="22">
        <v>41249</v>
      </c>
      <c r="K2898" s="1">
        <v>1.4</v>
      </c>
      <c r="Q2898" s="1">
        <v>2.2999999999999998</v>
      </c>
    </row>
    <row r="2899" spans="1:17" x14ac:dyDescent="0.25">
      <c r="A2899" s="22">
        <v>41250</v>
      </c>
      <c r="K2899" s="1">
        <v>0</v>
      </c>
      <c r="Q2899" s="1">
        <v>3.4</v>
      </c>
    </row>
    <row r="2900" spans="1:17" x14ac:dyDescent="0.25">
      <c r="A2900" s="22">
        <v>41251</v>
      </c>
      <c r="K2900" s="1">
        <v>0</v>
      </c>
      <c r="Q2900" s="1">
        <v>25.1</v>
      </c>
    </row>
    <row r="2901" spans="1:17" x14ac:dyDescent="0.25">
      <c r="A2901" s="22">
        <v>41252</v>
      </c>
      <c r="K2901" s="1">
        <v>0</v>
      </c>
      <c r="Q2901" s="1">
        <v>14.2</v>
      </c>
    </row>
    <row r="2902" spans="1:17" x14ac:dyDescent="0.25">
      <c r="A2902" s="22">
        <v>41253</v>
      </c>
      <c r="K2902" s="1">
        <v>44.5</v>
      </c>
      <c r="Q2902" s="1">
        <v>25.3</v>
      </c>
    </row>
    <row r="2903" spans="1:17" x14ac:dyDescent="0.25">
      <c r="A2903" s="22">
        <v>41254</v>
      </c>
      <c r="K2903" s="1">
        <v>42.6</v>
      </c>
      <c r="Q2903" s="1">
        <v>34.6</v>
      </c>
    </row>
    <row r="2904" spans="1:17" x14ac:dyDescent="0.25">
      <c r="A2904" s="22">
        <v>41255</v>
      </c>
      <c r="K2904" s="1">
        <v>0</v>
      </c>
      <c r="Q2904" s="1">
        <v>5.5</v>
      </c>
    </row>
    <row r="2905" spans="1:17" x14ac:dyDescent="0.25">
      <c r="A2905" s="22">
        <v>41256</v>
      </c>
      <c r="K2905" s="1">
        <v>39.799999999999997</v>
      </c>
      <c r="Q2905" s="1">
        <v>4.0999999999999996</v>
      </c>
    </row>
    <row r="2906" spans="1:17" x14ac:dyDescent="0.25">
      <c r="A2906" s="22">
        <v>41257</v>
      </c>
      <c r="K2906" s="1">
        <v>0</v>
      </c>
      <c r="Q2906" s="1">
        <v>0</v>
      </c>
    </row>
    <row r="2907" spans="1:17" x14ac:dyDescent="0.25">
      <c r="A2907" s="22">
        <v>41258</v>
      </c>
      <c r="K2907" s="1">
        <v>0</v>
      </c>
      <c r="Q2907" s="1">
        <v>0</v>
      </c>
    </row>
    <row r="2908" spans="1:17" x14ac:dyDescent="0.25">
      <c r="A2908" s="22">
        <v>41259</v>
      </c>
      <c r="K2908" s="1">
        <v>0</v>
      </c>
      <c r="Q2908" s="1">
        <v>0</v>
      </c>
    </row>
    <row r="2909" spans="1:17" x14ac:dyDescent="0.25">
      <c r="A2909" s="22">
        <v>41260</v>
      </c>
      <c r="K2909" s="1">
        <v>0</v>
      </c>
      <c r="Q2909" s="1">
        <v>7.7</v>
      </c>
    </row>
    <row r="2910" spans="1:17" x14ac:dyDescent="0.25">
      <c r="A2910" s="22">
        <v>41261</v>
      </c>
      <c r="K2910" s="1">
        <v>7</v>
      </c>
      <c r="Q2910" s="1">
        <v>0.9</v>
      </c>
    </row>
    <row r="2911" spans="1:17" x14ac:dyDescent="0.25">
      <c r="A2911" s="22">
        <v>41262</v>
      </c>
      <c r="K2911" s="1">
        <v>1.3</v>
      </c>
      <c r="Q2911" s="1">
        <v>0</v>
      </c>
    </row>
    <row r="2912" spans="1:17" x14ac:dyDescent="0.25">
      <c r="A2912" s="22">
        <v>41263</v>
      </c>
      <c r="K2912" s="1">
        <v>0</v>
      </c>
      <c r="Q2912" s="1">
        <v>85.1</v>
      </c>
    </row>
    <row r="2913" spans="1:17" x14ac:dyDescent="0.25">
      <c r="A2913" s="22">
        <v>41264</v>
      </c>
      <c r="K2913" s="1">
        <v>46.6</v>
      </c>
      <c r="Q2913" s="1">
        <v>33.9</v>
      </c>
    </row>
    <row r="2914" spans="1:17" x14ac:dyDescent="0.25">
      <c r="A2914" s="22">
        <v>41265</v>
      </c>
      <c r="K2914" s="1">
        <v>19.100000000000001</v>
      </c>
      <c r="Q2914" s="1">
        <v>1.9</v>
      </c>
    </row>
    <row r="2915" spans="1:17" x14ac:dyDescent="0.25">
      <c r="A2915" s="22">
        <v>41266</v>
      </c>
      <c r="K2915" s="1">
        <v>0</v>
      </c>
      <c r="Q2915" s="1">
        <v>0</v>
      </c>
    </row>
    <row r="2916" spans="1:17" x14ac:dyDescent="0.25">
      <c r="A2916" s="22">
        <v>41267</v>
      </c>
      <c r="K2916" s="1">
        <v>2.2999999999999998</v>
      </c>
      <c r="Q2916" s="1">
        <v>2.7</v>
      </c>
    </row>
    <row r="2917" spans="1:17" x14ac:dyDescent="0.25">
      <c r="A2917" s="22">
        <v>41268</v>
      </c>
      <c r="K2917" s="1">
        <v>13.3</v>
      </c>
      <c r="Q2917" s="1">
        <v>23.1</v>
      </c>
    </row>
    <row r="2918" spans="1:17" x14ac:dyDescent="0.25">
      <c r="A2918" s="22">
        <v>41269</v>
      </c>
      <c r="K2918" s="1">
        <v>4</v>
      </c>
      <c r="Q2918" s="1">
        <v>0.6</v>
      </c>
    </row>
    <row r="2919" spans="1:17" x14ac:dyDescent="0.25">
      <c r="A2919" s="22">
        <v>41270</v>
      </c>
      <c r="K2919" s="1">
        <v>0</v>
      </c>
      <c r="Q2919" s="1">
        <v>0.7</v>
      </c>
    </row>
    <row r="2920" spans="1:17" x14ac:dyDescent="0.25">
      <c r="A2920" s="22">
        <v>41271</v>
      </c>
      <c r="K2920" s="1">
        <v>2</v>
      </c>
      <c r="Q2920" s="1">
        <v>21.6</v>
      </c>
    </row>
    <row r="2921" spans="1:17" x14ac:dyDescent="0.25">
      <c r="A2921" s="22">
        <v>41272</v>
      </c>
      <c r="K2921" s="1">
        <v>26</v>
      </c>
      <c r="Q2921" s="1">
        <v>10.4</v>
      </c>
    </row>
    <row r="2922" spans="1:17" x14ac:dyDescent="0.25">
      <c r="A2922" s="22">
        <v>41273</v>
      </c>
      <c r="K2922" s="1">
        <v>7.7</v>
      </c>
      <c r="Q2922" s="1">
        <v>1.8</v>
      </c>
    </row>
    <row r="2923" spans="1:17" x14ac:dyDescent="0.25">
      <c r="A2923" s="22">
        <v>41274</v>
      </c>
      <c r="K2923" s="1">
        <v>19.2</v>
      </c>
      <c r="Q2923" s="1">
        <v>44.6</v>
      </c>
    </row>
    <row r="2924" spans="1:17" x14ac:dyDescent="0.25">
      <c r="A2924" s="22">
        <v>41275</v>
      </c>
      <c r="F2924" s="25"/>
      <c r="G2924" s="33">
        <v>0.2</v>
      </c>
      <c r="I2924" s="25"/>
      <c r="J2924" s="25"/>
      <c r="K2924" s="24">
        <v>20.5</v>
      </c>
      <c r="O2924" s="38">
        <v>2.54</v>
      </c>
      <c r="Q2924" s="24"/>
    </row>
    <row r="2925" spans="1:17" x14ac:dyDescent="0.25">
      <c r="A2925" s="22">
        <v>41276</v>
      </c>
      <c r="F2925" s="25"/>
      <c r="G2925" s="33">
        <v>10.1</v>
      </c>
      <c r="I2925" s="25"/>
      <c r="J2925" s="25"/>
      <c r="K2925" s="24">
        <v>2.2999999999999998</v>
      </c>
      <c r="O2925" s="38">
        <v>0</v>
      </c>
      <c r="Q2925" s="24"/>
    </row>
    <row r="2926" spans="1:17" x14ac:dyDescent="0.25">
      <c r="A2926" s="22">
        <v>41277</v>
      </c>
      <c r="F2926" s="25"/>
      <c r="G2926" s="33">
        <v>12.2</v>
      </c>
      <c r="I2926" s="25"/>
      <c r="J2926" s="25"/>
      <c r="K2926" s="24">
        <v>2.2000000000000002</v>
      </c>
      <c r="O2926" s="38">
        <v>17.779999999999998</v>
      </c>
      <c r="Q2926" s="24"/>
    </row>
    <row r="2927" spans="1:17" x14ac:dyDescent="0.25">
      <c r="A2927" s="22">
        <v>41278</v>
      </c>
      <c r="F2927" s="25"/>
      <c r="G2927" s="33">
        <v>11.9</v>
      </c>
      <c r="I2927" s="25"/>
      <c r="J2927" s="24"/>
      <c r="K2927" s="24">
        <v>10.6</v>
      </c>
      <c r="O2927" s="38">
        <v>0</v>
      </c>
      <c r="Q2927" s="24"/>
    </row>
    <row r="2928" spans="1:17" x14ac:dyDescent="0.25">
      <c r="A2928" s="22">
        <v>41279</v>
      </c>
      <c r="F2928" s="25"/>
      <c r="G2928" s="33">
        <v>11.5</v>
      </c>
      <c r="I2928" s="25"/>
      <c r="J2928" s="25"/>
      <c r="K2928" s="24">
        <v>20.6</v>
      </c>
      <c r="O2928" s="38">
        <v>0.50800000000000001</v>
      </c>
      <c r="Q2928" s="24"/>
    </row>
    <row r="2929" spans="1:17" x14ac:dyDescent="0.25">
      <c r="A2929" s="22">
        <v>41280</v>
      </c>
      <c r="F2929" s="25"/>
      <c r="G2929" s="33">
        <v>32.1</v>
      </c>
      <c r="I2929" s="25"/>
      <c r="J2929" s="25"/>
      <c r="K2929" s="24">
        <v>15.8</v>
      </c>
      <c r="O2929" s="38">
        <v>5.08</v>
      </c>
      <c r="Q2929" s="24"/>
    </row>
    <row r="2930" spans="1:17" x14ac:dyDescent="0.25">
      <c r="A2930" s="22">
        <v>41281</v>
      </c>
      <c r="F2930" s="25"/>
      <c r="G2930" s="33">
        <v>24.8</v>
      </c>
      <c r="I2930" s="24"/>
      <c r="J2930" s="25"/>
      <c r="K2930" s="24">
        <v>20.6</v>
      </c>
      <c r="O2930" s="38">
        <v>0.254</v>
      </c>
      <c r="Q2930" s="24"/>
    </row>
    <row r="2931" spans="1:17" x14ac:dyDescent="0.25">
      <c r="A2931" s="22">
        <v>41282</v>
      </c>
      <c r="F2931" s="25"/>
      <c r="G2931" s="33">
        <v>24.1</v>
      </c>
      <c r="I2931" s="25"/>
      <c r="J2931" s="25"/>
      <c r="K2931" s="24">
        <v>29.4</v>
      </c>
      <c r="O2931" s="38">
        <v>0.7619999999999999</v>
      </c>
      <c r="Q2931" s="24"/>
    </row>
    <row r="2932" spans="1:17" x14ac:dyDescent="0.25">
      <c r="A2932" s="22">
        <v>41283</v>
      </c>
      <c r="F2932" s="25"/>
      <c r="G2932" s="33">
        <v>0.8</v>
      </c>
      <c r="I2932" s="25"/>
      <c r="J2932" s="25"/>
      <c r="K2932" s="24">
        <v>30.8</v>
      </c>
      <c r="O2932" s="38">
        <v>3.556</v>
      </c>
      <c r="Q2932" s="24"/>
    </row>
    <row r="2933" spans="1:17" x14ac:dyDescent="0.25">
      <c r="A2933" s="22">
        <v>41284</v>
      </c>
      <c r="F2933" s="25"/>
      <c r="G2933" s="33">
        <v>27.7</v>
      </c>
      <c r="I2933" s="25"/>
      <c r="J2933" s="25"/>
      <c r="K2933" s="24">
        <v>0.8</v>
      </c>
      <c r="O2933" s="38">
        <v>5.08</v>
      </c>
      <c r="Q2933" s="24"/>
    </row>
    <row r="2934" spans="1:17" x14ac:dyDescent="0.25">
      <c r="A2934" s="22">
        <v>41285</v>
      </c>
      <c r="F2934" s="25"/>
      <c r="G2934" s="33">
        <v>6.8</v>
      </c>
      <c r="I2934" s="25"/>
      <c r="J2934" s="25"/>
      <c r="K2934" s="24">
        <v>14.9</v>
      </c>
      <c r="O2934" s="38">
        <v>0</v>
      </c>
      <c r="Q2934" s="24"/>
    </row>
    <row r="2935" spans="1:17" x14ac:dyDescent="0.25">
      <c r="A2935" s="22">
        <v>41286</v>
      </c>
      <c r="F2935" s="25"/>
      <c r="G2935" s="33">
        <v>1.3</v>
      </c>
      <c r="I2935" s="25"/>
      <c r="J2935" s="24"/>
      <c r="K2935" s="24">
        <v>4.0999999999999996</v>
      </c>
      <c r="O2935" s="38">
        <v>7.3659999999999988</v>
      </c>
      <c r="Q2935" s="24"/>
    </row>
    <row r="2936" spans="1:17" x14ac:dyDescent="0.25">
      <c r="A2936" s="22">
        <v>41287</v>
      </c>
      <c r="F2936" s="25"/>
      <c r="G2936" s="33">
        <v>0</v>
      </c>
      <c r="I2936" s="25"/>
      <c r="J2936" s="25"/>
      <c r="K2936" s="24">
        <v>3.1</v>
      </c>
      <c r="O2936" s="38">
        <v>0</v>
      </c>
      <c r="Q2936" s="24"/>
    </row>
    <row r="2937" spans="1:17" x14ac:dyDescent="0.25">
      <c r="A2937" s="22">
        <v>41288</v>
      </c>
      <c r="F2937" s="25"/>
      <c r="G2937" s="33">
        <v>0</v>
      </c>
      <c r="I2937" s="25"/>
      <c r="J2937" s="25"/>
      <c r="K2937" s="24">
        <v>0</v>
      </c>
      <c r="O2937" s="38">
        <v>0</v>
      </c>
      <c r="Q2937" s="24"/>
    </row>
    <row r="2938" spans="1:17" x14ac:dyDescent="0.25">
      <c r="A2938" s="22">
        <v>41289</v>
      </c>
      <c r="F2938" s="25"/>
      <c r="G2938" s="33">
        <v>0</v>
      </c>
      <c r="I2938" s="25"/>
      <c r="J2938" s="25"/>
      <c r="K2938" s="24">
        <v>0</v>
      </c>
      <c r="O2938" s="38">
        <v>2.54</v>
      </c>
      <c r="Q2938" s="24"/>
    </row>
    <row r="2939" spans="1:17" x14ac:dyDescent="0.25">
      <c r="A2939" s="22">
        <v>41290</v>
      </c>
      <c r="F2939" s="25"/>
      <c r="G2939" s="33">
        <v>3.1</v>
      </c>
      <c r="I2939" s="24"/>
      <c r="J2939" s="24"/>
      <c r="K2939" s="24">
        <v>0</v>
      </c>
      <c r="O2939" s="38">
        <v>8.3819999999999997</v>
      </c>
      <c r="Q2939" s="24"/>
    </row>
    <row r="2940" spans="1:17" x14ac:dyDescent="0.25">
      <c r="A2940" s="22">
        <v>41291</v>
      </c>
      <c r="F2940" s="25"/>
      <c r="G2940" s="33">
        <v>0</v>
      </c>
      <c r="I2940" s="25"/>
      <c r="J2940" s="25"/>
      <c r="K2940" s="24">
        <v>0</v>
      </c>
      <c r="O2940" s="38">
        <v>0</v>
      </c>
      <c r="Q2940" s="24"/>
    </row>
    <row r="2941" spans="1:17" x14ac:dyDescent="0.25">
      <c r="A2941" s="22">
        <v>41292</v>
      </c>
      <c r="F2941" s="25"/>
      <c r="G2941" s="33">
        <v>3.6</v>
      </c>
      <c r="I2941" s="25"/>
      <c r="J2941" s="25"/>
      <c r="K2941" s="24">
        <v>0.2</v>
      </c>
      <c r="O2941" s="38">
        <v>2.54</v>
      </c>
      <c r="Q2941" s="24"/>
    </row>
    <row r="2942" spans="1:17" x14ac:dyDescent="0.25">
      <c r="A2942" s="22">
        <v>41293</v>
      </c>
      <c r="F2942" s="25"/>
      <c r="G2942" s="33">
        <v>13.6</v>
      </c>
      <c r="I2942" s="25"/>
      <c r="J2942" s="24"/>
      <c r="K2942" s="24">
        <v>2.5</v>
      </c>
      <c r="O2942" s="38">
        <v>1.27</v>
      </c>
      <c r="Q2942" s="24"/>
    </row>
    <row r="2943" spans="1:17" x14ac:dyDescent="0.25">
      <c r="A2943" s="22">
        <v>41294</v>
      </c>
      <c r="F2943" s="25"/>
      <c r="G2943" s="33">
        <v>2.5</v>
      </c>
      <c r="I2943" s="25"/>
      <c r="J2943" s="24"/>
      <c r="K2943" s="24">
        <v>0</v>
      </c>
      <c r="O2943" s="38">
        <v>8.3819999999999997</v>
      </c>
      <c r="Q2943" s="24"/>
    </row>
    <row r="2944" spans="1:17" x14ac:dyDescent="0.25">
      <c r="A2944" s="22">
        <v>41295</v>
      </c>
      <c r="F2944" s="25"/>
      <c r="G2944" s="33">
        <v>0.2</v>
      </c>
      <c r="I2944" s="25"/>
      <c r="J2944" s="25"/>
      <c r="K2944" s="24">
        <v>0</v>
      </c>
      <c r="O2944" s="38">
        <v>1.27</v>
      </c>
      <c r="Q2944" s="24"/>
    </row>
    <row r="2945" spans="1:17" x14ac:dyDescent="0.25">
      <c r="A2945" s="22">
        <v>41296</v>
      </c>
      <c r="F2945" s="25"/>
      <c r="G2945" s="33">
        <v>12.2</v>
      </c>
      <c r="I2945" s="25"/>
      <c r="J2945" s="25"/>
      <c r="K2945" s="24">
        <v>7.8</v>
      </c>
      <c r="O2945" s="38">
        <v>4.5719999999999992</v>
      </c>
      <c r="Q2945" s="24"/>
    </row>
    <row r="2946" spans="1:17" x14ac:dyDescent="0.25">
      <c r="A2946" s="22">
        <v>41297</v>
      </c>
      <c r="F2946" s="25"/>
      <c r="G2946" s="33">
        <v>5</v>
      </c>
      <c r="I2946" s="24"/>
      <c r="J2946" s="24"/>
      <c r="K2946" s="24">
        <v>0</v>
      </c>
      <c r="O2946" s="38">
        <v>2.54</v>
      </c>
      <c r="Q2946" s="24"/>
    </row>
    <row r="2947" spans="1:17" x14ac:dyDescent="0.25">
      <c r="A2947" s="22">
        <v>41298</v>
      </c>
      <c r="F2947" s="25"/>
      <c r="G2947" s="33">
        <v>9.4</v>
      </c>
      <c r="I2947" s="25"/>
      <c r="J2947" s="24"/>
      <c r="K2947" s="24">
        <v>0</v>
      </c>
      <c r="O2947" s="38">
        <v>15.239999999999998</v>
      </c>
      <c r="Q2947" s="24"/>
    </row>
    <row r="2948" spans="1:17" x14ac:dyDescent="0.25">
      <c r="A2948" s="22">
        <v>41299</v>
      </c>
      <c r="F2948" s="25"/>
      <c r="G2948" s="33">
        <v>10.199999999999999</v>
      </c>
      <c r="I2948" s="24"/>
      <c r="J2948" s="24"/>
      <c r="K2948" s="24">
        <v>0</v>
      </c>
      <c r="O2948" s="38">
        <v>0.7619999999999999</v>
      </c>
      <c r="Q2948" s="24"/>
    </row>
    <row r="2949" spans="1:17" x14ac:dyDescent="0.25">
      <c r="A2949" s="22">
        <v>41300</v>
      </c>
      <c r="F2949" s="25"/>
      <c r="G2949" s="33">
        <v>7.8</v>
      </c>
      <c r="I2949" s="24"/>
      <c r="J2949" s="24"/>
      <c r="K2949" s="24">
        <v>0</v>
      </c>
      <c r="O2949" s="38">
        <v>0</v>
      </c>
      <c r="Q2949" s="24"/>
    </row>
    <row r="2950" spans="1:17" x14ac:dyDescent="0.25">
      <c r="A2950" s="22">
        <v>41301</v>
      </c>
      <c r="F2950" s="25"/>
      <c r="G2950" s="33">
        <v>13.5</v>
      </c>
      <c r="I2950" s="24"/>
      <c r="J2950" s="24"/>
      <c r="K2950" s="24">
        <v>46.5</v>
      </c>
      <c r="O2950" s="38">
        <v>0.254</v>
      </c>
      <c r="Q2950" s="24"/>
    </row>
    <row r="2951" spans="1:17" x14ac:dyDescent="0.25">
      <c r="A2951" s="22">
        <v>41302</v>
      </c>
      <c r="F2951" s="25"/>
      <c r="G2951" s="33">
        <v>2.6</v>
      </c>
      <c r="I2951" s="25"/>
      <c r="J2951" s="25"/>
      <c r="K2951" s="24">
        <v>5</v>
      </c>
      <c r="O2951" s="38">
        <v>0</v>
      </c>
      <c r="Q2951" s="24"/>
    </row>
    <row r="2952" spans="1:17" x14ac:dyDescent="0.25">
      <c r="A2952" s="22">
        <v>41303</v>
      </c>
      <c r="F2952" s="25"/>
      <c r="G2952" s="33">
        <v>1.8</v>
      </c>
      <c r="I2952" s="25"/>
      <c r="J2952" s="25"/>
      <c r="K2952" s="24">
        <v>5</v>
      </c>
      <c r="O2952" s="38">
        <v>0</v>
      </c>
      <c r="Q2952" s="24"/>
    </row>
    <row r="2953" spans="1:17" x14ac:dyDescent="0.25">
      <c r="A2953" s="22">
        <v>41304</v>
      </c>
      <c r="F2953" s="25"/>
      <c r="G2953" s="33">
        <v>3.1</v>
      </c>
      <c r="I2953" s="25"/>
      <c r="J2953" s="25"/>
      <c r="K2953" s="24">
        <v>2.9</v>
      </c>
      <c r="O2953" s="38">
        <v>0</v>
      </c>
      <c r="Q2953" s="24"/>
    </row>
    <row r="2954" spans="1:17" x14ac:dyDescent="0.25">
      <c r="A2954" s="22">
        <v>41305</v>
      </c>
      <c r="F2954" s="25"/>
      <c r="G2954" s="33">
        <v>4</v>
      </c>
      <c r="I2954" s="25"/>
      <c r="J2954" s="25"/>
      <c r="K2954" s="24"/>
      <c r="O2954" s="38">
        <v>0</v>
      </c>
      <c r="Q2954" s="24"/>
    </row>
    <row r="2955" spans="1:17" x14ac:dyDescent="0.25">
      <c r="A2955" s="22">
        <v>41306</v>
      </c>
      <c r="F2955" s="25"/>
      <c r="G2955" s="33">
        <v>0</v>
      </c>
      <c r="I2955" s="25"/>
      <c r="J2955" s="25"/>
      <c r="K2955" s="24">
        <v>0</v>
      </c>
      <c r="Q2955" s="24">
        <v>0</v>
      </c>
    </row>
    <row r="2956" spans="1:17" x14ac:dyDescent="0.25">
      <c r="A2956" s="22">
        <v>41307</v>
      </c>
      <c r="F2956" s="25"/>
      <c r="G2956" s="33">
        <v>29.1</v>
      </c>
      <c r="I2956" s="25"/>
      <c r="J2956" s="25"/>
      <c r="K2956" s="24">
        <v>2.5</v>
      </c>
      <c r="Q2956" s="24">
        <v>19.100000000000001</v>
      </c>
    </row>
    <row r="2957" spans="1:17" x14ac:dyDescent="0.25">
      <c r="A2957" s="22">
        <v>41308</v>
      </c>
      <c r="F2957" s="25"/>
      <c r="G2957" s="33">
        <v>0</v>
      </c>
      <c r="I2957" s="25"/>
      <c r="J2957" s="25"/>
      <c r="K2957" s="24">
        <v>0</v>
      </c>
      <c r="Q2957" s="24">
        <v>0</v>
      </c>
    </row>
    <row r="2958" spans="1:17" x14ac:dyDescent="0.25">
      <c r="A2958" s="22">
        <v>41309</v>
      </c>
      <c r="F2958" s="25"/>
      <c r="G2958" s="33">
        <v>0</v>
      </c>
      <c r="I2958" s="25"/>
      <c r="J2958" s="24"/>
      <c r="K2958" s="24">
        <v>14.3</v>
      </c>
      <c r="Q2958" s="24">
        <v>2.5</v>
      </c>
    </row>
    <row r="2959" spans="1:17" x14ac:dyDescent="0.25">
      <c r="A2959" s="22">
        <v>41310</v>
      </c>
      <c r="F2959" s="25"/>
      <c r="G2959" s="33">
        <v>7.1</v>
      </c>
      <c r="I2959" s="25"/>
      <c r="J2959" s="25"/>
      <c r="K2959" s="24">
        <v>0.6</v>
      </c>
      <c r="Q2959" s="24">
        <v>2.6</v>
      </c>
    </row>
    <row r="2960" spans="1:17" x14ac:dyDescent="0.25">
      <c r="A2960" s="22">
        <v>41311</v>
      </c>
      <c r="F2960" s="25"/>
      <c r="G2960" s="33">
        <v>1.5</v>
      </c>
      <c r="I2960" s="25"/>
      <c r="J2960" s="25"/>
      <c r="K2960" s="24">
        <v>12.4</v>
      </c>
      <c r="Q2960" s="24">
        <v>0.1</v>
      </c>
    </row>
    <row r="2961" spans="1:17" x14ac:dyDescent="0.25">
      <c r="A2961" s="22">
        <v>41312</v>
      </c>
      <c r="F2961" s="25"/>
      <c r="G2961" s="33">
        <v>7.3</v>
      </c>
      <c r="I2961" s="24"/>
      <c r="J2961" s="25"/>
      <c r="K2961" s="24">
        <v>2.2999999999999998</v>
      </c>
      <c r="Q2961" s="24">
        <v>1.8</v>
      </c>
    </row>
    <row r="2962" spans="1:17" x14ac:dyDescent="0.25">
      <c r="A2962" s="22">
        <v>41313</v>
      </c>
      <c r="F2962" s="25"/>
      <c r="G2962" s="33">
        <v>6.9</v>
      </c>
      <c r="I2962" s="25"/>
      <c r="J2962" s="25"/>
      <c r="K2962" s="24">
        <v>5.4</v>
      </c>
      <c r="Q2962" s="24">
        <v>8</v>
      </c>
    </row>
    <row r="2963" spans="1:17" x14ac:dyDescent="0.25">
      <c r="A2963" s="22">
        <v>41314</v>
      </c>
      <c r="F2963" s="25"/>
      <c r="G2963" s="33">
        <v>6.8</v>
      </c>
      <c r="I2963" s="25"/>
      <c r="J2963" s="25"/>
      <c r="K2963" s="24">
        <v>6.2</v>
      </c>
      <c r="Q2963" s="24">
        <v>4.5</v>
      </c>
    </row>
    <row r="2964" spans="1:17" x14ac:dyDescent="0.25">
      <c r="A2964" s="22">
        <v>41315</v>
      </c>
      <c r="F2964" s="25"/>
      <c r="G2964" s="33">
        <v>0</v>
      </c>
      <c r="I2964" s="25"/>
      <c r="J2964" s="25"/>
      <c r="K2964" s="24">
        <v>0</v>
      </c>
      <c r="Q2964" s="24">
        <v>0.3</v>
      </c>
    </row>
    <row r="2965" spans="1:17" x14ac:dyDescent="0.25">
      <c r="A2965" s="22">
        <v>41316</v>
      </c>
      <c r="F2965" s="25"/>
      <c r="G2965" s="33">
        <v>0</v>
      </c>
      <c r="I2965" s="25"/>
      <c r="J2965" s="25"/>
      <c r="K2965" s="24">
        <v>17.2</v>
      </c>
      <c r="Q2965" s="24">
        <v>4.4000000000000004</v>
      </c>
    </row>
    <row r="2966" spans="1:17" x14ac:dyDescent="0.25">
      <c r="A2966" s="22">
        <v>41317</v>
      </c>
      <c r="F2966" s="25"/>
      <c r="G2966" s="33">
        <v>0</v>
      </c>
      <c r="I2966" s="25"/>
      <c r="J2966" s="24"/>
      <c r="K2966" s="24">
        <v>0</v>
      </c>
      <c r="Q2966" s="24">
        <v>1.5</v>
      </c>
    </row>
    <row r="2967" spans="1:17" x14ac:dyDescent="0.25">
      <c r="A2967" s="22">
        <v>41318</v>
      </c>
      <c r="F2967" s="25"/>
      <c r="G2967" s="33">
        <v>0</v>
      </c>
      <c r="I2967" s="25"/>
      <c r="J2967" s="25"/>
      <c r="K2967" s="24">
        <v>0</v>
      </c>
      <c r="Q2967" s="24">
        <v>0</v>
      </c>
    </row>
    <row r="2968" spans="1:17" x14ac:dyDescent="0.25">
      <c r="A2968" s="22">
        <v>41319</v>
      </c>
      <c r="F2968" s="25"/>
      <c r="G2968" s="33">
        <v>0</v>
      </c>
      <c r="I2968" s="25"/>
      <c r="J2968" s="25"/>
      <c r="K2968" s="24">
        <v>7.4</v>
      </c>
      <c r="Q2968" s="24">
        <v>1.9</v>
      </c>
    </row>
    <row r="2969" spans="1:17" x14ac:dyDescent="0.25">
      <c r="A2969" s="22">
        <v>41320</v>
      </c>
      <c r="F2969" s="25"/>
      <c r="G2969" s="33">
        <v>0</v>
      </c>
      <c r="I2969" s="25"/>
      <c r="J2969" s="25"/>
      <c r="K2969" s="24">
        <v>0</v>
      </c>
      <c r="Q2969" s="24">
        <v>4.0999999999999996</v>
      </c>
    </row>
    <row r="2970" spans="1:17" x14ac:dyDescent="0.25">
      <c r="A2970" s="22">
        <v>41321</v>
      </c>
      <c r="F2970" s="25"/>
      <c r="G2970" s="33">
        <v>0</v>
      </c>
      <c r="I2970" s="24"/>
      <c r="J2970" s="24"/>
      <c r="K2970" s="24">
        <v>2</v>
      </c>
      <c r="Q2970" s="24">
        <v>0</v>
      </c>
    </row>
    <row r="2971" spans="1:17" x14ac:dyDescent="0.25">
      <c r="A2971" s="22">
        <v>41322</v>
      </c>
      <c r="F2971" s="25"/>
      <c r="G2971" s="33">
        <v>4.0999999999999996</v>
      </c>
      <c r="I2971" s="25"/>
      <c r="J2971" s="25"/>
      <c r="K2971" s="24">
        <v>0</v>
      </c>
      <c r="Q2971" s="24">
        <v>0.7</v>
      </c>
    </row>
    <row r="2972" spans="1:17" x14ac:dyDescent="0.25">
      <c r="A2972" s="22">
        <v>41323</v>
      </c>
      <c r="F2972" s="25"/>
      <c r="G2972" s="33">
        <v>6.5</v>
      </c>
      <c r="I2972" s="25"/>
      <c r="J2972" s="25"/>
      <c r="K2972" s="24">
        <v>1.9</v>
      </c>
      <c r="Q2972" s="24">
        <v>0</v>
      </c>
    </row>
    <row r="2973" spans="1:17" x14ac:dyDescent="0.25">
      <c r="A2973" s="22">
        <v>41324</v>
      </c>
      <c r="F2973" s="25"/>
      <c r="G2973" s="33">
        <v>1</v>
      </c>
      <c r="I2973" s="25"/>
      <c r="J2973" s="24"/>
      <c r="K2973" s="24">
        <v>0</v>
      </c>
      <c r="Q2973" s="24">
        <v>4.8</v>
      </c>
    </row>
    <row r="2974" spans="1:17" x14ac:dyDescent="0.25">
      <c r="A2974" s="22">
        <v>41325</v>
      </c>
      <c r="F2974" s="25"/>
      <c r="G2974" s="33">
        <v>1.8</v>
      </c>
      <c r="I2974" s="25"/>
      <c r="J2974" s="24"/>
      <c r="K2974" s="24">
        <v>8</v>
      </c>
      <c r="Q2974" s="24">
        <v>0.5</v>
      </c>
    </row>
    <row r="2975" spans="1:17" x14ac:dyDescent="0.25">
      <c r="A2975" s="22">
        <v>41326</v>
      </c>
      <c r="F2975" s="25"/>
      <c r="G2975" s="33">
        <v>2.2999999999999998</v>
      </c>
      <c r="I2975" s="25"/>
      <c r="J2975" s="25"/>
      <c r="K2975" s="24">
        <v>0.8</v>
      </c>
      <c r="Q2975" s="24">
        <v>2.7</v>
      </c>
    </row>
    <row r="2976" spans="1:17" x14ac:dyDescent="0.25">
      <c r="A2976" s="22">
        <v>41327</v>
      </c>
      <c r="F2976" s="25"/>
      <c r="G2976" s="33">
        <v>0</v>
      </c>
      <c r="I2976" s="25"/>
      <c r="J2976" s="25"/>
      <c r="K2976" s="24">
        <v>2.1</v>
      </c>
      <c r="Q2976" s="24">
        <v>0</v>
      </c>
    </row>
    <row r="2977" spans="1:17" x14ac:dyDescent="0.25">
      <c r="A2977" s="22">
        <v>41328</v>
      </c>
      <c r="F2977" s="25"/>
      <c r="G2977" s="33">
        <v>26.6</v>
      </c>
      <c r="I2977" s="24"/>
      <c r="J2977" s="24"/>
      <c r="K2977" s="24">
        <v>0.6</v>
      </c>
      <c r="Q2977" s="24">
        <v>18.5</v>
      </c>
    </row>
    <row r="2978" spans="1:17" x14ac:dyDescent="0.25">
      <c r="A2978" s="22">
        <v>41329</v>
      </c>
      <c r="F2978" s="25"/>
      <c r="G2978" s="33">
        <v>4.8</v>
      </c>
      <c r="I2978" s="25"/>
      <c r="J2978" s="24"/>
      <c r="K2978" s="24">
        <v>21.1</v>
      </c>
      <c r="Q2978" s="24">
        <v>0</v>
      </c>
    </row>
    <row r="2979" spans="1:17" x14ac:dyDescent="0.25">
      <c r="A2979" s="22">
        <v>41330</v>
      </c>
      <c r="F2979" s="25"/>
      <c r="G2979" s="33">
        <v>0</v>
      </c>
      <c r="I2979" s="24"/>
      <c r="J2979" s="24"/>
      <c r="K2979" s="24">
        <v>0.2</v>
      </c>
      <c r="Q2979" s="24">
        <v>0</v>
      </c>
    </row>
    <row r="2980" spans="1:17" x14ac:dyDescent="0.25">
      <c r="A2980" s="22">
        <v>41331</v>
      </c>
      <c r="F2980" s="25"/>
      <c r="G2980" s="33">
        <v>0</v>
      </c>
      <c r="I2980" s="24"/>
      <c r="J2980" s="24"/>
      <c r="K2980" s="24">
        <v>0</v>
      </c>
      <c r="Q2980" s="24">
        <v>0</v>
      </c>
    </row>
    <row r="2981" spans="1:17" x14ac:dyDescent="0.25">
      <c r="A2981" s="22">
        <v>41332</v>
      </c>
      <c r="F2981" s="25"/>
      <c r="G2981" s="33">
        <v>0</v>
      </c>
      <c r="I2981" s="24"/>
      <c r="J2981" s="24"/>
      <c r="K2981" s="24">
        <v>0</v>
      </c>
      <c r="Q2981" s="24">
        <v>0</v>
      </c>
    </row>
    <row r="2982" spans="1:17" x14ac:dyDescent="0.25">
      <c r="A2982" s="22">
        <v>41333</v>
      </c>
      <c r="F2982" s="25"/>
      <c r="G2982" s="33">
        <v>0.6</v>
      </c>
      <c r="I2982" s="25"/>
      <c r="J2982" s="25"/>
      <c r="K2982" s="24">
        <v>0</v>
      </c>
      <c r="Q2982" s="24">
        <v>0</v>
      </c>
    </row>
    <row r="2983" spans="1:17" x14ac:dyDescent="0.25">
      <c r="A2983" s="22">
        <v>41334</v>
      </c>
      <c r="F2983" s="2"/>
      <c r="G2983" s="33">
        <v>0.7</v>
      </c>
      <c r="I2983" s="2"/>
      <c r="J2983" s="2"/>
      <c r="K2983" s="1">
        <v>1.5</v>
      </c>
      <c r="Q2983" s="1">
        <v>0.7</v>
      </c>
    </row>
    <row r="2984" spans="1:17" x14ac:dyDescent="0.25">
      <c r="A2984" s="22">
        <v>41335</v>
      </c>
      <c r="F2984" s="2"/>
      <c r="G2984" s="33">
        <v>0</v>
      </c>
      <c r="I2984" s="2"/>
      <c r="J2984" s="2"/>
      <c r="K2984" s="1">
        <v>0</v>
      </c>
      <c r="Q2984" s="1">
        <v>0</v>
      </c>
    </row>
    <row r="2985" spans="1:17" x14ac:dyDescent="0.25">
      <c r="A2985" s="22">
        <v>41336</v>
      </c>
      <c r="F2985" s="2"/>
      <c r="G2985" s="33">
        <v>0</v>
      </c>
      <c r="I2985" s="2"/>
      <c r="J2985" s="2"/>
      <c r="K2985" s="1">
        <v>0</v>
      </c>
      <c r="Q2985" s="1">
        <v>0</v>
      </c>
    </row>
    <row r="2986" spans="1:17" x14ac:dyDescent="0.25">
      <c r="A2986" s="22">
        <v>41337</v>
      </c>
      <c r="F2986" s="2"/>
      <c r="G2986" s="33">
        <v>0</v>
      </c>
      <c r="I2986" s="2"/>
      <c r="J2986" s="1"/>
      <c r="K2986" s="1">
        <v>0</v>
      </c>
      <c r="Q2986" s="1">
        <v>0</v>
      </c>
    </row>
    <row r="2987" spans="1:17" x14ac:dyDescent="0.25">
      <c r="A2987" s="22">
        <v>41338</v>
      </c>
      <c r="F2987" s="2"/>
      <c r="G2987" s="33">
        <v>0</v>
      </c>
      <c r="I2987" s="2"/>
      <c r="J2987" s="2"/>
      <c r="K2987" s="1">
        <v>0</v>
      </c>
      <c r="Q2987" s="1">
        <v>0</v>
      </c>
    </row>
    <row r="2988" spans="1:17" x14ac:dyDescent="0.25">
      <c r="A2988" s="22">
        <v>41339</v>
      </c>
      <c r="F2988" s="2"/>
      <c r="G2988" s="33">
        <v>0</v>
      </c>
      <c r="I2988" s="2"/>
      <c r="J2988" s="2"/>
      <c r="K2988" s="1">
        <v>0</v>
      </c>
      <c r="Q2988" s="1">
        <v>0</v>
      </c>
    </row>
    <row r="2989" spans="1:17" x14ac:dyDescent="0.25">
      <c r="A2989" s="22">
        <v>41340</v>
      </c>
      <c r="F2989" s="2"/>
      <c r="G2989" s="33">
        <v>0</v>
      </c>
      <c r="I2989" s="1"/>
      <c r="J2989" s="2"/>
      <c r="K2989" s="1">
        <v>0</v>
      </c>
      <c r="Q2989" s="1">
        <v>0</v>
      </c>
    </row>
    <row r="2990" spans="1:17" x14ac:dyDescent="0.25">
      <c r="A2990" s="22">
        <v>41341</v>
      </c>
      <c r="F2990" s="2"/>
      <c r="G2990" s="33">
        <v>0</v>
      </c>
      <c r="I2990" s="2"/>
      <c r="J2990" s="2"/>
      <c r="K2990" s="1">
        <v>0</v>
      </c>
      <c r="Q2990" s="1">
        <v>0</v>
      </c>
    </row>
    <row r="2991" spans="1:17" x14ac:dyDescent="0.25">
      <c r="A2991" s="22">
        <v>41342</v>
      </c>
      <c r="F2991" s="2"/>
      <c r="G2991" s="33">
        <v>0</v>
      </c>
      <c r="I2991" s="2"/>
      <c r="J2991" s="2"/>
      <c r="K2991" s="1">
        <v>0</v>
      </c>
      <c r="Q2991" s="1">
        <v>0</v>
      </c>
    </row>
    <row r="2992" spans="1:17" x14ac:dyDescent="0.25">
      <c r="A2992" s="22">
        <v>41343</v>
      </c>
      <c r="F2992" s="2"/>
      <c r="G2992" s="33">
        <v>0</v>
      </c>
      <c r="I2992" s="2"/>
      <c r="J2992" s="2"/>
      <c r="K2992" s="1">
        <v>0</v>
      </c>
      <c r="Q2992" s="1">
        <v>0</v>
      </c>
    </row>
    <row r="2993" spans="1:17" x14ac:dyDescent="0.25">
      <c r="A2993" s="22">
        <v>41344</v>
      </c>
      <c r="F2993" s="2"/>
      <c r="G2993" s="33">
        <v>8.1999999999999993</v>
      </c>
      <c r="I2993" s="2"/>
      <c r="J2993" s="2"/>
      <c r="K2993" s="1">
        <v>0</v>
      </c>
      <c r="Q2993" s="1">
        <v>3.2</v>
      </c>
    </row>
    <row r="2994" spans="1:17" x14ac:dyDescent="0.25">
      <c r="A2994" s="22">
        <v>41345</v>
      </c>
      <c r="F2994" s="2"/>
      <c r="G2994" s="33">
        <v>0</v>
      </c>
      <c r="I2994" s="2"/>
      <c r="J2994" s="1"/>
      <c r="K2994" s="1">
        <v>10.1</v>
      </c>
      <c r="Q2994" s="1">
        <v>0.9</v>
      </c>
    </row>
    <row r="2995" spans="1:17" x14ac:dyDescent="0.25">
      <c r="A2995" s="22">
        <v>41346</v>
      </c>
      <c r="F2995" s="2"/>
      <c r="G2995" s="33">
        <v>5.0999999999999996</v>
      </c>
      <c r="I2995" s="2"/>
      <c r="J2995" s="2"/>
      <c r="K2995" s="1">
        <v>6.1</v>
      </c>
      <c r="Q2995" s="1">
        <v>0</v>
      </c>
    </row>
    <row r="2996" spans="1:17" x14ac:dyDescent="0.25">
      <c r="A2996" s="22">
        <v>41347</v>
      </c>
      <c r="F2996" s="2"/>
      <c r="G2996" s="33">
        <v>0</v>
      </c>
      <c r="I2996" s="2"/>
      <c r="J2996" s="2"/>
      <c r="K2996" s="1">
        <v>0</v>
      </c>
      <c r="Q2996" s="1">
        <v>0</v>
      </c>
    </row>
    <row r="2997" spans="1:17" x14ac:dyDescent="0.25">
      <c r="A2997" s="22">
        <v>41348</v>
      </c>
      <c r="F2997" s="2"/>
      <c r="G2997" s="33">
        <v>0</v>
      </c>
      <c r="I2997" s="2"/>
      <c r="J2997" s="2"/>
      <c r="K2997" s="1">
        <v>0</v>
      </c>
      <c r="Q2997" s="1">
        <v>0.1</v>
      </c>
    </row>
    <row r="2998" spans="1:17" x14ac:dyDescent="0.25">
      <c r="A2998" s="22">
        <v>41349</v>
      </c>
      <c r="F2998" s="2"/>
      <c r="G2998" s="33">
        <v>0</v>
      </c>
      <c r="I2998" s="1"/>
      <c r="J2998" s="1"/>
      <c r="K2998" s="1">
        <v>5.5</v>
      </c>
      <c r="Q2998" s="1">
        <v>0.3</v>
      </c>
    </row>
    <row r="2999" spans="1:17" x14ac:dyDescent="0.25">
      <c r="A2999" s="22">
        <v>41350</v>
      </c>
      <c r="F2999" s="2"/>
      <c r="G2999" s="33">
        <v>2.6</v>
      </c>
      <c r="I2999" s="2"/>
      <c r="J2999" s="2"/>
      <c r="K2999" s="1">
        <v>0</v>
      </c>
      <c r="Q2999" s="1">
        <v>3.1</v>
      </c>
    </row>
    <row r="3000" spans="1:17" x14ac:dyDescent="0.25">
      <c r="A3000" s="22">
        <v>41351</v>
      </c>
      <c r="F3000" s="2"/>
      <c r="G3000" s="33">
        <v>0.5</v>
      </c>
      <c r="I3000" s="2"/>
      <c r="J3000" s="2"/>
      <c r="K3000" s="1">
        <v>3.8</v>
      </c>
      <c r="Q3000" s="1">
        <v>0</v>
      </c>
    </row>
    <row r="3001" spans="1:17" x14ac:dyDescent="0.25">
      <c r="A3001" s="22">
        <v>41352</v>
      </c>
      <c r="F3001" s="2"/>
      <c r="G3001" s="33">
        <v>0</v>
      </c>
      <c r="I3001" s="2"/>
      <c r="J3001" s="1"/>
      <c r="K3001" s="1">
        <v>0.3</v>
      </c>
      <c r="Q3001" s="1">
        <v>2</v>
      </c>
    </row>
    <row r="3002" spans="1:17" x14ac:dyDescent="0.25">
      <c r="A3002" s="22">
        <v>41353</v>
      </c>
      <c r="F3002" s="2"/>
      <c r="G3002" s="33">
        <v>0.2</v>
      </c>
      <c r="I3002" s="2"/>
      <c r="J3002" s="1"/>
      <c r="K3002" s="1">
        <v>5.4</v>
      </c>
      <c r="Q3002" s="1">
        <v>0</v>
      </c>
    </row>
    <row r="3003" spans="1:17" x14ac:dyDescent="0.25">
      <c r="A3003" s="22">
        <v>41354</v>
      </c>
      <c r="F3003" s="2"/>
      <c r="G3003" s="33">
        <v>0</v>
      </c>
      <c r="I3003" s="2"/>
      <c r="J3003" s="2"/>
      <c r="K3003" s="1">
        <v>1.1000000000000001</v>
      </c>
      <c r="Q3003" s="1">
        <v>0</v>
      </c>
    </row>
    <row r="3004" spans="1:17" x14ac:dyDescent="0.25">
      <c r="A3004" s="22">
        <v>41355</v>
      </c>
      <c r="F3004" s="2"/>
      <c r="G3004" s="33">
        <v>0</v>
      </c>
      <c r="I3004" s="2"/>
      <c r="J3004" s="2"/>
      <c r="K3004" s="1">
        <v>0</v>
      </c>
      <c r="Q3004" s="1">
        <v>0</v>
      </c>
    </row>
    <row r="3005" spans="1:17" x14ac:dyDescent="0.25">
      <c r="A3005" s="22">
        <v>41356</v>
      </c>
      <c r="F3005" s="2"/>
      <c r="G3005" s="33">
        <v>1.5</v>
      </c>
      <c r="I3005" s="1"/>
      <c r="J3005" s="1"/>
      <c r="K3005" s="1">
        <v>0</v>
      </c>
      <c r="Q3005" s="1">
        <v>8.1</v>
      </c>
    </row>
    <row r="3006" spans="1:17" x14ac:dyDescent="0.25">
      <c r="A3006" s="22">
        <v>41357</v>
      </c>
      <c r="F3006" s="2"/>
      <c r="G3006" s="33">
        <v>1.6</v>
      </c>
      <c r="I3006" s="2"/>
      <c r="J3006" s="1"/>
      <c r="K3006" s="1">
        <v>0</v>
      </c>
      <c r="Q3006" s="1">
        <v>0.1</v>
      </c>
    </row>
    <row r="3007" spans="1:17" x14ac:dyDescent="0.25">
      <c r="A3007" s="22">
        <v>41358</v>
      </c>
      <c r="F3007" s="2"/>
      <c r="G3007" s="33">
        <v>0</v>
      </c>
      <c r="I3007" s="1"/>
      <c r="J3007" s="1"/>
      <c r="K3007" s="1">
        <v>0</v>
      </c>
      <c r="Q3007" s="1">
        <v>0</v>
      </c>
    </row>
    <row r="3008" spans="1:17" x14ac:dyDescent="0.25">
      <c r="A3008" s="22">
        <v>41359</v>
      </c>
      <c r="F3008" s="2"/>
      <c r="G3008" s="33">
        <v>0</v>
      </c>
      <c r="I3008" s="1"/>
      <c r="J3008" s="1"/>
      <c r="K3008" s="1">
        <v>0</v>
      </c>
      <c r="Q3008" s="1">
        <v>0</v>
      </c>
    </row>
    <row r="3009" spans="1:17" x14ac:dyDescent="0.25">
      <c r="A3009" s="22">
        <v>41360</v>
      </c>
      <c r="F3009" s="2"/>
      <c r="G3009" s="33">
        <v>0</v>
      </c>
      <c r="I3009" s="1"/>
      <c r="J3009" s="1"/>
      <c r="K3009" s="1">
        <v>0</v>
      </c>
      <c r="Q3009" s="1">
        <v>0</v>
      </c>
    </row>
    <row r="3010" spans="1:17" x14ac:dyDescent="0.25">
      <c r="A3010" s="22">
        <v>41361</v>
      </c>
      <c r="F3010" s="2"/>
      <c r="G3010" s="33">
        <v>0</v>
      </c>
      <c r="I3010" s="2"/>
      <c r="J3010" s="2"/>
      <c r="K3010" s="1">
        <v>0</v>
      </c>
      <c r="Q3010" s="1">
        <v>0</v>
      </c>
    </row>
    <row r="3011" spans="1:17" x14ac:dyDescent="0.25">
      <c r="A3011" s="22">
        <v>41362</v>
      </c>
      <c r="F3011" s="2"/>
      <c r="G3011" s="33">
        <v>0</v>
      </c>
      <c r="I3011" s="2"/>
      <c r="J3011" s="2"/>
      <c r="K3011" s="1">
        <v>0</v>
      </c>
      <c r="Q3011" s="1">
        <v>0</v>
      </c>
    </row>
    <row r="3012" spans="1:17" x14ac:dyDescent="0.25">
      <c r="A3012" s="22">
        <v>41363</v>
      </c>
      <c r="F3012" s="2"/>
      <c r="G3012" s="33">
        <v>2.1</v>
      </c>
      <c r="I3012" s="2"/>
      <c r="J3012" s="2"/>
      <c r="K3012" s="1">
        <v>12</v>
      </c>
      <c r="Q3012" s="1">
        <v>0.6</v>
      </c>
    </row>
    <row r="3013" spans="1:17" x14ac:dyDescent="0.25">
      <c r="A3013" s="22">
        <v>41364</v>
      </c>
      <c r="F3013" s="2"/>
      <c r="G3013" s="33">
        <v>0</v>
      </c>
      <c r="I3013" s="2"/>
      <c r="J3013" s="2"/>
      <c r="K3013" s="1">
        <v>0</v>
      </c>
      <c r="Q3013" s="1">
        <v>0</v>
      </c>
    </row>
    <row r="3014" spans="1:17" x14ac:dyDescent="0.25">
      <c r="A3014" s="22">
        <v>41365</v>
      </c>
      <c r="F3014" s="2"/>
      <c r="G3014" s="33">
        <v>0</v>
      </c>
      <c r="I3014" s="2"/>
      <c r="J3014" s="2"/>
      <c r="K3014" s="1">
        <v>0</v>
      </c>
      <c r="Q3014" s="1">
        <v>1.1000000000000001</v>
      </c>
    </row>
    <row r="3015" spans="1:17" x14ac:dyDescent="0.25">
      <c r="A3015" s="22">
        <v>41366</v>
      </c>
      <c r="F3015" s="2"/>
      <c r="G3015" s="33">
        <v>1.3</v>
      </c>
      <c r="I3015" s="2"/>
      <c r="J3015" s="2"/>
      <c r="K3015" s="1">
        <v>0.6</v>
      </c>
      <c r="Q3015" s="1">
        <v>0</v>
      </c>
    </row>
    <row r="3016" spans="1:17" x14ac:dyDescent="0.25">
      <c r="A3016" s="22">
        <v>41367</v>
      </c>
      <c r="F3016" s="2"/>
      <c r="G3016" s="33">
        <v>0</v>
      </c>
      <c r="I3016" s="2"/>
      <c r="J3016" s="2"/>
      <c r="K3016" s="1">
        <v>1.7</v>
      </c>
      <c r="Q3016" s="1">
        <v>2.2999999999999998</v>
      </c>
    </row>
    <row r="3017" spans="1:17" x14ac:dyDescent="0.25">
      <c r="A3017" s="22">
        <v>41368</v>
      </c>
      <c r="F3017" s="2"/>
      <c r="G3017" s="33">
        <v>0</v>
      </c>
      <c r="I3017" s="2"/>
      <c r="J3017" s="1"/>
      <c r="K3017" s="1">
        <v>0</v>
      </c>
      <c r="Q3017" s="1">
        <v>0</v>
      </c>
    </row>
    <row r="3018" spans="1:17" x14ac:dyDescent="0.25">
      <c r="A3018" s="22">
        <v>41369</v>
      </c>
      <c r="F3018" s="2"/>
      <c r="G3018" s="33">
        <v>0.4</v>
      </c>
      <c r="I3018" s="2"/>
      <c r="J3018" s="2"/>
      <c r="K3018" s="1">
        <v>0</v>
      </c>
      <c r="Q3018" s="1">
        <v>0</v>
      </c>
    </row>
    <row r="3019" spans="1:17" x14ac:dyDescent="0.25">
      <c r="A3019" s="22">
        <v>41370</v>
      </c>
      <c r="F3019" s="2"/>
      <c r="G3019" s="33">
        <v>0.5</v>
      </c>
      <c r="I3019" s="2"/>
      <c r="J3019" s="2"/>
      <c r="K3019" s="1">
        <v>2.1</v>
      </c>
      <c r="Q3019" s="1">
        <v>1.9</v>
      </c>
    </row>
    <row r="3020" spans="1:17" x14ac:dyDescent="0.25">
      <c r="A3020" s="22">
        <v>41371</v>
      </c>
      <c r="F3020" s="2"/>
      <c r="G3020" s="33">
        <v>0.1</v>
      </c>
      <c r="I3020" s="1"/>
      <c r="J3020" s="2"/>
      <c r="K3020" s="1">
        <v>0</v>
      </c>
      <c r="Q3020" s="1">
        <v>0</v>
      </c>
    </row>
    <row r="3021" spans="1:17" x14ac:dyDescent="0.25">
      <c r="A3021" s="22">
        <v>41372</v>
      </c>
      <c r="F3021" s="2"/>
      <c r="G3021" s="33">
        <v>0</v>
      </c>
      <c r="I3021" s="2"/>
      <c r="J3021" s="2"/>
      <c r="K3021" s="1">
        <v>1.7</v>
      </c>
      <c r="Q3021" s="1">
        <v>0</v>
      </c>
    </row>
    <row r="3022" spans="1:17" x14ac:dyDescent="0.25">
      <c r="A3022" s="22">
        <v>41373</v>
      </c>
      <c r="F3022" s="2"/>
      <c r="G3022" s="33">
        <v>2.6</v>
      </c>
      <c r="I3022" s="2"/>
      <c r="J3022" s="2"/>
      <c r="K3022" s="1">
        <v>0</v>
      </c>
      <c r="Q3022" s="1">
        <v>0.2</v>
      </c>
    </row>
    <row r="3023" spans="1:17" x14ac:dyDescent="0.25">
      <c r="A3023" s="22">
        <v>41374</v>
      </c>
      <c r="F3023" s="2"/>
      <c r="G3023" s="33">
        <v>1.1000000000000001</v>
      </c>
      <c r="I3023" s="2"/>
      <c r="J3023" s="2"/>
      <c r="K3023" s="1">
        <v>0</v>
      </c>
      <c r="Q3023" s="1">
        <v>1.1000000000000001</v>
      </c>
    </row>
    <row r="3024" spans="1:17" x14ac:dyDescent="0.25">
      <c r="A3024" s="22">
        <v>41375</v>
      </c>
      <c r="F3024" s="2"/>
      <c r="G3024" s="33">
        <v>0.1</v>
      </c>
      <c r="I3024" s="2"/>
      <c r="J3024" s="2"/>
      <c r="K3024" s="1">
        <v>0</v>
      </c>
      <c r="Q3024" s="1">
        <v>0.1</v>
      </c>
    </row>
    <row r="3025" spans="1:17" x14ac:dyDescent="0.25">
      <c r="A3025" s="22">
        <v>41376</v>
      </c>
      <c r="F3025" s="2"/>
      <c r="G3025" s="33">
        <v>0.6</v>
      </c>
      <c r="I3025" s="2"/>
      <c r="J3025" s="1"/>
      <c r="K3025" s="1">
        <v>0</v>
      </c>
      <c r="Q3025" s="1">
        <v>0.7</v>
      </c>
    </row>
    <row r="3026" spans="1:17" x14ac:dyDescent="0.25">
      <c r="A3026" s="22">
        <v>41377</v>
      </c>
      <c r="F3026" s="2"/>
      <c r="G3026" s="33">
        <v>10.4</v>
      </c>
      <c r="I3026" s="2"/>
      <c r="J3026" s="2"/>
      <c r="K3026" s="1">
        <v>1.5</v>
      </c>
      <c r="Q3026" s="1">
        <v>1.5</v>
      </c>
    </row>
    <row r="3027" spans="1:17" x14ac:dyDescent="0.25">
      <c r="A3027" s="22">
        <v>41378</v>
      </c>
      <c r="F3027" s="2"/>
      <c r="G3027" s="33">
        <v>0</v>
      </c>
      <c r="I3027" s="2"/>
      <c r="J3027" s="2"/>
      <c r="K3027" s="1">
        <v>0</v>
      </c>
      <c r="Q3027" s="1">
        <v>1.4</v>
      </c>
    </row>
    <row r="3028" spans="1:17" x14ac:dyDescent="0.25">
      <c r="A3028" s="22">
        <v>41379</v>
      </c>
      <c r="F3028" s="2"/>
      <c r="G3028" s="33">
        <v>2.5</v>
      </c>
      <c r="I3028" s="2"/>
      <c r="J3028" s="2"/>
      <c r="K3028" s="1">
        <v>0</v>
      </c>
      <c r="Q3028" s="1">
        <v>1.2</v>
      </c>
    </row>
    <row r="3029" spans="1:17" x14ac:dyDescent="0.25">
      <c r="A3029" s="22">
        <v>41380</v>
      </c>
      <c r="F3029" s="2"/>
      <c r="G3029" s="33">
        <v>0.1</v>
      </c>
      <c r="I3029" s="1"/>
      <c r="J3029" s="1"/>
      <c r="K3029" s="1">
        <v>0</v>
      </c>
      <c r="Q3029" s="1">
        <v>0</v>
      </c>
    </row>
    <row r="3030" spans="1:17" x14ac:dyDescent="0.25">
      <c r="A3030" s="22">
        <v>41381</v>
      </c>
      <c r="F3030" s="2"/>
      <c r="G3030" s="33">
        <v>0</v>
      </c>
      <c r="I3030" s="2"/>
      <c r="J3030" s="2"/>
      <c r="K3030" s="1">
        <v>0</v>
      </c>
      <c r="Q3030" s="1">
        <v>0</v>
      </c>
    </row>
    <row r="3031" spans="1:17" x14ac:dyDescent="0.25">
      <c r="A3031" s="22">
        <v>41382</v>
      </c>
      <c r="F3031" s="2"/>
      <c r="G3031" s="33">
        <v>0.4</v>
      </c>
      <c r="I3031" s="2"/>
      <c r="J3031" s="2"/>
      <c r="K3031" s="1">
        <v>0</v>
      </c>
      <c r="Q3031" s="1">
        <v>0.3</v>
      </c>
    </row>
    <row r="3032" spans="1:17" x14ac:dyDescent="0.25">
      <c r="A3032" s="22">
        <v>41383</v>
      </c>
      <c r="F3032" s="2"/>
      <c r="G3032" s="33">
        <v>1</v>
      </c>
      <c r="I3032" s="2"/>
      <c r="J3032" s="1"/>
      <c r="K3032" s="1">
        <v>0</v>
      </c>
      <c r="Q3032" s="1">
        <v>0.5</v>
      </c>
    </row>
    <row r="3033" spans="1:17" x14ac:dyDescent="0.25">
      <c r="A3033" s="22">
        <v>41384</v>
      </c>
      <c r="F3033" s="2"/>
      <c r="G3033" s="33">
        <v>5.8</v>
      </c>
      <c r="I3033" s="2"/>
      <c r="J3033" s="1"/>
      <c r="K3033" s="1">
        <v>28.3</v>
      </c>
      <c r="Q3033" s="1">
        <v>0.3</v>
      </c>
    </row>
    <row r="3034" spans="1:17" x14ac:dyDescent="0.25">
      <c r="A3034" s="22">
        <v>41385</v>
      </c>
      <c r="F3034" s="2"/>
      <c r="G3034" s="33">
        <v>6.7</v>
      </c>
      <c r="I3034" s="2"/>
      <c r="J3034" s="2"/>
      <c r="K3034" s="1">
        <v>0</v>
      </c>
      <c r="Q3034" s="1">
        <v>3.9</v>
      </c>
    </row>
    <row r="3035" spans="1:17" x14ac:dyDescent="0.25">
      <c r="A3035" s="22">
        <v>41386</v>
      </c>
      <c r="F3035" s="2"/>
      <c r="G3035" s="33">
        <v>50.8</v>
      </c>
      <c r="I3035" s="2"/>
      <c r="J3035" s="2"/>
      <c r="K3035" s="1">
        <v>0</v>
      </c>
      <c r="Q3035" s="1">
        <v>77.5</v>
      </c>
    </row>
    <row r="3036" spans="1:17" x14ac:dyDescent="0.25">
      <c r="A3036" s="22">
        <v>41387</v>
      </c>
      <c r="F3036" s="2"/>
      <c r="G3036" s="33">
        <v>15</v>
      </c>
      <c r="I3036" s="1"/>
      <c r="J3036" s="1"/>
      <c r="K3036" s="1">
        <v>95.5</v>
      </c>
      <c r="Q3036" s="1">
        <v>40.6</v>
      </c>
    </row>
    <row r="3037" spans="1:17" x14ac:dyDescent="0.25">
      <c r="A3037" s="22">
        <v>41388</v>
      </c>
      <c r="F3037" s="2"/>
      <c r="G3037" s="33">
        <v>12.6</v>
      </c>
      <c r="I3037" s="2"/>
      <c r="J3037" s="1"/>
      <c r="K3037" s="1">
        <v>58.4</v>
      </c>
      <c r="Q3037" s="1">
        <v>1.4</v>
      </c>
    </row>
    <row r="3038" spans="1:17" x14ac:dyDescent="0.25">
      <c r="A3038" s="22">
        <v>41389</v>
      </c>
      <c r="F3038" s="2"/>
      <c r="G3038" s="33">
        <v>81</v>
      </c>
      <c r="I3038" s="1"/>
      <c r="J3038" s="1"/>
      <c r="K3038" s="1">
        <v>7</v>
      </c>
      <c r="Q3038" s="1">
        <v>62.1</v>
      </c>
    </row>
    <row r="3039" spans="1:17" x14ac:dyDescent="0.25">
      <c r="A3039" s="22">
        <v>41390</v>
      </c>
      <c r="F3039" s="2"/>
      <c r="G3039" s="33">
        <v>30</v>
      </c>
      <c r="I3039" s="1"/>
      <c r="J3039" s="1"/>
      <c r="K3039" s="1">
        <v>56.3</v>
      </c>
      <c r="Q3039" s="1">
        <v>16.100000000000001</v>
      </c>
    </row>
    <row r="3040" spans="1:17" x14ac:dyDescent="0.25">
      <c r="A3040" s="22">
        <v>41391</v>
      </c>
      <c r="F3040" s="2"/>
      <c r="G3040" s="33">
        <v>13.4</v>
      </c>
      <c r="I3040" s="1"/>
      <c r="J3040" s="1"/>
      <c r="K3040" s="1">
        <v>14.4</v>
      </c>
      <c r="Q3040" s="1">
        <v>11.5</v>
      </c>
    </row>
    <row r="3041" spans="1:17" x14ac:dyDescent="0.25">
      <c r="A3041" s="22">
        <v>41392</v>
      </c>
      <c r="F3041" s="2"/>
      <c r="G3041" s="33">
        <v>48.8</v>
      </c>
      <c r="I3041" s="2"/>
      <c r="J3041" s="2"/>
      <c r="K3041" s="1">
        <v>0</v>
      </c>
      <c r="Q3041" s="1">
        <v>29.2</v>
      </c>
    </row>
    <row r="3042" spans="1:17" x14ac:dyDescent="0.25">
      <c r="A3042" s="22">
        <v>41393</v>
      </c>
      <c r="F3042" s="2"/>
      <c r="G3042" s="33">
        <v>9.3000000000000007</v>
      </c>
      <c r="I3042" s="2"/>
      <c r="J3042" s="2"/>
      <c r="K3042" s="1">
        <v>48.1</v>
      </c>
      <c r="Q3042" s="1">
        <v>6.9</v>
      </c>
    </row>
    <row r="3043" spans="1:17" x14ac:dyDescent="0.25">
      <c r="A3043" s="22">
        <v>41394</v>
      </c>
      <c r="F3043" s="2"/>
      <c r="G3043" s="33">
        <v>0</v>
      </c>
      <c r="I3043" s="2"/>
      <c r="J3043" s="2"/>
      <c r="K3043" s="1">
        <v>0</v>
      </c>
      <c r="Q3043" s="1">
        <v>1.3</v>
      </c>
    </row>
    <row r="3044" spans="1:17" x14ac:dyDescent="0.25">
      <c r="A3044" s="22">
        <v>41395</v>
      </c>
      <c r="F3044" s="2"/>
      <c r="G3044" s="33">
        <v>0</v>
      </c>
      <c r="I3044" s="1">
        <v>0</v>
      </c>
      <c r="J3044" s="1">
        <v>0.8</v>
      </c>
      <c r="K3044" s="1">
        <v>0</v>
      </c>
      <c r="Q3044" s="1">
        <v>0</v>
      </c>
    </row>
    <row r="3045" spans="1:17" x14ac:dyDescent="0.25">
      <c r="A3045" s="22">
        <v>41396</v>
      </c>
      <c r="F3045" s="2"/>
      <c r="G3045" s="33">
        <v>0</v>
      </c>
      <c r="I3045" s="1">
        <v>0</v>
      </c>
      <c r="J3045" s="1">
        <v>1.9</v>
      </c>
      <c r="K3045" s="1">
        <v>0</v>
      </c>
      <c r="Q3045" s="1">
        <v>0</v>
      </c>
    </row>
    <row r="3046" spans="1:17" x14ac:dyDescent="0.25">
      <c r="A3046" s="22">
        <v>41397</v>
      </c>
      <c r="F3046" s="2"/>
      <c r="G3046" s="33">
        <v>0</v>
      </c>
      <c r="I3046" s="1">
        <v>0</v>
      </c>
      <c r="J3046" s="1">
        <v>0.2</v>
      </c>
      <c r="K3046" s="1">
        <v>0</v>
      </c>
      <c r="Q3046" s="1">
        <v>0.5</v>
      </c>
    </row>
    <row r="3047" spans="1:17" x14ac:dyDescent="0.25">
      <c r="A3047" s="22">
        <v>41398</v>
      </c>
      <c r="F3047" s="2"/>
      <c r="G3047" s="33">
        <v>0</v>
      </c>
      <c r="I3047" s="1">
        <v>0</v>
      </c>
      <c r="J3047" s="1">
        <v>0</v>
      </c>
      <c r="K3047" s="1">
        <v>0</v>
      </c>
      <c r="Q3047" s="1">
        <v>0</v>
      </c>
    </row>
    <row r="3048" spans="1:17" x14ac:dyDescent="0.25">
      <c r="A3048" s="22">
        <v>41399</v>
      </c>
      <c r="F3048" s="2"/>
      <c r="G3048" s="33">
        <v>0</v>
      </c>
      <c r="I3048" s="1">
        <v>0</v>
      </c>
      <c r="J3048" s="1">
        <v>0</v>
      </c>
      <c r="K3048" s="1">
        <v>34.700000000000003</v>
      </c>
      <c r="Q3048" s="1">
        <v>0</v>
      </c>
    </row>
    <row r="3049" spans="1:17" x14ac:dyDescent="0.25">
      <c r="A3049" s="22">
        <v>41400</v>
      </c>
      <c r="F3049" s="2"/>
      <c r="G3049" s="33">
        <v>0</v>
      </c>
      <c r="I3049" s="1">
        <v>0</v>
      </c>
      <c r="J3049" s="1">
        <v>0</v>
      </c>
      <c r="K3049" s="1">
        <v>0</v>
      </c>
      <c r="Q3049" s="1">
        <v>0</v>
      </c>
    </row>
    <row r="3050" spans="1:17" x14ac:dyDescent="0.25">
      <c r="A3050" s="22">
        <v>41401</v>
      </c>
      <c r="F3050" s="2"/>
      <c r="G3050" s="33">
        <v>0</v>
      </c>
      <c r="I3050" s="1">
        <v>0</v>
      </c>
      <c r="J3050" s="1">
        <v>0.7</v>
      </c>
      <c r="K3050" s="1">
        <v>0</v>
      </c>
      <c r="Q3050" s="1">
        <v>0</v>
      </c>
    </row>
    <row r="3051" spans="1:17" x14ac:dyDescent="0.25">
      <c r="A3051" s="22">
        <v>41402</v>
      </c>
      <c r="F3051" s="2"/>
      <c r="G3051" s="33">
        <v>0</v>
      </c>
      <c r="I3051" s="1">
        <v>0</v>
      </c>
      <c r="J3051" s="1">
        <v>0.3</v>
      </c>
      <c r="K3051" s="1">
        <v>0</v>
      </c>
      <c r="Q3051" s="1">
        <v>0.1</v>
      </c>
    </row>
    <row r="3052" spans="1:17" x14ac:dyDescent="0.25">
      <c r="A3052" s="22">
        <v>41403</v>
      </c>
      <c r="F3052" s="2"/>
      <c r="G3052" s="33">
        <v>0</v>
      </c>
      <c r="I3052" s="1">
        <v>0</v>
      </c>
      <c r="J3052" s="1">
        <v>0</v>
      </c>
      <c r="K3052" s="1">
        <v>1.5</v>
      </c>
      <c r="Q3052" s="1">
        <v>0</v>
      </c>
    </row>
    <row r="3053" spans="1:17" x14ac:dyDescent="0.25">
      <c r="A3053" s="22">
        <v>41404</v>
      </c>
      <c r="F3053" s="2"/>
      <c r="G3053" s="33">
        <v>0</v>
      </c>
      <c r="I3053" s="1">
        <v>0</v>
      </c>
      <c r="J3053" s="1">
        <v>2</v>
      </c>
      <c r="K3053" s="1">
        <v>0</v>
      </c>
      <c r="Q3053" s="1">
        <v>1.1000000000000001</v>
      </c>
    </row>
    <row r="3054" spans="1:17" x14ac:dyDescent="0.25">
      <c r="A3054" s="22">
        <v>41405</v>
      </c>
      <c r="F3054" s="2"/>
      <c r="G3054" s="33">
        <v>0</v>
      </c>
      <c r="I3054" s="1">
        <v>0</v>
      </c>
      <c r="J3054" s="1">
        <v>0.5</v>
      </c>
      <c r="K3054" s="1">
        <v>0</v>
      </c>
      <c r="Q3054" s="1">
        <v>0.7</v>
      </c>
    </row>
    <row r="3055" spans="1:17" x14ac:dyDescent="0.25">
      <c r="A3055" s="22">
        <v>41406</v>
      </c>
      <c r="F3055" s="2"/>
      <c r="G3055" s="33">
        <v>0</v>
      </c>
      <c r="I3055" s="1">
        <v>0</v>
      </c>
      <c r="J3055" s="1">
        <v>0.4</v>
      </c>
      <c r="K3055" s="1">
        <v>0</v>
      </c>
      <c r="Q3055" s="1">
        <v>0</v>
      </c>
    </row>
    <row r="3056" spans="1:17" x14ac:dyDescent="0.25">
      <c r="A3056" s="22">
        <v>41407</v>
      </c>
      <c r="F3056" s="2"/>
      <c r="G3056" s="33">
        <v>3.2</v>
      </c>
      <c r="I3056" s="1">
        <v>0</v>
      </c>
      <c r="J3056" s="1">
        <v>1</v>
      </c>
      <c r="K3056" s="1">
        <v>0</v>
      </c>
      <c r="Q3056" s="1">
        <v>2.1</v>
      </c>
    </row>
    <row r="3057" spans="1:17" x14ac:dyDescent="0.25">
      <c r="A3057" s="22">
        <v>41408</v>
      </c>
      <c r="F3057" s="2"/>
      <c r="G3057" s="33">
        <v>1.1000000000000001</v>
      </c>
      <c r="I3057" s="1">
        <v>0</v>
      </c>
      <c r="J3057" s="1">
        <v>4.3</v>
      </c>
      <c r="K3057" s="1">
        <v>1.2</v>
      </c>
      <c r="Q3057" s="1">
        <v>4.0999999999999996</v>
      </c>
    </row>
    <row r="3058" spans="1:17" x14ac:dyDescent="0.25">
      <c r="A3058" s="22">
        <v>41409</v>
      </c>
      <c r="F3058" s="2"/>
      <c r="G3058" s="33">
        <v>0</v>
      </c>
      <c r="I3058" s="1">
        <v>0</v>
      </c>
      <c r="J3058" s="1">
        <v>0.4</v>
      </c>
      <c r="K3058" s="1">
        <v>3.6</v>
      </c>
      <c r="Q3058" s="1">
        <v>0.5</v>
      </c>
    </row>
    <row r="3059" spans="1:17" x14ac:dyDescent="0.25">
      <c r="A3059" s="22">
        <v>41410</v>
      </c>
      <c r="F3059" s="2"/>
      <c r="G3059" s="33">
        <v>3.8</v>
      </c>
      <c r="I3059" s="1">
        <v>0</v>
      </c>
      <c r="J3059" s="1">
        <v>4.2</v>
      </c>
      <c r="K3059" s="1">
        <v>3.6</v>
      </c>
      <c r="Q3059" s="1">
        <v>6.7</v>
      </c>
    </row>
    <row r="3060" spans="1:17" x14ac:dyDescent="0.25">
      <c r="A3060" s="22">
        <v>41411</v>
      </c>
      <c r="F3060" s="2"/>
      <c r="G3060" s="33">
        <v>0</v>
      </c>
      <c r="I3060" s="1">
        <v>0</v>
      </c>
      <c r="J3060" s="1">
        <v>5</v>
      </c>
      <c r="K3060" s="1">
        <v>6.4</v>
      </c>
      <c r="Q3060" s="1">
        <v>0</v>
      </c>
    </row>
    <row r="3061" spans="1:17" x14ac:dyDescent="0.25">
      <c r="A3061" s="22">
        <v>41412</v>
      </c>
      <c r="F3061" s="2"/>
      <c r="G3061" s="33">
        <v>0</v>
      </c>
      <c r="I3061" s="1">
        <v>0</v>
      </c>
      <c r="J3061" s="1">
        <v>2.5</v>
      </c>
      <c r="K3061" s="1">
        <v>4.2</v>
      </c>
      <c r="Q3061" s="1">
        <v>0.1</v>
      </c>
    </row>
    <row r="3062" spans="1:17" x14ac:dyDescent="0.25">
      <c r="A3062" s="22">
        <v>41413</v>
      </c>
      <c r="F3062" s="2"/>
      <c r="G3062" s="33">
        <v>7.9</v>
      </c>
      <c r="I3062" s="1">
        <v>18</v>
      </c>
      <c r="J3062" s="1">
        <v>2.7</v>
      </c>
      <c r="K3062" s="1">
        <v>0</v>
      </c>
      <c r="Q3062" s="1">
        <v>0.3</v>
      </c>
    </row>
    <row r="3063" spans="1:17" x14ac:dyDescent="0.25">
      <c r="A3063" s="22">
        <v>41414</v>
      </c>
      <c r="F3063" s="2"/>
      <c r="G3063" s="33">
        <v>3.5</v>
      </c>
      <c r="I3063" s="1">
        <v>0</v>
      </c>
      <c r="J3063" s="1">
        <v>2.6</v>
      </c>
      <c r="K3063" s="1">
        <v>11.5</v>
      </c>
      <c r="Q3063" s="1">
        <v>1.9</v>
      </c>
    </row>
    <row r="3064" spans="1:17" x14ac:dyDescent="0.25">
      <c r="A3064" s="22">
        <v>41415</v>
      </c>
      <c r="F3064" s="2"/>
      <c r="G3064" s="33">
        <v>0</v>
      </c>
      <c r="I3064" s="1">
        <v>1.7</v>
      </c>
      <c r="J3064" s="1">
        <v>3.6</v>
      </c>
      <c r="K3064" s="1">
        <v>6.8</v>
      </c>
      <c r="Q3064" s="1">
        <v>0</v>
      </c>
    </row>
    <row r="3065" spans="1:17" x14ac:dyDescent="0.25">
      <c r="A3065" s="22">
        <v>41416</v>
      </c>
      <c r="F3065" s="2"/>
      <c r="G3065" s="33">
        <v>4.5999999999999996</v>
      </c>
      <c r="I3065" s="1">
        <v>0</v>
      </c>
      <c r="J3065" s="1">
        <v>21.9</v>
      </c>
      <c r="K3065" s="1">
        <v>0</v>
      </c>
      <c r="Q3065" s="1">
        <v>8.9</v>
      </c>
    </row>
    <row r="3066" spans="1:17" x14ac:dyDescent="0.25">
      <c r="A3066" s="22">
        <v>41417</v>
      </c>
      <c r="F3066" s="2"/>
      <c r="G3066" s="33">
        <v>4.3</v>
      </c>
      <c r="I3066" s="1">
        <v>16.3</v>
      </c>
      <c r="J3066" s="1">
        <v>46.3</v>
      </c>
      <c r="K3066" s="1">
        <v>22.3</v>
      </c>
      <c r="Q3066" s="1">
        <v>1.8</v>
      </c>
    </row>
    <row r="3067" spans="1:17" x14ac:dyDescent="0.25">
      <c r="A3067" s="22">
        <v>41418</v>
      </c>
      <c r="F3067" s="2"/>
      <c r="G3067" s="33">
        <v>5.6</v>
      </c>
      <c r="I3067" s="1">
        <v>1.5</v>
      </c>
      <c r="J3067" s="1">
        <v>3</v>
      </c>
      <c r="K3067" s="1">
        <v>4.5</v>
      </c>
      <c r="Q3067" s="1">
        <v>3.6</v>
      </c>
    </row>
    <row r="3068" spans="1:17" x14ac:dyDescent="0.25">
      <c r="A3068" s="22">
        <v>41419</v>
      </c>
      <c r="F3068" s="2"/>
      <c r="G3068" s="33">
        <v>3.2</v>
      </c>
      <c r="I3068" s="1">
        <v>0</v>
      </c>
      <c r="J3068" s="1">
        <v>29</v>
      </c>
      <c r="K3068" s="1">
        <v>2.5</v>
      </c>
      <c r="Q3068" s="1">
        <v>1.1000000000000001</v>
      </c>
    </row>
    <row r="3069" spans="1:17" x14ac:dyDescent="0.25">
      <c r="A3069" s="22">
        <v>41420</v>
      </c>
      <c r="F3069" s="2"/>
      <c r="G3069" s="33">
        <v>10.1</v>
      </c>
      <c r="I3069" s="1">
        <v>0</v>
      </c>
      <c r="J3069" s="1">
        <v>52.1</v>
      </c>
      <c r="K3069" s="1">
        <v>0</v>
      </c>
      <c r="Q3069" s="1">
        <v>21.7</v>
      </c>
    </row>
    <row r="3070" spans="1:17" x14ac:dyDescent="0.25">
      <c r="A3070" s="22">
        <v>41421</v>
      </c>
      <c r="F3070" s="2"/>
      <c r="G3070" s="33">
        <v>33.799999999999997</v>
      </c>
      <c r="I3070" s="1">
        <v>0</v>
      </c>
      <c r="J3070" s="1">
        <v>13.3</v>
      </c>
      <c r="K3070" s="1">
        <v>6.3</v>
      </c>
      <c r="Q3070" s="1">
        <v>25.9</v>
      </c>
    </row>
    <row r="3071" spans="1:17" x14ac:dyDescent="0.25">
      <c r="A3071" s="22">
        <v>41422</v>
      </c>
      <c r="F3071" s="2"/>
      <c r="G3071" s="33">
        <v>10.199999999999999</v>
      </c>
      <c r="I3071" s="1">
        <v>32.799999999999997</v>
      </c>
      <c r="J3071" s="1">
        <v>8.6999999999999993</v>
      </c>
      <c r="K3071" s="1">
        <v>0</v>
      </c>
      <c r="Q3071" s="1">
        <v>10.5</v>
      </c>
    </row>
    <row r="3072" spans="1:17" x14ac:dyDescent="0.25">
      <c r="A3072" s="22">
        <v>41423</v>
      </c>
      <c r="F3072" s="2"/>
      <c r="G3072" s="33">
        <v>2.1</v>
      </c>
      <c r="I3072" s="1">
        <v>0</v>
      </c>
      <c r="J3072" s="1">
        <v>56.6</v>
      </c>
      <c r="K3072" s="1">
        <v>0</v>
      </c>
      <c r="Q3072" s="1">
        <v>2.2000000000000002</v>
      </c>
    </row>
    <row r="3073" spans="1:17" x14ac:dyDescent="0.25">
      <c r="A3073" s="22">
        <v>41424</v>
      </c>
      <c r="F3073" s="2"/>
      <c r="G3073" s="33">
        <v>9.9</v>
      </c>
      <c r="I3073" s="1">
        <v>0</v>
      </c>
      <c r="J3073" s="1">
        <v>32.6</v>
      </c>
      <c r="K3073" s="1">
        <v>70.099999999999994</v>
      </c>
      <c r="Q3073" s="1">
        <v>4.7</v>
      </c>
    </row>
    <row r="3074" spans="1:17" x14ac:dyDescent="0.25">
      <c r="A3074" s="22">
        <v>41425</v>
      </c>
      <c r="F3074" s="2"/>
      <c r="G3074" s="33">
        <v>6.4</v>
      </c>
      <c r="I3074" s="1"/>
      <c r="J3074" s="1"/>
      <c r="K3074" s="1">
        <v>0</v>
      </c>
      <c r="Q3074" s="1">
        <v>2.5</v>
      </c>
    </row>
    <row r="3075" spans="1:17" x14ac:dyDescent="0.25">
      <c r="A3075" s="22">
        <v>41426</v>
      </c>
      <c r="C3075" s="1">
        <v>0</v>
      </c>
      <c r="F3075" s="1">
        <v>0</v>
      </c>
      <c r="G3075" s="33">
        <v>16.100000000000001</v>
      </c>
      <c r="H3075" s="33">
        <v>50</v>
      </c>
      <c r="I3075" s="1">
        <v>0</v>
      </c>
      <c r="J3075" s="1">
        <v>4.0999999999999996</v>
      </c>
      <c r="K3075" s="1">
        <v>21.4</v>
      </c>
      <c r="O3075" s="24">
        <v>2.794</v>
      </c>
      <c r="Q3075" s="1">
        <v>15.2</v>
      </c>
    </row>
    <row r="3076" spans="1:17" x14ac:dyDescent="0.25">
      <c r="A3076" s="22">
        <v>41427</v>
      </c>
      <c r="C3076" s="1">
        <v>0</v>
      </c>
      <c r="F3076" s="1">
        <v>9.8000000000000007</v>
      </c>
      <c r="G3076" s="33">
        <v>3.3</v>
      </c>
      <c r="H3076" s="33">
        <v>7.7</v>
      </c>
      <c r="I3076" s="1">
        <v>0</v>
      </c>
      <c r="J3076" s="1">
        <v>13.9</v>
      </c>
      <c r="K3076" s="1">
        <v>9.6</v>
      </c>
      <c r="O3076" s="24">
        <v>8.3819999999999997</v>
      </c>
      <c r="Q3076" s="1">
        <v>4.7</v>
      </c>
    </row>
    <row r="3077" spans="1:17" x14ac:dyDescent="0.25">
      <c r="A3077" s="22">
        <v>41428</v>
      </c>
      <c r="C3077" s="1">
        <v>0</v>
      </c>
      <c r="F3077" s="1">
        <v>0</v>
      </c>
      <c r="G3077" s="33">
        <v>0.7</v>
      </c>
      <c r="H3077" s="33">
        <v>0</v>
      </c>
      <c r="I3077" s="1">
        <v>0</v>
      </c>
      <c r="J3077" s="1">
        <v>7.3</v>
      </c>
      <c r="K3077" s="1">
        <v>12.3</v>
      </c>
      <c r="O3077" s="24">
        <v>3.8099999999999996</v>
      </c>
      <c r="Q3077" s="1">
        <v>7.8</v>
      </c>
    </row>
    <row r="3078" spans="1:17" x14ac:dyDescent="0.25">
      <c r="A3078" s="22">
        <v>41429</v>
      </c>
      <c r="C3078" s="1">
        <v>0</v>
      </c>
      <c r="F3078" s="1">
        <v>0</v>
      </c>
      <c r="G3078" s="33">
        <v>5.7</v>
      </c>
      <c r="H3078" s="33">
        <v>10.3</v>
      </c>
      <c r="I3078" s="1">
        <v>0</v>
      </c>
      <c r="J3078" s="1">
        <v>3.9</v>
      </c>
      <c r="K3078" s="1">
        <v>2.1</v>
      </c>
      <c r="O3078" s="24">
        <v>7.6199999999999992</v>
      </c>
      <c r="Q3078" s="1">
        <v>1.8</v>
      </c>
    </row>
    <row r="3079" spans="1:17" x14ac:dyDescent="0.25">
      <c r="A3079" s="22">
        <v>41430</v>
      </c>
      <c r="C3079" s="1">
        <v>0</v>
      </c>
      <c r="F3079" s="1">
        <v>3.6</v>
      </c>
      <c r="G3079" s="33">
        <v>1.9</v>
      </c>
      <c r="H3079" s="33">
        <v>0</v>
      </c>
      <c r="I3079" s="1">
        <v>0</v>
      </c>
      <c r="J3079" s="1">
        <v>1.6</v>
      </c>
      <c r="K3079" s="1">
        <v>1.1000000000000001</v>
      </c>
      <c r="O3079" s="24">
        <v>9.1439999999999984</v>
      </c>
      <c r="Q3079" s="1">
        <v>15.2</v>
      </c>
    </row>
    <row r="3080" spans="1:17" x14ac:dyDescent="0.25">
      <c r="A3080" s="22">
        <v>41431</v>
      </c>
      <c r="C3080" s="1">
        <v>0</v>
      </c>
      <c r="F3080" s="1">
        <v>0</v>
      </c>
      <c r="G3080" s="33">
        <v>0</v>
      </c>
      <c r="H3080" s="33">
        <v>14.5</v>
      </c>
      <c r="I3080" s="1">
        <v>0</v>
      </c>
      <c r="J3080" s="1">
        <v>0.7</v>
      </c>
      <c r="K3080" s="1">
        <v>2</v>
      </c>
      <c r="O3080" s="24">
        <v>13.97</v>
      </c>
      <c r="Q3080" s="1">
        <v>0.1</v>
      </c>
    </row>
    <row r="3081" spans="1:17" x14ac:dyDescent="0.25">
      <c r="A3081" s="22">
        <v>41432</v>
      </c>
      <c r="C3081" s="1">
        <v>0</v>
      </c>
      <c r="F3081" s="1">
        <v>0</v>
      </c>
      <c r="G3081" s="33">
        <v>0</v>
      </c>
      <c r="H3081" s="33">
        <v>0.5</v>
      </c>
      <c r="I3081" s="1">
        <v>0</v>
      </c>
      <c r="J3081" s="1">
        <v>0.3</v>
      </c>
      <c r="K3081" s="1">
        <v>0</v>
      </c>
      <c r="O3081" s="24">
        <v>0</v>
      </c>
      <c r="Q3081" s="1">
        <v>0.5</v>
      </c>
    </row>
    <row r="3082" spans="1:17" x14ac:dyDescent="0.25">
      <c r="A3082" s="22">
        <v>41433</v>
      </c>
      <c r="C3082" s="1">
        <v>0</v>
      </c>
      <c r="F3082" s="1">
        <v>0</v>
      </c>
      <c r="G3082" s="33">
        <v>13.9</v>
      </c>
      <c r="H3082" s="33">
        <v>3.4</v>
      </c>
      <c r="I3082" s="1">
        <v>0</v>
      </c>
      <c r="J3082" s="1">
        <v>0</v>
      </c>
      <c r="K3082" s="1">
        <v>0</v>
      </c>
      <c r="O3082" s="24">
        <v>0</v>
      </c>
      <c r="Q3082" s="1">
        <v>1.2</v>
      </c>
    </row>
    <row r="3083" spans="1:17" x14ac:dyDescent="0.25">
      <c r="A3083" s="22">
        <v>41434</v>
      </c>
      <c r="C3083" s="1">
        <v>2.6</v>
      </c>
      <c r="F3083" s="1">
        <v>0</v>
      </c>
      <c r="G3083" s="33">
        <v>19.899999999999999</v>
      </c>
      <c r="H3083" s="33">
        <v>11.5</v>
      </c>
      <c r="I3083" s="1">
        <v>0</v>
      </c>
      <c r="J3083" s="1">
        <v>17.399999999999999</v>
      </c>
      <c r="K3083" s="1">
        <v>0</v>
      </c>
      <c r="O3083" s="24">
        <v>8.3819999999999997</v>
      </c>
      <c r="Q3083" s="1">
        <v>20.2</v>
      </c>
    </row>
    <row r="3084" spans="1:17" x14ac:dyDescent="0.25">
      <c r="A3084" s="22">
        <v>41435</v>
      </c>
      <c r="C3084" s="1">
        <v>6.4</v>
      </c>
      <c r="F3084" s="1">
        <v>0</v>
      </c>
      <c r="G3084" s="33">
        <v>10.3</v>
      </c>
      <c r="H3084" s="33">
        <v>6.2</v>
      </c>
      <c r="I3084" s="1">
        <v>0</v>
      </c>
      <c r="J3084" s="1">
        <v>26.3</v>
      </c>
      <c r="K3084" s="1">
        <v>32.200000000000003</v>
      </c>
      <c r="O3084" s="24">
        <v>30.225999999999996</v>
      </c>
      <c r="Q3084" s="1">
        <v>2.5</v>
      </c>
    </row>
    <row r="3085" spans="1:17" x14ac:dyDescent="0.25">
      <c r="A3085" s="22">
        <v>41436</v>
      </c>
      <c r="C3085" s="1">
        <v>4.0999999999999996</v>
      </c>
      <c r="F3085" s="1">
        <v>0</v>
      </c>
      <c r="G3085" s="33">
        <v>7.8</v>
      </c>
      <c r="H3085" s="33">
        <v>12.4</v>
      </c>
      <c r="I3085" s="1">
        <v>0</v>
      </c>
      <c r="J3085" s="1">
        <v>6.7</v>
      </c>
      <c r="K3085" s="1">
        <v>2.2999999999999998</v>
      </c>
      <c r="O3085" s="24">
        <v>5.08</v>
      </c>
      <c r="Q3085" s="1">
        <v>0.2</v>
      </c>
    </row>
    <row r="3086" spans="1:17" x14ac:dyDescent="0.25">
      <c r="A3086" s="22">
        <v>41437</v>
      </c>
      <c r="C3086" s="1">
        <v>8.4</v>
      </c>
      <c r="F3086" s="1">
        <v>0</v>
      </c>
      <c r="G3086" s="33">
        <v>7.3</v>
      </c>
      <c r="H3086" s="33">
        <v>6.5</v>
      </c>
      <c r="I3086" s="1">
        <v>0</v>
      </c>
      <c r="J3086" s="1">
        <v>7.9</v>
      </c>
      <c r="K3086" s="1">
        <v>9.1</v>
      </c>
      <c r="O3086" s="24">
        <v>4.3180000000000005</v>
      </c>
      <c r="Q3086" s="1">
        <v>5.5</v>
      </c>
    </row>
    <row r="3087" spans="1:17" x14ac:dyDescent="0.25">
      <c r="A3087" s="22">
        <v>41438</v>
      </c>
      <c r="C3087" s="1">
        <v>5.5</v>
      </c>
      <c r="F3087" s="1">
        <v>34.5</v>
      </c>
      <c r="G3087" s="33">
        <v>31.2</v>
      </c>
      <c r="H3087" s="33">
        <v>0.6</v>
      </c>
      <c r="I3087" s="1">
        <v>0</v>
      </c>
      <c r="J3087" s="1">
        <v>14.3</v>
      </c>
      <c r="K3087" s="1">
        <v>34.799999999999997</v>
      </c>
      <c r="O3087" s="24">
        <v>11.683999999999999</v>
      </c>
      <c r="Q3087" s="1">
        <v>19.600000000000001</v>
      </c>
    </row>
    <row r="3088" spans="1:17" x14ac:dyDescent="0.25">
      <c r="A3088" s="22">
        <v>41439</v>
      </c>
      <c r="C3088" s="1">
        <v>0</v>
      </c>
      <c r="F3088" s="1">
        <v>4.5</v>
      </c>
      <c r="G3088" s="33">
        <v>23.4</v>
      </c>
      <c r="H3088" s="33">
        <v>6.7</v>
      </c>
      <c r="I3088" s="1">
        <v>0</v>
      </c>
      <c r="J3088" s="1">
        <v>24.1</v>
      </c>
      <c r="K3088" s="1">
        <v>28.7</v>
      </c>
      <c r="O3088" s="24">
        <v>26.669999999999998</v>
      </c>
      <c r="Q3088" s="1">
        <v>0</v>
      </c>
    </row>
    <row r="3089" spans="1:17" x14ac:dyDescent="0.25">
      <c r="A3089" s="22">
        <v>41440</v>
      </c>
      <c r="C3089" s="1">
        <v>0</v>
      </c>
      <c r="F3089" s="1">
        <v>19</v>
      </c>
      <c r="G3089" s="33">
        <v>0</v>
      </c>
      <c r="H3089" s="33">
        <v>37.299999999999997</v>
      </c>
      <c r="I3089" s="1">
        <v>0</v>
      </c>
      <c r="J3089" s="1">
        <v>37.5</v>
      </c>
      <c r="K3089" s="1">
        <v>21.2</v>
      </c>
      <c r="O3089" s="24">
        <v>29.209999999999997</v>
      </c>
      <c r="Q3089" s="1">
        <v>0</v>
      </c>
    </row>
    <row r="3090" spans="1:17" x14ac:dyDescent="0.25">
      <c r="A3090" s="22">
        <v>41441</v>
      </c>
      <c r="C3090" s="1">
        <v>0</v>
      </c>
      <c r="F3090" s="1">
        <v>0</v>
      </c>
      <c r="G3090" s="33">
        <v>0</v>
      </c>
      <c r="H3090" s="33">
        <v>0</v>
      </c>
      <c r="I3090" s="1">
        <v>0</v>
      </c>
      <c r="J3090" s="1">
        <v>2.2999999999999998</v>
      </c>
      <c r="K3090" s="1">
        <v>18.600000000000001</v>
      </c>
      <c r="O3090" s="24">
        <v>3.302</v>
      </c>
      <c r="Q3090" s="1">
        <v>0</v>
      </c>
    </row>
    <row r="3091" spans="1:17" x14ac:dyDescent="0.25">
      <c r="A3091" s="22">
        <v>41442</v>
      </c>
      <c r="C3091" s="1">
        <v>0</v>
      </c>
      <c r="F3091" s="1">
        <v>0</v>
      </c>
      <c r="G3091" s="33">
        <v>7.6</v>
      </c>
      <c r="H3091" s="33">
        <v>0</v>
      </c>
      <c r="I3091" s="1">
        <v>0</v>
      </c>
      <c r="J3091" s="1">
        <v>3.4</v>
      </c>
      <c r="K3091" s="1">
        <v>0</v>
      </c>
      <c r="O3091" s="24">
        <v>0.50800000000000001</v>
      </c>
      <c r="Q3091" s="1">
        <v>10.3</v>
      </c>
    </row>
    <row r="3092" spans="1:17" x14ac:dyDescent="0.25">
      <c r="A3092" s="22">
        <v>41443</v>
      </c>
      <c r="C3092" s="1">
        <v>7</v>
      </c>
      <c r="F3092" s="1">
        <v>8.6999999999999993</v>
      </c>
      <c r="G3092" s="33">
        <v>18.2</v>
      </c>
      <c r="H3092" s="33">
        <v>8.9</v>
      </c>
      <c r="I3092" s="1">
        <v>0</v>
      </c>
      <c r="J3092" s="1">
        <v>13.7</v>
      </c>
      <c r="K3092" s="1">
        <v>0</v>
      </c>
      <c r="O3092" s="24">
        <v>17.272000000000002</v>
      </c>
      <c r="Q3092" s="1">
        <v>6.6</v>
      </c>
    </row>
    <row r="3093" spans="1:17" x14ac:dyDescent="0.25">
      <c r="A3093" s="22">
        <v>41444</v>
      </c>
      <c r="C3093" s="1">
        <v>0</v>
      </c>
      <c r="F3093" s="1">
        <v>0</v>
      </c>
      <c r="G3093" s="33">
        <v>7.5</v>
      </c>
      <c r="H3093" s="33">
        <v>0.8</v>
      </c>
      <c r="I3093" s="1">
        <v>14</v>
      </c>
      <c r="J3093" s="1">
        <v>16.5</v>
      </c>
      <c r="K3093" s="1">
        <v>0</v>
      </c>
      <c r="O3093" s="24">
        <v>10.667999999999999</v>
      </c>
      <c r="Q3093" s="1">
        <v>1.1000000000000001</v>
      </c>
    </row>
    <row r="3094" spans="1:17" x14ac:dyDescent="0.25">
      <c r="A3094" s="22">
        <v>41445</v>
      </c>
      <c r="C3094" s="1">
        <v>0</v>
      </c>
      <c r="F3094" s="1">
        <v>7.8</v>
      </c>
      <c r="G3094" s="33">
        <v>0</v>
      </c>
      <c r="H3094" s="33">
        <v>0</v>
      </c>
      <c r="I3094" s="1">
        <v>0</v>
      </c>
      <c r="J3094" s="1">
        <v>3.6</v>
      </c>
      <c r="K3094" s="1">
        <v>0</v>
      </c>
      <c r="O3094" s="24">
        <v>0.7619999999999999</v>
      </c>
      <c r="Q3094" s="1">
        <v>1.6</v>
      </c>
    </row>
    <row r="3095" spans="1:17" x14ac:dyDescent="0.25">
      <c r="A3095" s="22">
        <v>41446</v>
      </c>
      <c r="C3095" s="1">
        <v>0</v>
      </c>
      <c r="F3095" s="1">
        <v>0</v>
      </c>
      <c r="G3095" s="33">
        <v>0</v>
      </c>
      <c r="H3095" s="33">
        <v>6.3</v>
      </c>
      <c r="I3095" s="1">
        <v>1.5</v>
      </c>
      <c r="J3095" s="1">
        <v>0.4</v>
      </c>
      <c r="K3095" s="1">
        <v>0</v>
      </c>
      <c r="O3095" s="24">
        <v>2.032</v>
      </c>
      <c r="Q3095" s="1">
        <v>0.7</v>
      </c>
    </row>
    <row r="3096" spans="1:17" x14ac:dyDescent="0.25">
      <c r="A3096" s="22">
        <v>41447</v>
      </c>
      <c r="C3096" s="1">
        <v>0</v>
      </c>
      <c r="F3096" s="1">
        <v>0</v>
      </c>
      <c r="G3096" s="33">
        <v>0</v>
      </c>
      <c r="H3096" s="33">
        <v>11.8</v>
      </c>
      <c r="I3096" s="1">
        <v>0</v>
      </c>
      <c r="J3096" s="1">
        <v>0</v>
      </c>
      <c r="K3096" s="1">
        <v>0</v>
      </c>
      <c r="O3096" s="24">
        <v>0</v>
      </c>
      <c r="Q3096" s="1">
        <v>0</v>
      </c>
    </row>
    <row r="3097" spans="1:17" x14ac:dyDescent="0.25">
      <c r="A3097" s="22">
        <v>41448</v>
      </c>
      <c r="C3097" s="1">
        <v>0</v>
      </c>
      <c r="F3097" s="1">
        <v>0</v>
      </c>
      <c r="G3097" s="33">
        <v>0</v>
      </c>
      <c r="H3097" s="33">
        <v>2.6</v>
      </c>
      <c r="I3097" s="1">
        <v>14.8</v>
      </c>
      <c r="J3097" s="1">
        <v>0</v>
      </c>
      <c r="K3097" s="1">
        <v>0</v>
      </c>
      <c r="O3097" s="24">
        <v>0</v>
      </c>
      <c r="Q3097" s="1">
        <v>1.1000000000000001</v>
      </c>
    </row>
    <row r="3098" spans="1:17" x14ac:dyDescent="0.25">
      <c r="A3098" s="22">
        <v>41449</v>
      </c>
      <c r="C3098" s="1">
        <v>0</v>
      </c>
      <c r="F3098" s="1">
        <v>0</v>
      </c>
      <c r="G3098" s="33">
        <v>30.2</v>
      </c>
      <c r="H3098" s="33">
        <v>0.3</v>
      </c>
      <c r="I3098" s="1">
        <v>0</v>
      </c>
      <c r="J3098" s="1">
        <v>1.6</v>
      </c>
      <c r="K3098" s="1">
        <v>0</v>
      </c>
      <c r="O3098" s="24">
        <v>0.50800000000000001</v>
      </c>
      <c r="Q3098" s="1">
        <v>0.1</v>
      </c>
    </row>
    <row r="3099" spans="1:17" x14ac:dyDescent="0.25">
      <c r="A3099" s="22">
        <v>41450</v>
      </c>
      <c r="C3099" s="1">
        <v>0</v>
      </c>
      <c r="F3099" s="1">
        <v>0</v>
      </c>
      <c r="G3099" s="33">
        <v>1.4</v>
      </c>
      <c r="H3099" s="33">
        <v>9.1</v>
      </c>
      <c r="I3099" s="1">
        <v>0</v>
      </c>
      <c r="J3099" s="1">
        <v>1.1000000000000001</v>
      </c>
      <c r="K3099" s="1">
        <v>0</v>
      </c>
      <c r="O3099" s="24">
        <v>1.016</v>
      </c>
      <c r="Q3099" s="1">
        <v>20.5</v>
      </c>
    </row>
    <row r="3100" spans="1:17" x14ac:dyDescent="0.25">
      <c r="A3100" s="22">
        <v>41451</v>
      </c>
      <c r="C3100" s="1">
        <v>3.4</v>
      </c>
      <c r="F3100" s="1">
        <v>48.2</v>
      </c>
      <c r="G3100" s="33">
        <v>1.3</v>
      </c>
      <c r="H3100" s="33">
        <v>15.3</v>
      </c>
      <c r="I3100" s="1">
        <v>0</v>
      </c>
      <c r="J3100" s="1">
        <v>38.5</v>
      </c>
      <c r="K3100" s="1">
        <v>37.299999999999997</v>
      </c>
      <c r="O3100" s="24">
        <v>26.416</v>
      </c>
      <c r="Q3100" s="1">
        <v>0.4</v>
      </c>
    </row>
    <row r="3101" spans="1:17" x14ac:dyDescent="0.25">
      <c r="A3101" s="22">
        <v>41452</v>
      </c>
      <c r="C3101" s="1">
        <v>1.6</v>
      </c>
      <c r="F3101" s="1">
        <v>0</v>
      </c>
      <c r="G3101" s="33">
        <v>1.6</v>
      </c>
      <c r="H3101" s="33">
        <v>6.9</v>
      </c>
      <c r="I3101" s="1">
        <v>0</v>
      </c>
      <c r="J3101" s="1">
        <v>3.5</v>
      </c>
      <c r="K3101" s="1">
        <v>7.2</v>
      </c>
      <c r="O3101" s="24">
        <v>3.8099999999999996</v>
      </c>
      <c r="Q3101" s="1">
        <v>1.1000000000000001</v>
      </c>
    </row>
    <row r="3102" spans="1:17" x14ac:dyDescent="0.25">
      <c r="A3102" s="22">
        <v>41453</v>
      </c>
      <c r="C3102" s="1">
        <v>0</v>
      </c>
      <c r="F3102" s="1">
        <v>0</v>
      </c>
      <c r="G3102" s="33">
        <v>30.2</v>
      </c>
      <c r="H3102" s="33">
        <v>1.9</v>
      </c>
      <c r="I3102" s="1">
        <v>25.5</v>
      </c>
      <c r="J3102" s="1">
        <v>3.7</v>
      </c>
      <c r="K3102" s="1">
        <v>0.6</v>
      </c>
      <c r="O3102" s="24">
        <v>3.0479999999999996</v>
      </c>
      <c r="Q3102" s="1">
        <v>13.6</v>
      </c>
    </row>
    <row r="3103" spans="1:17" x14ac:dyDescent="0.25">
      <c r="A3103" s="22">
        <v>41454</v>
      </c>
      <c r="C3103" s="1">
        <v>0</v>
      </c>
      <c r="F3103" s="33">
        <v>0</v>
      </c>
      <c r="G3103" s="33">
        <v>0</v>
      </c>
      <c r="H3103" s="33">
        <v>0.5</v>
      </c>
      <c r="I3103" s="1">
        <v>0</v>
      </c>
      <c r="J3103" s="1">
        <v>22.5</v>
      </c>
      <c r="K3103" s="1">
        <v>22.3</v>
      </c>
      <c r="O3103" s="24">
        <v>10.16</v>
      </c>
      <c r="Q3103" s="1">
        <v>11.4</v>
      </c>
    </row>
    <row r="3104" spans="1:17" x14ac:dyDescent="0.25">
      <c r="A3104" s="22">
        <v>41455</v>
      </c>
      <c r="C3104" s="1">
        <v>0</v>
      </c>
      <c r="F3104" s="1">
        <v>15.1</v>
      </c>
      <c r="G3104" s="33">
        <v>0</v>
      </c>
      <c r="H3104" s="33">
        <v>0</v>
      </c>
      <c r="I3104" s="1">
        <v>0</v>
      </c>
      <c r="J3104" s="1">
        <v>11</v>
      </c>
      <c r="K3104" s="1">
        <v>0</v>
      </c>
      <c r="O3104" s="24">
        <v>17.525999999999996</v>
      </c>
      <c r="Q3104" s="1">
        <v>0.3</v>
      </c>
    </row>
    <row r="3105" spans="1:17" x14ac:dyDescent="0.25">
      <c r="A3105" s="22">
        <v>41456</v>
      </c>
      <c r="F3105" s="2"/>
      <c r="G3105" s="33">
        <v>0</v>
      </c>
      <c r="I3105" s="2"/>
      <c r="J3105" s="2"/>
      <c r="K3105" s="1">
        <v>0</v>
      </c>
      <c r="Q3105" s="1">
        <v>0.5</v>
      </c>
    </row>
    <row r="3106" spans="1:17" x14ac:dyDescent="0.25">
      <c r="A3106" s="22">
        <v>41457</v>
      </c>
      <c r="F3106" s="2"/>
      <c r="G3106" s="33">
        <v>0</v>
      </c>
      <c r="I3106" s="2"/>
      <c r="J3106" s="2"/>
      <c r="K3106" s="1">
        <v>0</v>
      </c>
      <c r="Q3106" s="1">
        <v>11</v>
      </c>
    </row>
    <row r="3107" spans="1:17" x14ac:dyDescent="0.25">
      <c r="A3107" s="22">
        <v>41458</v>
      </c>
      <c r="F3107" s="2"/>
      <c r="G3107" s="33">
        <v>4.5999999999999996</v>
      </c>
      <c r="I3107" s="2"/>
      <c r="J3107" s="2"/>
      <c r="K3107" s="1">
        <v>0</v>
      </c>
      <c r="Q3107" s="1">
        <v>7.5</v>
      </c>
    </row>
    <row r="3108" spans="1:17" x14ac:dyDescent="0.25">
      <c r="A3108" s="22">
        <v>41459</v>
      </c>
      <c r="F3108" s="2"/>
      <c r="G3108" s="33">
        <v>2</v>
      </c>
      <c r="I3108" s="2"/>
      <c r="J3108" s="1"/>
      <c r="K3108" s="1">
        <v>7.5</v>
      </c>
      <c r="Q3108" s="1">
        <v>0</v>
      </c>
    </row>
    <row r="3109" spans="1:17" x14ac:dyDescent="0.25">
      <c r="A3109" s="22">
        <v>41460</v>
      </c>
      <c r="F3109" s="2"/>
      <c r="G3109" s="33">
        <v>2.2999999999999998</v>
      </c>
      <c r="I3109" s="2"/>
      <c r="J3109" s="2"/>
      <c r="K3109" s="1">
        <v>0</v>
      </c>
      <c r="Q3109" s="1">
        <v>0.5</v>
      </c>
    </row>
    <row r="3110" spans="1:17" x14ac:dyDescent="0.25">
      <c r="A3110" s="22">
        <v>41461</v>
      </c>
      <c r="F3110" s="2"/>
      <c r="G3110" s="33">
        <v>0</v>
      </c>
      <c r="I3110" s="2"/>
      <c r="J3110" s="2"/>
      <c r="K3110" s="1">
        <v>0</v>
      </c>
      <c r="Q3110" s="1">
        <v>0</v>
      </c>
    </row>
    <row r="3111" spans="1:17" x14ac:dyDescent="0.25">
      <c r="A3111" s="22">
        <v>41462</v>
      </c>
      <c r="F3111" s="2"/>
      <c r="G3111" s="33">
        <v>5.8</v>
      </c>
      <c r="I3111" s="1"/>
      <c r="J3111" s="2"/>
      <c r="K3111" s="1">
        <v>5.9</v>
      </c>
      <c r="Q3111" s="1">
        <v>8.4</v>
      </c>
    </row>
    <row r="3112" spans="1:17" x14ac:dyDescent="0.25">
      <c r="A3112" s="22">
        <v>41463</v>
      </c>
      <c r="F3112" s="2"/>
      <c r="G3112" s="33">
        <v>27.1</v>
      </c>
      <c r="I3112" s="2"/>
      <c r="J3112" s="2"/>
      <c r="K3112" s="1">
        <v>0</v>
      </c>
      <c r="Q3112" s="1">
        <v>1.6</v>
      </c>
    </row>
    <row r="3113" spans="1:17" x14ac:dyDescent="0.25">
      <c r="A3113" s="22">
        <v>41464</v>
      </c>
      <c r="F3113" s="2"/>
      <c r="G3113" s="33">
        <v>1.4</v>
      </c>
      <c r="I3113" s="2"/>
      <c r="J3113" s="2"/>
      <c r="K3113" s="1">
        <v>0</v>
      </c>
      <c r="Q3113" s="1">
        <v>0.6</v>
      </c>
    </row>
    <row r="3114" spans="1:17" x14ac:dyDescent="0.25">
      <c r="A3114" s="22">
        <v>41465</v>
      </c>
      <c r="F3114" s="2"/>
      <c r="G3114" s="33">
        <v>0</v>
      </c>
      <c r="I3114" s="2"/>
      <c r="J3114" s="2"/>
      <c r="K3114" s="1">
        <v>0</v>
      </c>
      <c r="Q3114" s="1">
        <v>0</v>
      </c>
    </row>
    <row r="3115" spans="1:17" x14ac:dyDescent="0.25">
      <c r="A3115" s="22">
        <v>41466</v>
      </c>
      <c r="F3115" s="2"/>
      <c r="G3115" s="33">
        <v>0</v>
      </c>
      <c r="I3115" s="2"/>
      <c r="J3115" s="2"/>
      <c r="K3115" s="1">
        <v>0</v>
      </c>
      <c r="Q3115" s="1">
        <v>0</v>
      </c>
    </row>
    <row r="3116" spans="1:17" x14ac:dyDescent="0.25">
      <c r="A3116" s="22">
        <v>41467</v>
      </c>
      <c r="F3116" s="2"/>
      <c r="G3116" s="33">
        <v>0</v>
      </c>
      <c r="I3116" s="2"/>
      <c r="J3116" s="1"/>
      <c r="K3116" s="1">
        <v>0</v>
      </c>
      <c r="Q3116" s="1">
        <v>0</v>
      </c>
    </row>
    <row r="3117" spans="1:17" x14ac:dyDescent="0.25">
      <c r="A3117" s="22">
        <v>41468</v>
      </c>
      <c r="F3117" s="2"/>
      <c r="G3117" s="33">
        <v>1.4</v>
      </c>
      <c r="I3117" s="2"/>
      <c r="J3117" s="2"/>
      <c r="K3117" s="1">
        <v>0</v>
      </c>
      <c r="Q3117" s="1">
        <v>1.4</v>
      </c>
    </row>
    <row r="3118" spans="1:17" x14ac:dyDescent="0.25">
      <c r="A3118" s="22">
        <v>41469</v>
      </c>
      <c r="F3118" s="2"/>
      <c r="G3118" s="33">
        <v>0</v>
      </c>
      <c r="I3118" s="2"/>
      <c r="J3118" s="2"/>
      <c r="K3118" s="1">
        <v>0</v>
      </c>
      <c r="Q3118" s="1">
        <v>0</v>
      </c>
    </row>
    <row r="3119" spans="1:17" x14ac:dyDescent="0.25">
      <c r="A3119" s="22">
        <v>41470</v>
      </c>
      <c r="F3119" s="2"/>
      <c r="G3119" s="33">
        <v>4.9000000000000004</v>
      </c>
      <c r="I3119" s="2"/>
      <c r="J3119" s="2"/>
      <c r="K3119" s="1">
        <v>0</v>
      </c>
      <c r="Q3119" s="1">
        <v>14.8</v>
      </c>
    </row>
    <row r="3120" spans="1:17" x14ac:dyDescent="0.25">
      <c r="A3120" s="22">
        <v>41471</v>
      </c>
      <c r="F3120" s="2"/>
      <c r="G3120" s="33">
        <v>3.5</v>
      </c>
      <c r="I3120" s="1"/>
      <c r="J3120" s="1"/>
      <c r="K3120" s="1">
        <v>33.5</v>
      </c>
      <c r="Q3120" s="1">
        <v>6.6</v>
      </c>
    </row>
    <row r="3121" spans="1:17" x14ac:dyDescent="0.25">
      <c r="A3121" s="22">
        <v>41472</v>
      </c>
      <c r="F3121" s="2"/>
      <c r="G3121" s="33">
        <v>3.8</v>
      </c>
      <c r="I3121" s="2"/>
      <c r="J3121" s="2"/>
      <c r="K3121" s="1">
        <v>2.8</v>
      </c>
      <c r="Q3121" s="1">
        <v>10.8</v>
      </c>
    </row>
    <row r="3122" spans="1:17" x14ac:dyDescent="0.25">
      <c r="A3122" s="22">
        <v>41473</v>
      </c>
      <c r="F3122" s="2"/>
      <c r="G3122" s="33">
        <v>16.3</v>
      </c>
      <c r="I3122" s="2"/>
      <c r="J3122" s="2"/>
      <c r="K3122" s="1">
        <v>3.7</v>
      </c>
      <c r="Q3122" s="1">
        <v>12.8</v>
      </c>
    </row>
    <row r="3123" spans="1:17" x14ac:dyDescent="0.25">
      <c r="A3123" s="22">
        <v>41474</v>
      </c>
      <c r="F3123" s="2"/>
      <c r="G3123" s="33">
        <v>2.2999999999999998</v>
      </c>
      <c r="I3123" s="2"/>
      <c r="J3123" s="1"/>
      <c r="K3123" s="1">
        <v>26.7</v>
      </c>
      <c r="Q3123" s="1">
        <v>6.5</v>
      </c>
    </row>
    <row r="3124" spans="1:17" x14ac:dyDescent="0.25">
      <c r="A3124" s="22">
        <v>41475</v>
      </c>
      <c r="F3124" s="2"/>
      <c r="G3124" s="33">
        <v>0.6</v>
      </c>
      <c r="I3124" s="2"/>
      <c r="J3124" s="1"/>
      <c r="K3124" s="1">
        <v>0</v>
      </c>
      <c r="Q3124" s="1">
        <v>0.8</v>
      </c>
    </row>
    <row r="3125" spans="1:17" x14ac:dyDescent="0.25">
      <c r="A3125" s="22">
        <v>41476</v>
      </c>
      <c r="F3125" s="2"/>
      <c r="G3125" s="33">
        <v>3.2</v>
      </c>
      <c r="I3125" s="2"/>
      <c r="J3125" s="2"/>
      <c r="K3125" s="1">
        <v>0</v>
      </c>
      <c r="Q3125" s="1">
        <v>3.6</v>
      </c>
    </row>
    <row r="3126" spans="1:17" x14ac:dyDescent="0.25">
      <c r="A3126" s="22">
        <v>41477</v>
      </c>
      <c r="F3126" s="2"/>
      <c r="G3126" s="33">
        <v>1</v>
      </c>
      <c r="I3126" s="2"/>
      <c r="J3126" s="2"/>
      <c r="K3126" s="1">
        <v>0</v>
      </c>
      <c r="Q3126" s="1">
        <v>0.5</v>
      </c>
    </row>
    <row r="3127" spans="1:17" x14ac:dyDescent="0.25">
      <c r="A3127" s="22">
        <v>41478</v>
      </c>
      <c r="F3127" s="2"/>
      <c r="G3127" s="33">
        <v>0</v>
      </c>
      <c r="I3127" s="1"/>
      <c r="J3127" s="1"/>
      <c r="K3127" s="1">
        <v>0</v>
      </c>
      <c r="Q3127" s="1">
        <v>0</v>
      </c>
    </row>
    <row r="3128" spans="1:17" x14ac:dyDescent="0.25">
      <c r="A3128" s="22">
        <v>41479</v>
      </c>
      <c r="F3128" s="2"/>
      <c r="G3128" s="33">
        <v>0</v>
      </c>
      <c r="I3128" s="2"/>
      <c r="J3128" s="1"/>
      <c r="K3128" s="1">
        <v>0</v>
      </c>
      <c r="Q3128" s="1">
        <v>0</v>
      </c>
    </row>
    <row r="3129" spans="1:17" x14ac:dyDescent="0.25">
      <c r="A3129" s="22">
        <v>41480</v>
      </c>
      <c r="F3129" s="2"/>
      <c r="G3129" s="33">
        <v>0</v>
      </c>
      <c r="I3129" s="1"/>
      <c r="J3129" s="1"/>
      <c r="K3129" s="1">
        <v>12.1</v>
      </c>
      <c r="Q3129" s="1">
        <v>1.2</v>
      </c>
    </row>
    <row r="3130" spans="1:17" x14ac:dyDescent="0.25">
      <c r="A3130" s="22">
        <v>41481</v>
      </c>
      <c r="F3130" s="2"/>
      <c r="G3130" s="33">
        <v>0</v>
      </c>
      <c r="I3130" s="1"/>
      <c r="J3130" s="1"/>
      <c r="K3130" s="1">
        <v>10.5</v>
      </c>
      <c r="Q3130" s="1">
        <v>0</v>
      </c>
    </row>
    <row r="3131" spans="1:17" x14ac:dyDescent="0.25">
      <c r="A3131" s="22">
        <v>41482</v>
      </c>
      <c r="F3131" s="2"/>
      <c r="G3131" s="33">
        <v>8.8000000000000007</v>
      </c>
      <c r="I3131" s="1"/>
      <c r="J3131" s="1"/>
      <c r="K3131" s="1">
        <v>3.7</v>
      </c>
      <c r="Q3131" s="1">
        <v>3</v>
      </c>
    </row>
    <row r="3132" spans="1:17" x14ac:dyDescent="0.25">
      <c r="A3132" s="22">
        <v>41483</v>
      </c>
      <c r="F3132" s="2"/>
      <c r="G3132" s="33">
        <v>2.8</v>
      </c>
      <c r="I3132" s="2"/>
      <c r="J3132" s="2"/>
      <c r="K3132" s="1">
        <v>8.3000000000000007</v>
      </c>
      <c r="Q3132" s="1">
        <v>6.2</v>
      </c>
    </row>
    <row r="3133" spans="1:17" x14ac:dyDescent="0.25">
      <c r="A3133" s="22">
        <v>41484</v>
      </c>
      <c r="F3133" s="2"/>
      <c r="G3133" s="33">
        <v>1.7</v>
      </c>
      <c r="I3133" s="2"/>
      <c r="J3133" s="2"/>
      <c r="K3133" s="1">
        <v>0</v>
      </c>
      <c r="Q3133" s="1">
        <v>6.1</v>
      </c>
    </row>
    <row r="3134" spans="1:17" x14ac:dyDescent="0.25">
      <c r="A3134" s="22">
        <v>41485</v>
      </c>
      <c r="F3134" s="2"/>
      <c r="G3134" s="33">
        <v>2.4</v>
      </c>
      <c r="I3134" s="2"/>
      <c r="J3134" s="2"/>
      <c r="K3134" s="1">
        <v>2</v>
      </c>
      <c r="Q3134" s="1">
        <v>8.6999999999999993</v>
      </c>
    </row>
    <row r="3135" spans="1:17" x14ac:dyDescent="0.25">
      <c r="A3135" s="22">
        <v>41486</v>
      </c>
      <c r="F3135" s="2"/>
      <c r="G3135" s="33">
        <v>1.8</v>
      </c>
      <c r="I3135" s="2"/>
      <c r="J3135" s="2"/>
      <c r="K3135" s="1">
        <v>0</v>
      </c>
      <c r="Q3135" s="1">
        <v>0.3</v>
      </c>
    </row>
    <row r="3136" spans="1:17" x14ac:dyDescent="0.25">
      <c r="A3136" s="22">
        <v>41487</v>
      </c>
      <c r="F3136" s="2"/>
      <c r="G3136" s="33">
        <v>0</v>
      </c>
      <c r="I3136" s="2"/>
      <c r="J3136" s="2"/>
      <c r="K3136" s="1">
        <v>0</v>
      </c>
      <c r="O3136" s="38">
        <v>1.778</v>
      </c>
      <c r="Q3136" s="1">
        <v>0.5</v>
      </c>
    </row>
    <row r="3137" spans="1:17" x14ac:dyDescent="0.25">
      <c r="A3137" s="22">
        <v>41488</v>
      </c>
      <c r="F3137" s="2"/>
      <c r="G3137" s="33">
        <v>0</v>
      </c>
      <c r="I3137" s="2"/>
      <c r="J3137" s="2"/>
      <c r="K3137" s="1">
        <v>0</v>
      </c>
      <c r="O3137" s="38">
        <v>1.5239999999999998</v>
      </c>
      <c r="Q3137" s="1">
        <v>1.4</v>
      </c>
    </row>
    <row r="3138" spans="1:17" x14ac:dyDescent="0.25">
      <c r="A3138" s="22">
        <v>41489</v>
      </c>
      <c r="F3138" s="2"/>
      <c r="G3138" s="33">
        <v>0</v>
      </c>
      <c r="I3138" s="2"/>
      <c r="J3138" s="2"/>
      <c r="K3138" s="1">
        <v>6.1</v>
      </c>
      <c r="O3138" s="38">
        <v>2.54</v>
      </c>
      <c r="Q3138" s="1">
        <v>0</v>
      </c>
    </row>
    <row r="3139" spans="1:17" x14ac:dyDescent="0.25">
      <c r="A3139" s="22">
        <v>41490</v>
      </c>
      <c r="F3139" s="2"/>
      <c r="G3139" s="33">
        <v>4.8</v>
      </c>
      <c r="I3139" s="2"/>
      <c r="J3139" s="1"/>
      <c r="K3139" s="1">
        <v>1.2</v>
      </c>
      <c r="O3139" s="38">
        <v>7.6199999999999992</v>
      </c>
      <c r="Q3139" s="1">
        <v>1.6</v>
      </c>
    </row>
    <row r="3140" spans="1:17" x14ac:dyDescent="0.25">
      <c r="A3140" s="22">
        <v>41491</v>
      </c>
      <c r="F3140" s="2"/>
      <c r="G3140" s="33">
        <v>2.2000000000000002</v>
      </c>
      <c r="I3140" s="2"/>
      <c r="J3140" s="2"/>
      <c r="K3140" s="1">
        <v>0</v>
      </c>
      <c r="O3140" s="38">
        <v>0</v>
      </c>
      <c r="Q3140" s="1">
        <v>6</v>
      </c>
    </row>
    <row r="3141" spans="1:17" x14ac:dyDescent="0.25">
      <c r="A3141" s="22">
        <v>41492</v>
      </c>
      <c r="F3141" s="2"/>
      <c r="G3141" s="33">
        <v>0</v>
      </c>
      <c r="I3141" s="2"/>
      <c r="J3141" s="2"/>
      <c r="K3141" s="1">
        <v>0</v>
      </c>
      <c r="O3141" s="38">
        <v>1.016</v>
      </c>
      <c r="Q3141" s="1">
        <v>0</v>
      </c>
    </row>
    <row r="3142" spans="1:17" x14ac:dyDescent="0.25">
      <c r="A3142" s="22">
        <v>41493</v>
      </c>
      <c r="F3142" s="2"/>
      <c r="G3142" s="33">
        <v>6.3</v>
      </c>
      <c r="I3142" s="1"/>
      <c r="J3142" s="2"/>
      <c r="K3142" s="1">
        <v>4.4000000000000004</v>
      </c>
      <c r="O3142" s="38">
        <v>0.50800000000000001</v>
      </c>
      <c r="Q3142" s="1">
        <v>17.600000000000001</v>
      </c>
    </row>
    <row r="3143" spans="1:17" x14ac:dyDescent="0.25">
      <c r="A3143" s="22">
        <v>41494</v>
      </c>
      <c r="F3143" s="2"/>
      <c r="G3143" s="33">
        <v>7.2</v>
      </c>
      <c r="I3143" s="2"/>
      <c r="J3143" s="2"/>
      <c r="K3143" s="1">
        <v>5.4</v>
      </c>
      <c r="O3143" s="38">
        <v>2.032</v>
      </c>
      <c r="Q3143" s="1">
        <v>1.8</v>
      </c>
    </row>
    <row r="3144" spans="1:17" x14ac:dyDescent="0.25">
      <c r="A3144" s="22">
        <v>41495</v>
      </c>
      <c r="F3144" s="2"/>
      <c r="G3144" s="33">
        <v>5.4</v>
      </c>
      <c r="I3144" s="2"/>
      <c r="J3144" s="2"/>
      <c r="K3144" s="1">
        <v>7.3</v>
      </c>
      <c r="O3144" s="38">
        <v>0</v>
      </c>
      <c r="Q3144" s="1">
        <v>10.1</v>
      </c>
    </row>
    <row r="3145" spans="1:17" x14ac:dyDescent="0.25">
      <c r="A3145" s="22">
        <v>41496</v>
      </c>
      <c r="F3145" s="2"/>
      <c r="G3145" s="33">
        <v>35.6</v>
      </c>
      <c r="I3145" s="2"/>
      <c r="J3145" s="2"/>
      <c r="K3145" s="1">
        <v>8.6</v>
      </c>
      <c r="O3145" s="38">
        <v>0</v>
      </c>
      <c r="Q3145" s="1">
        <v>22.2</v>
      </c>
    </row>
    <row r="3146" spans="1:17" x14ac:dyDescent="0.25">
      <c r="A3146" s="22">
        <v>41497</v>
      </c>
      <c r="F3146" s="2"/>
      <c r="G3146" s="33">
        <v>31.7</v>
      </c>
      <c r="I3146" s="2"/>
      <c r="J3146" s="2"/>
      <c r="K3146" s="1">
        <v>60.2</v>
      </c>
      <c r="O3146" s="38">
        <v>1.5239999999999998</v>
      </c>
      <c r="Q3146" s="1">
        <v>23.5</v>
      </c>
    </row>
    <row r="3147" spans="1:17" x14ac:dyDescent="0.25">
      <c r="A3147" s="22">
        <v>41498</v>
      </c>
      <c r="F3147" s="2"/>
      <c r="G3147" s="33">
        <v>0</v>
      </c>
      <c r="I3147" s="2"/>
      <c r="J3147" s="1"/>
      <c r="K3147" s="1">
        <v>25.2</v>
      </c>
      <c r="O3147" s="38">
        <v>0</v>
      </c>
      <c r="Q3147" s="1">
        <v>0</v>
      </c>
    </row>
    <row r="3148" spans="1:17" x14ac:dyDescent="0.25">
      <c r="A3148" s="22">
        <v>41499</v>
      </c>
      <c r="F3148" s="2"/>
      <c r="G3148" s="33">
        <v>4.0999999999999996</v>
      </c>
      <c r="I3148" s="2"/>
      <c r="J3148" s="2"/>
      <c r="K3148" s="1">
        <v>2.1</v>
      </c>
      <c r="O3148" s="38">
        <v>2.2859999999999996</v>
      </c>
      <c r="Q3148" s="1">
        <v>0</v>
      </c>
    </row>
    <row r="3149" spans="1:17" x14ac:dyDescent="0.25">
      <c r="A3149" s="22">
        <v>41500</v>
      </c>
      <c r="F3149" s="2"/>
      <c r="G3149" s="33">
        <v>2.7</v>
      </c>
      <c r="I3149" s="2"/>
      <c r="J3149" s="2"/>
      <c r="K3149" s="1">
        <v>0.5</v>
      </c>
      <c r="O3149" s="38">
        <v>3.556</v>
      </c>
      <c r="Q3149" s="1">
        <v>0.4</v>
      </c>
    </row>
    <row r="3150" spans="1:17" x14ac:dyDescent="0.25">
      <c r="A3150" s="22">
        <v>41501</v>
      </c>
      <c r="F3150" s="2"/>
      <c r="G3150" s="33">
        <v>0.4</v>
      </c>
      <c r="I3150" s="2"/>
      <c r="J3150" s="2"/>
      <c r="K3150" s="1">
        <v>2.5</v>
      </c>
      <c r="O3150" s="38">
        <v>0.50800000000000001</v>
      </c>
      <c r="Q3150" s="1">
        <v>3</v>
      </c>
    </row>
    <row r="3151" spans="1:17" x14ac:dyDescent="0.25">
      <c r="A3151" s="22">
        <v>41502</v>
      </c>
      <c r="F3151" s="2"/>
      <c r="G3151" s="33">
        <v>0</v>
      </c>
      <c r="I3151" s="1"/>
      <c r="J3151" s="1"/>
      <c r="K3151" s="1">
        <v>5.8</v>
      </c>
      <c r="O3151" s="38">
        <v>2.54</v>
      </c>
      <c r="Q3151" s="1">
        <v>0</v>
      </c>
    </row>
    <row r="3152" spans="1:17" x14ac:dyDescent="0.25">
      <c r="A3152" s="22">
        <v>41503</v>
      </c>
      <c r="F3152" s="2"/>
      <c r="G3152" s="33">
        <v>6.5</v>
      </c>
      <c r="I3152" s="2"/>
      <c r="J3152" s="2"/>
      <c r="K3152" s="1">
        <v>0</v>
      </c>
      <c r="O3152" s="38">
        <v>0.254</v>
      </c>
      <c r="Q3152" s="1">
        <v>7.9</v>
      </c>
    </row>
    <row r="3153" spans="1:17" x14ac:dyDescent="0.25">
      <c r="A3153" s="22">
        <v>41504</v>
      </c>
      <c r="F3153" s="2"/>
      <c r="G3153" s="33">
        <v>11.4</v>
      </c>
      <c r="I3153" s="2"/>
      <c r="J3153" s="2"/>
      <c r="K3153" s="1">
        <v>14.6</v>
      </c>
      <c r="O3153" s="38">
        <v>0</v>
      </c>
      <c r="Q3153" s="1">
        <v>17.3</v>
      </c>
    </row>
    <row r="3154" spans="1:17" x14ac:dyDescent="0.25">
      <c r="A3154" s="22">
        <v>41505</v>
      </c>
      <c r="F3154" s="2"/>
      <c r="G3154" s="33">
        <v>1.6</v>
      </c>
      <c r="I3154" s="2"/>
      <c r="J3154" s="1"/>
      <c r="K3154" s="1">
        <v>7.1</v>
      </c>
      <c r="O3154" s="38">
        <v>0</v>
      </c>
      <c r="Q3154" s="1">
        <v>0.5</v>
      </c>
    </row>
    <row r="3155" spans="1:17" x14ac:dyDescent="0.25">
      <c r="A3155" s="22">
        <v>41506</v>
      </c>
      <c r="F3155" s="2"/>
      <c r="G3155" s="33">
        <v>5.9</v>
      </c>
      <c r="I3155" s="2"/>
      <c r="J3155" s="1"/>
      <c r="K3155" s="1">
        <v>13.3</v>
      </c>
      <c r="O3155" s="38">
        <v>3.8099999999999996</v>
      </c>
      <c r="Q3155" s="1">
        <v>0.6</v>
      </c>
    </row>
    <row r="3156" spans="1:17" x14ac:dyDescent="0.25">
      <c r="A3156" s="22">
        <v>41507</v>
      </c>
      <c r="F3156" s="2"/>
      <c r="G3156" s="33">
        <v>0.3</v>
      </c>
      <c r="I3156" s="2"/>
      <c r="J3156" s="2"/>
      <c r="K3156" s="1">
        <v>3.8</v>
      </c>
      <c r="O3156" s="38">
        <v>4.5719999999999992</v>
      </c>
      <c r="Q3156" s="1">
        <v>1.4</v>
      </c>
    </row>
    <row r="3157" spans="1:17" x14ac:dyDescent="0.25">
      <c r="A3157" s="22">
        <v>41508</v>
      </c>
      <c r="F3157" s="2"/>
      <c r="G3157" s="33">
        <v>0.4</v>
      </c>
      <c r="I3157" s="2"/>
      <c r="J3157" s="2"/>
      <c r="K3157" s="1">
        <v>0</v>
      </c>
      <c r="O3157" s="38">
        <v>3.8099999999999996</v>
      </c>
      <c r="Q3157" s="1">
        <v>0</v>
      </c>
    </row>
    <row r="3158" spans="1:17" x14ac:dyDescent="0.25">
      <c r="A3158" s="22">
        <v>41509</v>
      </c>
      <c r="F3158" s="2"/>
      <c r="G3158" s="33">
        <v>4.5999999999999996</v>
      </c>
      <c r="I3158" s="1"/>
      <c r="J3158" s="1"/>
      <c r="K3158" s="1">
        <v>9.8000000000000007</v>
      </c>
      <c r="O3158" s="38">
        <v>21.335999999999999</v>
      </c>
      <c r="Q3158" s="1">
        <v>8.9</v>
      </c>
    </row>
    <row r="3159" spans="1:17" x14ac:dyDescent="0.25">
      <c r="A3159" s="22">
        <v>41510</v>
      </c>
      <c r="F3159" s="2"/>
      <c r="G3159" s="33">
        <v>29.7</v>
      </c>
      <c r="I3159" s="2"/>
      <c r="J3159" s="1"/>
      <c r="K3159" s="1">
        <v>8.5</v>
      </c>
      <c r="O3159" s="38">
        <v>19.049999999999997</v>
      </c>
      <c r="Q3159" s="1">
        <v>2.1</v>
      </c>
    </row>
    <row r="3160" spans="1:17" x14ac:dyDescent="0.25">
      <c r="A3160" s="22">
        <v>41511</v>
      </c>
      <c r="F3160" s="2"/>
      <c r="G3160" s="33">
        <v>0</v>
      </c>
      <c r="I3160" s="1"/>
      <c r="J3160" s="1"/>
      <c r="K3160" s="1">
        <v>0</v>
      </c>
      <c r="O3160" s="38">
        <v>17.779999999999998</v>
      </c>
      <c r="Q3160" s="1">
        <v>0</v>
      </c>
    </row>
    <row r="3161" spans="1:17" x14ac:dyDescent="0.25">
      <c r="A3161" s="22">
        <v>41512</v>
      </c>
      <c r="F3161" s="2"/>
      <c r="G3161" s="33">
        <v>3.7</v>
      </c>
      <c r="I3161" s="1"/>
      <c r="J3161" s="1"/>
      <c r="K3161" s="1">
        <v>0</v>
      </c>
      <c r="O3161" s="38">
        <v>5.08</v>
      </c>
      <c r="Q3161" s="1">
        <v>14.8</v>
      </c>
    </row>
    <row r="3162" spans="1:17" x14ac:dyDescent="0.25">
      <c r="A3162" s="22">
        <v>41513</v>
      </c>
      <c r="F3162" s="2"/>
      <c r="G3162" s="33">
        <v>11.4</v>
      </c>
      <c r="I3162" s="1"/>
      <c r="J3162" s="1"/>
      <c r="K3162" s="1">
        <v>5.4</v>
      </c>
      <c r="O3162" s="38">
        <v>48.767999999999994</v>
      </c>
      <c r="Q3162" s="1">
        <v>24.3</v>
      </c>
    </row>
    <row r="3163" spans="1:17" x14ac:dyDescent="0.25">
      <c r="A3163" s="22">
        <v>41514</v>
      </c>
      <c r="F3163" s="2"/>
      <c r="G3163" s="33">
        <v>0.6</v>
      </c>
      <c r="I3163" s="2"/>
      <c r="J3163" s="2"/>
      <c r="K3163" s="1">
        <v>6.1</v>
      </c>
      <c r="O3163" s="38">
        <v>8.8899999999999988</v>
      </c>
      <c r="Q3163" s="1">
        <v>5.4</v>
      </c>
    </row>
    <row r="3164" spans="1:17" x14ac:dyDescent="0.25">
      <c r="A3164" s="22">
        <v>41515</v>
      </c>
      <c r="F3164" s="2"/>
      <c r="G3164" s="33">
        <v>0</v>
      </c>
      <c r="I3164" s="2"/>
      <c r="J3164" s="2"/>
      <c r="K3164" s="1">
        <v>8.1999999999999993</v>
      </c>
      <c r="O3164" s="38">
        <v>116.078</v>
      </c>
      <c r="Q3164" s="1">
        <v>0</v>
      </c>
    </row>
    <row r="3165" spans="1:17" x14ac:dyDescent="0.25">
      <c r="A3165" s="22">
        <v>41516</v>
      </c>
      <c r="F3165" s="2"/>
      <c r="G3165" s="33">
        <v>2.6</v>
      </c>
      <c r="I3165" s="2"/>
      <c r="J3165" s="2"/>
      <c r="K3165" s="1">
        <v>0</v>
      </c>
      <c r="O3165" s="38">
        <v>12.7</v>
      </c>
      <c r="Q3165" s="1">
        <v>0</v>
      </c>
    </row>
    <row r="3166" spans="1:17" x14ac:dyDescent="0.25">
      <c r="A3166" s="22">
        <v>41517</v>
      </c>
      <c r="F3166" s="2"/>
      <c r="G3166" s="33">
        <v>20</v>
      </c>
      <c r="I3166" s="2"/>
      <c r="J3166" s="2"/>
      <c r="K3166" s="1">
        <v>22.2</v>
      </c>
      <c r="O3166" s="38">
        <v>0</v>
      </c>
      <c r="Q3166" s="1">
        <v>7.5</v>
      </c>
    </row>
    <row r="3167" spans="1:17" x14ac:dyDescent="0.25">
      <c r="A3167" s="22">
        <v>41518</v>
      </c>
      <c r="F3167" s="2"/>
      <c r="G3167" s="33">
        <v>0</v>
      </c>
      <c r="I3167" s="2"/>
      <c r="J3167" s="2"/>
      <c r="K3167" s="1">
        <v>7.7</v>
      </c>
      <c r="Q3167" s="1">
        <v>0</v>
      </c>
    </row>
    <row r="3168" spans="1:17" x14ac:dyDescent="0.25">
      <c r="A3168" s="22">
        <v>41519</v>
      </c>
      <c r="F3168" s="2"/>
      <c r="G3168" s="33">
        <v>0</v>
      </c>
      <c r="I3168" s="2"/>
      <c r="J3168" s="2"/>
      <c r="K3168" s="1">
        <v>1.6</v>
      </c>
      <c r="Q3168" s="1">
        <v>0</v>
      </c>
    </row>
    <row r="3169" spans="1:17" x14ac:dyDescent="0.25">
      <c r="A3169" s="22">
        <v>41520</v>
      </c>
      <c r="F3169" s="2"/>
      <c r="G3169" s="33">
        <v>0</v>
      </c>
      <c r="I3169" s="2"/>
      <c r="J3169" s="2"/>
      <c r="K3169" s="1">
        <v>0</v>
      </c>
      <c r="Q3169" s="1">
        <v>1.6</v>
      </c>
    </row>
    <row r="3170" spans="1:17" x14ac:dyDescent="0.25">
      <c r="A3170" s="22">
        <v>41521</v>
      </c>
      <c r="F3170" s="2"/>
      <c r="G3170" s="33">
        <v>0</v>
      </c>
      <c r="I3170" s="2"/>
      <c r="J3170" s="1"/>
      <c r="K3170" s="1">
        <v>0</v>
      </c>
      <c r="Q3170" s="1">
        <v>0</v>
      </c>
    </row>
    <row r="3171" spans="1:17" x14ac:dyDescent="0.25">
      <c r="A3171" s="22">
        <v>41522</v>
      </c>
      <c r="F3171" s="2"/>
      <c r="G3171" s="33">
        <v>27</v>
      </c>
      <c r="I3171" s="2"/>
      <c r="J3171" s="2"/>
      <c r="K3171" s="1">
        <v>0</v>
      </c>
      <c r="Q3171" s="1">
        <v>1</v>
      </c>
    </row>
    <row r="3172" spans="1:17" x14ac:dyDescent="0.25">
      <c r="A3172" s="22">
        <v>41523</v>
      </c>
      <c r="F3172" s="2"/>
      <c r="G3172" s="33">
        <v>1.1000000000000001</v>
      </c>
      <c r="I3172" s="2"/>
      <c r="J3172" s="2"/>
      <c r="K3172" s="1">
        <v>37.200000000000003</v>
      </c>
      <c r="Q3172" s="1">
        <v>11.3</v>
      </c>
    </row>
    <row r="3173" spans="1:17" x14ac:dyDescent="0.25">
      <c r="A3173" s="22">
        <v>41524</v>
      </c>
      <c r="F3173" s="2"/>
      <c r="G3173" s="33">
        <v>7.5</v>
      </c>
      <c r="I3173" s="1"/>
      <c r="J3173" s="2"/>
      <c r="K3173" s="1">
        <v>0</v>
      </c>
      <c r="Q3173" s="1">
        <v>0.4</v>
      </c>
    </row>
    <row r="3174" spans="1:17" x14ac:dyDescent="0.25">
      <c r="A3174" s="22">
        <v>41525</v>
      </c>
      <c r="F3174" s="2"/>
      <c r="G3174" s="33">
        <v>0.3</v>
      </c>
      <c r="I3174" s="2"/>
      <c r="J3174" s="2"/>
      <c r="K3174" s="1">
        <v>1.9</v>
      </c>
      <c r="Q3174" s="1">
        <v>0</v>
      </c>
    </row>
    <row r="3175" spans="1:17" x14ac:dyDescent="0.25">
      <c r="A3175" s="22">
        <v>41526</v>
      </c>
      <c r="F3175" s="2"/>
      <c r="G3175" s="33">
        <v>2.2999999999999998</v>
      </c>
      <c r="I3175" s="2"/>
      <c r="J3175" s="2"/>
      <c r="K3175" s="1">
        <v>5.3</v>
      </c>
      <c r="Q3175" s="1">
        <v>16.3</v>
      </c>
    </row>
    <row r="3176" spans="1:17" x14ac:dyDescent="0.25">
      <c r="A3176" s="22">
        <v>41527</v>
      </c>
      <c r="F3176" s="2"/>
      <c r="G3176" s="33">
        <v>5.5</v>
      </c>
      <c r="I3176" s="2"/>
      <c r="J3176" s="2"/>
      <c r="K3176" s="1">
        <v>0</v>
      </c>
      <c r="Q3176" s="1">
        <v>2.4</v>
      </c>
    </row>
    <row r="3177" spans="1:17" x14ac:dyDescent="0.25">
      <c r="A3177" s="22">
        <v>41528</v>
      </c>
      <c r="F3177" s="2"/>
      <c r="G3177" s="33">
        <v>55.6</v>
      </c>
      <c r="I3177" s="2"/>
      <c r="J3177" s="2"/>
      <c r="K3177" s="1">
        <v>0</v>
      </c>
      <c r="Q3177" s="1">
        <v>22.4</v>
      </c>
    </row>
    <row r="3178" spans="1:17" x14ac:dyDescent="0.25">
      <c r="A3178" s="22">
        <v>41529</v>
      </c>
      <c r="F3178" s="2"/>
      <c r="G3178" s="33">
        <v>32</v>
      </c>
      <c r="I3178" s="2"/>
      <c r="J3178" s="1"/>
      <c r="K3178" s="1">
        <v>0</v>
      </c>
      <c r="Q3178" s="1">
        <v>2.8</v>
      </c>
    </row>
    <row r="3179" spans="1:17" x14ac:dyDescent="0.25">
      <c r="A3179" s="22">
        <v>41530</v>
      </c>
      <c r="F3179" s="2"/>
      <c r="G3179" s="33">
        <v>17.899999999999999</v>
      </c>
      <c r="I3179" s="2"/>
      <c r="J3179" s="2"/>
      <c r="K3179" s="1">
        <v>0</v>
      </c>
      <c r="Q3179" s="1">
        <v>16.600000000000001</v>
      </c>
    </row>
    <row r="3180" spans="1:17" x14ac:dyDescent="0.25">
      <c r="A3180" s="22">
        <v>41531</v>
      </c>
      <c r="F3180" s="2"/>
      <c r="G3180" s="33">
        <v>0</v>
      </c>
      <c r="I3180" s="2"/>
      <c r="J3180" s="2"/>
      <c r="K3180" s="1">
        <v>4.5</v>
      </c>
      <c r="Q3180" s="1">
        <v>3.3</v>
      </c>
    </row>
    <row r="3181" spans="1:17" x14ac:dyDescent="0.25">
      <c r="A3181" s="22">
        <v>41532</v>
      </c>
      <c r="F3181" s="2"/>
      <c r="G3181" s="33">
        <v>19.3</v>
      </c>
      <c r="I3181" s="2"/>
      <c r="J3181" s="2"/>
      <c r="K3181" s="1">
        <v>4.2</v>
      </c>
      <c r="Q3181" s="1">
        <v>23.8</v>
      </c>
    </row>
    <row r="3182" spans="1:17" x14ac:dyDescent="0.25">
      <c r="A3182" s="22">
        <v>41533</v>
      </c>
      <c r="F3182" s="2"/>
      <c r="G3182" s="33">
        <v>10.3</v>
      </c>
      <c r="I3182" s="1"/>
      <c r="J3182" s="1"/>
      <c r="K3182" s="1">
        <v>24.2</v>
      </c>
      <c r="Q3182" s="1">
        <v>0.8</v>
      </c>
    </row>
    <row r="3183" spans="1:17" x14ac:dyDescent="0.25">
      <c r="A3183" s="22">
        <v>41534</v>
      </c>
      <c r="F3183" s="2"/>
      <c r="G3183" s="33">
        <v>1</v>
      </c>
      <c r="I3183" s="2"/>
      <c r="J3183" s="2"/>
      <c r="K3183" s="1">
        <v>4.5</v>
      </c>
      <c r="Q3183" s="1">
        <v>3.5</v>
      </c>
    </row>
    <row r="3184" spans="1:17" x14ac:dyDescent="0.25">
      <c r="A3184" s="22">
        <v>41535</v>
      </c>
      <c r="F3184" s="2"/>
      <c r="G3184" s="33">
        <v>2.7</v>
      </c>
      <c r="I3184" s="2"/>
      <c r="J3184" s="2"/>
      <c r="K3184" s="1">
        <v>1</v>
      </c>
      <c r="Q3184" s="1">
        <v>4.2</v>
      </c>
    </row>
    <row r="3185" spans="1:17" x14ac:dyDescent="0.25">
      <c r="A3185" s="22">
        <v>41536</v>
      </c>
      <c r="F3185" s="2"/>
      <c r="G3185" s="33">
        <v>0</v>
      </c>
      <c r="I3185" s="2"/>
      <c r="J3185" s="1"/>
      <c r="K3185" s="1">
        <v>1.9</v>
      </c>
      <c r="Q3185" s="1">
        <v>0</v>
      </c>
    </row>
    <row r="3186" spans="1:17" x14ac:dyDescent="0.25">
      <c r="A3186" s="22">
        <v>41537</v>
      </c>
      <c r="F3186" s="2"/>
      <c r="G3186" s="33">
        <v>0</v>
      </c>
      <c r="I3186" s="2"/>
      <c r="J3186" s="1"/>
      <c r="K3186" s="1">
        <v>0</v>
      </c>
      <c r="Q3186" s="1">
        <v>0</v>
      </c>
    </row>
    <row r="3187" spans="1:17" x14ac:dyDescent="0.25">
      <c r="A3187" s="22">
        <v>41538</v>
      </c>
      <c r="F3187" s="2"/>
      <c r="G3187" s="33">
        <v>2.4</v>
      </c>
      <c r="I3187" s="2"/>
      <c r="J3187" s="2"/>
      <c r="K3187" s="1">
        <v>0</v>
      </c>
      <c r="Q3187" s="1">
        <v>0</v>
      </c>
    </row>
    <row r="3188" spans="1:17" x14ac:dyDescent="0.25">
      <c r="A3188" s="22">
        <v>41539</v>
      </c>
      <c r="F3188" s="2"/>
      <c r="G3188" s="33">
        <v>0</v>
      </c>
      <c r="I3188" s="2"/>
      <c r="J3188" s="2"/>
      <c r="K3188" s="1">
        <v>0</v>
      </c>
      <c r="Q3188" s="1">
        <v>0</v>
      </c>
    </row>
    <row r="3189" spans="1:17" x14ac:dyDescent="0.25">
      <c r="A3189" s="22">
        <v>41540</v>
      </c>
      <c r="F3189" s="2"/>
      <c r="G3189" s="33">
        <v>5.3</v>
      </c>
      <c r="I3189" s="1"/>
      <c r="J3189" s="1"/>
      <c r="K3189" s="1">
        <v>0</v>
      </c>
      <c r="Q3189" s="1">
        <v>6.9</v>
      </c>
    </row>
    <row r="3190" spans="1:17" x14ac:dyDescent="0.25">
      <c r="A3190" s="22">
        <v>41541</v>
      </c>
      <c r="F3190" s="2"/>
      <c r="G3190" s="33">
        <v>10.1</v>
      </c>
      <c r="I3190" s="2"/>
      <c r="J3190" s="1"/>
      <c r="K3190" s="1">
        <v>1.6</v>
      </c>
      <c r="Q3190" s="1">
        <v>22.9</v>
      </c>
    </row>
    <row r="3191" spans="1:17" x14ac:dyDescent="0.25">
      <c r="A3191" s="22">
        <v>41542</v>
      </c>
      <c r="F3191" s="2"/>
      <c r="G3191" s="33">
        <v>1.1000000000000001</v>
      </c>
      <c r="I3191" s="1"/>
      <c r="J3191" s="1"/>
      <c r="K3191" s="1">
        <v>1.5</v>
      </c>
      <c r="Q3191" s="1">
        <v>4.8</v>
      </c>
    </row>
    <row r="3192" spans="1:17" x14ac:dyDescent="0.25">
      <c r="A3192" s="22">
        <v>41543</v>
      </c>
      <c r="F3192" s="2"/>
      <c r="G3192" s="33">
        <v>0</v>
      </c>
      <c r="I3192" s="1"/>
      <c r="J3192" s="1"/>
      <c r="K3192" s="1">
        <v>5.6</v>
      </c>
      <c r="Q3192" s="1">
        <v>0</v>
      </c>
    </row>
    <row r="3193" spans="1:17" x14ac:dyDescent="0.25">
      <c r="A3193" s="22">
        <v>41544</v>
      </c>
      <c r="F3193" s="2"/>
      <c r="G3193" s="33">
        <v>0</v>
      </c>
      <c r="I3193" s="1"/>
      <c r="J3193" s="1"/>
      <c r="K3193" s="1">
        <v>0</v>
      </c>
      <c r="Q3193" s="1">
        <v>0.2</v>
      </c>
    </row>
    <row r="3194" spans="1:17" x14ac:dyDescent="0.25">
      <c r="A3194" s="22">
        <v>41545</v>
      </c>
      <c r="F3194" s="2"/>
      <c r="G3194" s="33">
        <v>5.8</v>
      </c>
      <c r="I3194" s="2"/>
      <c r="J3194" s="2"/>
      <c r="K3194" s="1">
        <v>4.9000000000000004</v>
      </c>
      <c r="Q3194" s="1">
        <v>1.4</v>
      </c>
    </row>
    <row r="3195" spans="1:17" x14ac:dyDescent="0.25">
      <c r="A3195" s="22">
        <v>41546</v>
      </c>
      <c r="F3195" s="2"/>
      <c r="G3195" s="33">
        <v>0</v>
      </c>
      <c r="I3195" s="2"/>
      <c r="J3195" s="2"/>
      <c r="K3195" s="1">
        <v>0</v>
      </c>
      <c r="Q3195" s="1">
        <v>0.4</v>
      </c>
    </row>
    <row r="3196" spans="1:17" x14ac:dyDescent="0.25">
      <c r="A3196" s="22">
        <v>41547</v>
      </c>
      <c r="F3196" s="2"/>
      <c r="G3196" s="33">
        <v>0</v>
      </c>
      <c r="I3196" s="2"/>
      <c r="J3196" s="2"/>
      <c r="K3196" s="1">
        <v>0</v>
      </c>
      <c r="Q3196" s="1">
        <v>0</v>
      </c>
    </row>
    <row r="3197" spans="1:17" x14ac:dyDescent="0.25">
      <c r="A3197" s="22">
        <v>41548</v>
      </c>
      <c r="F3197" s="2"/>
      <c r="G3197" s="33">
        <v>12.6</v>
      </c>
      <c r="I3197" s="2"/>
      <c r="J3197" s="2"/>
      <c r="K3197" s="1">
        <v>0</v>
      </c>
      <c r="Q3197" s="1">
        <v>46.2</v>
      </c>
    </row>
    <row r="3198" spans="1:17" x14ac:dyDescent="0.25">
      <c r="A3198" s="22">
        <v>41549</v>
      </c>
      <c r="F3198" s="2"/>
      <c r="G3198" s="33">
        <v>1.6</v>
      </c>
      <c r="I3198" s="2"/>
      <c r="J3198" s="2"/>
      <c r="K3198" s="1">
        <v>45.2</v>
      </c>
      <c r="Q3198" s="1">
        <v>17.3</v>
      </c>
    </row>
    <row r="3199" spans="1:17" x14ac:dyDescent="0.25">
      <c r="A3199" s="22">
        <v>41550</v>
      </c>
      <c r="F3199" s="2"/>
      <c r="G3199" s="33">
        <v>1</v>
      </c>
      <c r="I3199" s="2"/>
      <c r="J3199" s="2"/>
      <c r="K3199" s="1">
        <v>7.5</v>
      </c>
      <c r="Q3199" s="1">
        <v>0.9</v>
      </c>
    </row>
    <row r="3200" spans="1:17" x14ac:dyDescent="0.25">
      <c r="A3200" s="22">
        <v>41551</v>
      </c>
      <c r="F3200" s="2"/>
      <c r="G3200" s="33">
        <v>5.4</v>
      </c>
      <c r="I3200" s="2"/>
      <c r="J3200" s="1"/>
      <c r="K3200" s="1">
        <v>2</v>
      </c>
      <c r="Q3200" s="1">
        <v>0.3</v>
      </c>
    </row>
    <row r="3201" spans="1:17" x14ac:dyDescent="0.25">
      <c r="A3201" s="22">
        <v>41552</v>
      </c>
      <c r="F3201" s="2"/>
      <c r="G3201" s="33">
        <v>22.3</v>
      </c>
      <c r="I3201" s="2"/>
      <c r="J3201" s="2"/>
      <c r="K3201" s="1">
        <v>0</v>
      </c>
      <c r="Q3201" s="1">
        <v>0</v>
      </c>
    </row>
    <row r="3202" spans="1:17" x14ac:dyDescent="0.25">
      <c r="A3202" s="22">
        <v>41553</v>
      </c>
      <c r="F3202" s="2"/>
      <c r="G3202" s="33">
        <v>0</v>
      </c>
      <c r="I3202" s="2"/>
      <c r="J3202" s="2"/>
      <c r="K3202" s="1">
        <v>13.3</v>
      </c>
      <c r="Q3202" s="1">
        <v>0</v>
      </c>
    </row>
    <row r="3203" spans="1:17" x14ac:dyDescent="0.25">
      <c r="A3203" s="22">
        <v>41554</v>
      </c>
      <c r="F3203" s="2"/>
      <c r="G3203" s="33">
        <v>2.7</v>
      </c>
      <c r="I3203" s="1"/>
      <c r="J3203" s="2"/>
      <c r="K3203" s="1">
        <v>0</v>
      </c>
      <c r="Q3203" s="1">
        <v>7.8</v>
      </c>
    </row>
    <row r="3204" spans="1:17" x14ac:dyDescent="0.25">
      <c r="A3204" s="22">
        <v>41555</v>
      </c>
      <c r="F3204" s="2"/>
      <c r="G3204" s="33">
        <v>1.8</v>
      </c>
      <c r="I3204" s="2"/>
      <c r="J3204" s="2"/>
      <c r="K3204" s="1">
        <v>7.6</v>
      </c>
      <c r="Q3204" s="1">
        <v>13.3</v>
      </c>
    </row>
    <row r="3205" spans="1:17" x14ac:dyDescent="0.25">
      <c r="A3205" s="22">
        <v>41556</v>
      </c>
      <c r="F3205" s="2"/>
      <c r="G3205" s="33">
        <v>4.5</v>
      </c>
      <c r="I3205" s="2"/>
      <c r="J3205" s="2"/>
      <c r="K3205" s="1">
        <v>3.5</v>
      </c>
      <c r="Q3205" s="1">
        <v>4.4000000000000004</v>
      </c>
    </row>
    <row r="3206" spans="1:17" x14ac:dyDescent="0.25">
      <c r="A3206" s="22">
        <v>41557</v>
      </c>
      <c r="F3206" s="2"/>
      <c r="G3206" s="33">
        <v>17.5</v>
      </c>
      <c r="I3206" s="2"/>
      <c r="J3206" s="2"/>
      <c r="K3206" s="1">
        <v>2.7</v>
      </c>
      <c r="Q3206" s="1">
        <v>7.7</v>
      </c>
    </row>
    <row r="3207" spans="1:17" x14ac:dyDescent="0.25">
      <c r="A3207" s="22">
        <v>41558</v>
      </c>
      <c r="F3207" s="2"/>
      <c r="G3207" s="33">
        <v>39.200000000000003</v>
      </c>
      <c r="I3207" s="2"/>
      <c r="J3207" s="2"/>
      <c r="K3207" s="1">
        <v>9.5</v>
      </c>
      <c r="Q3207" s="1">
        <v>12.9</v>
      </c>
    </row>
    <row r="3208" spans="1:17" x14ac:dyDescent="0.25">
      <c r="A3208" s="22">
        <v>41559</v>
      </c>
      <c r="F3208" s="2"/>
      <c r="G3208" s="33">
        <v>7.8</v>
      </c>
      <c r="I3208" s="2"/>
      <c r="J3208" s="1"/>
      <c r="K3208" s="1">
        <v>5.8</v>
      </c>
      <c r="Q3208" s="1">
        <v>1.2</v>
      </c>
    </row>
    <row r="3209" spans="1:17" x14ac:dyDescent="0.25">
      <c r="A3209" s="22">
        <v>41560</v>
      </c>
      <c r="F3209" s="2"/>
      <c r="G3209" s="33">
        <v>10</v>
      </c>
      <c r="I3209" s="2"/>
      <c r="J3209" s="2"/>
      <c r="K3209" s="1">
        <v>0</v>
      </c>
      <c r="Q3209" s="1">
        <v>0.6</v>
      </c>
    </row>
    <row r="3210" spans="1:17" x14ac:dyDescent="0.25">
      <c r="A3210" s="22">
        <v>41561</v>
      </c>
      <c r="F3210" s="2"/>
      <c r="G3210" s="33">
        <v>13.6</v>
      </c>
      <c r="I3210" s="2"/>
      <c r="J3210" s="2"/>
      <c r="K3210" s="1">
        <v>0</v>
      </c>
      <c r="Q3210" s="1">
        <v>6.2</v>
      </c>
    </row>
    <row r="3211" spans="1:17" x14ac:dyDescent="0.25">
      <c r="A3211" s="22">
        <v>41562</v>
      </c>
      <c r="F3211" s="2"/>
      <c r="G3211" s="33">
        <v>0.6</v>
      </c>
      <c r="I3211" s="2"/>
      <c r="J3211" s="2"/>
      <c r="K3211" s="1">
        <v>25.8</v>
      </c>
      <c r="Q3211" s="1">
        <v>0</v>
      </c>
    </row>
    <row r="3212" spans="1:17" x14ac:dyDescent="0.25">
      <c r="A3212" s="22">
        <v>41563</v>
      </c>
      <c r="F3212" s="2"/>
      <c r="G3212" s="33">
        <v>0</v>
      </c>
      <c r="I3212" s="1"/>
      <c r="J3212" s="1"/>
      <c r="K3212" s="1">
        <v>0</v>
      </c>
      <c r="Q3212" s="1">
        <v>0</v>
      </c>
    </row>
    <row r="3213" spans="1:17" x14ac:dyDescent="0.25">
      <c r="A3213" s="22">
        <v>41564</v>
      </c>
      <c r="F3213" s="2"/>
      <c r="G3213" s="33">
        <v>18.100000000000001</v>
      </c>
      <c r="I3213" s="2"/>
      <c r="J3213" s="2"/>
      <c r="K3213" s="1">
        <v>0</v>
      </c>
      <c r="Q3213" s="1">
        <v>0</v>
      </c>
    </row>
    <row r="3214" spans="1:17" x14ac:dyDescent="0.25">
      <c r="A3214" s="22">
        <v>41565</v>
      </c>
      <c r="F3214" s="2"/>
      <c r="G3214" s="33">
        <v>13</v>
      </c>
      <c r="I3214" s="2"/>
      <c r="J3214" s="2"/>
      <c r="K3214" s="1">
        <v>17.2</v>
      </c>
      <c r="Q3214" s="1">
        <v>6.1</v>
      </c>
    </row>
    <row r="3215" spans="1:17" x14ac:dyDescent="0.25">
      <c r="A3215" s="22">
        <v>41566</v>
      </c>
      <c r="F3215" s="2"/>
      <c r="G3215" s="33">
        <v>4.8</v>
      </c>
      <c r="I3215" s="2"/>
      <c r="J3215" s="1"/>
      <c r="K3215" s="1">
        <v>0</v>
      </c>
      <c r="Q3215" s="1">
        <v>2.9</v>
      </c>
    </row>
    <row r="3216" spans="1:17" x14ac:dyDescent="0.25">
      <c r="A3216" s="22">
        <v>41567</v>
      </c>
      <c r="F3216" s="2"/>
      <c r="G3216" s="33">
        <v>11.2</v>
      </c>
      <c r="I3216" s="2"/>
      <c r="J3216" s="1"/>
      <c r="K3216" s="1">
        <v>0</v>
      </c>
      <c r="Q3216" s="1">
        <v>12</v>
      </c>
    </row>
    <row r="3217" spans="1:17" x14ac:dyDescent="0.25">
      <c r="A3217" s="22">
        <v>41568</v>
      </c>
      <c r="F3217" s="2"/>
      <c r="G3217" s="33">
        <v>45.5</v>
      </c>
      <c r="I3217" s="2"/>
      <c r="J3217" s="2"/>
      <c r="K3217" s="1">
        <v>31.3</v>
      </c>
      <c r="Q3217" s="1">
        <v>24.7</v>
      </c>
    </row>
    <row r="3218" spans="1:17" x14ac:dyDescent="0.25">
      <c r="A3218" s="22">
        <v>41569</v>
      </c>
      <c r="F3218" s="2"/>
      <c r="G3218" s="33">
        <v>0.5</v>
      </c>
      <c r="I3218" s="2"/>
      <c r="J3218" s="2"/>
      <c r="K3218" s="1">
        <v>54.7</v>
      </c>
      <c r="Q3218" s="1">
        <v>0.7</v>
      </c>
    </row>
    <row r="3219" spans="1:17" x14ac:dyDescent="0.25">
      <c r="A3219" s="22">
        <v>41570</v>
      </c>
      <c r="F3219" s="2"/>
      <c r="G3219" s="33">
        <v>1</v>
      </c>
      <c r="I3219" s="1"/>
      <c r="J3219" s="1"/>
      <c r="K3219" s="1">
        <v>8.1</v>
      </c>
      <c r="Q3219" s="1">
        <v>0.1</v>
      </c>
    </row>
    <row r="3220" spans="1:17" x14ac:dyDescent="0.25">
      <c r="A3220" s="22">
        <v>41571</v>
      </c>
      <c r="F3220" s="2"/>
      <c r="G3220" s="33">
        <v>8.6999999999999993</v>
      </c>
      <c r="I3220" s="2"/>
      <c r="J3220" s="1"/>
      <c r="K3220" s="1">
        <v>4.5999999999999996</v>
      </c>
      <c r="Q3220" s="1">
        <v>4.4000000000000004</v>
      </c>
    </row>
    <row r="3221" spans="1:17" x14ac:dyDescent="0.25">
      <c r="A3221" s="22">
        <v>41572</v>
      </c>
      <c r="F3221" s="2"/>
      <c r="G3221" s="33">
        <v>50.8</v>
      </c>
      <c r="I3221" s="1"/>
      <c r="J3221" s="1"/>
      <c r="K3221" s="1">
        <v>0</v>
      </c>
      <c r="Q3221" s="1">
        <v>48.8</v>
      </c>
    </row>
    <row r="3222" spans="1:17" x14ac:dyDescent="0.25">
      <c r="A3222" s="22">
        <v>41573</v>
      </c>
      <c r="F3222" s="2"/>
      <c r="G3222" s="33">
        <v>0.5</v>
      </c>
      <c r="I3222" s="1"/>
      <c r="J3222" s="1"/>
      <c r="K3222" s="1">
        <v>0</v>
      </c>
      <c r="Q3222" s="1">
        <v>2.9</v>
      </c>
    </row>
    <row r="3223" spans="1:17" x14ac:dyDescent="0.25">
      <c r="A3223" s="22">
        <v>41574</v>
      </c>
      <c r="F3223" s="2"/>
      <c r="G3223" s="33">
        <v>4.5</v>
      </c>
      <c r="I3223" s="1"/>
      <c r="J3223" s="1"/>
      <c r="K3223" s="1">
        <v>0</v>
      </c>
      <c r="Q3223" s="1">
        <v>0</v>
      </c>
    </row>
    <row r="3224" spans="1:17" x14ac:dyDescent="0.25">
      <c r="A3224" s="22">
        <v>41575</v>
      </c>
      <c r="F3224" s="2"/>
      <c r="G3224" s="33">
        <v>10.4</v>
      </c>
      <c r="I3224" s="2"/>
      <c r="J3224" s="2"/>
      <c r="K3224" s="1">
        <v>70.2</v>
      </c>
      <c r="Q3224" s="1">
        <v>10</v>
      </c>
    </row>
    <row r="3225" spans="1:17" x14ac:dyDescent="0.25">
      <c r="A3225" s="22">
        <v>41576</v>
      </c>
      <c r="F3225" s="2"/>
      <c r="G3225" s="33">
        <v>24.5</v>
      </c>
      <c r="I3225" s="2"/>
      <c r="J3225" s="2"/>
      <c r="K3225" s="1">
        <v>15.4</v>
      </c>
      <c r="Q3225" s="1">
        <v>6.4</v>
      </c>
    </row>
    <row r="3226" spans="1:17" x14ac:dyDescent="0.25">
      <c r="A3226" s="22">
        <v>41577</v>
      </c>
      <c r="F3226" s="2"/>
      <c r="G3226" s="33">
        <v>36.700000000000003</v>
      </c>
      <c r="I3226" s="2"/>
      <c r="J3226" s="2"/>
      <c r="K3226" s="1">
        <v>0</v>
      </c>
      <c r="Q3226" s="1">
        <v>20.2</v>
      </c>
    </row>
    <row r="3227" spans="1:17" x14ac:dyDescent="0.25">
      <c r="A3227" s="22">
        <v>41578</v>
      </c>
      <c r="F3227" s="2"/>
      <c r="G3227" s="33">
        <v>53.1</v>
      </c>
      <c r="I3227" s="2"/>
      <c r="J3227" s="2"/>
      <c r="K3227" s="1">
        <v>21.5</v>
      </c>
      <c r="Q3227" s="1">
        <v>23.1</v>
      </c>
    </row>
    <row r="3228" spans="1:17" x14ac:dyDescent="0.25">
      <c r="A3228" s="22">
        <v>41579</v>
      </c>
      <c r="F3228" s="2"/>
      <c r="G3228" s="1"/>
      <c r="I3228" s="2"/>
      <c r="J3228" s="2"/>
      <c r="K3228" s="1">
        <v>13.2</v>
      </c>
      <c r="Q3228" s="1">
        <v>23.2</v>
      </c>
    </row>
    <row r="3229" spans="1:17" x14ac:dyDescent="0.25">
      <c r="A3229" s="22">
        <v>41580</v>
      </c>
      <c r="F3229" s="2"/>
      <c r="G3229" s="1"/>
      <c r="I3229" s="2"/>
      <c r="J3229" s="2"/>
      <c r="K3229" s="1">
        <v>11</v>
      </c>
      <c r="Q3229" s="1">
        <v>0.6</v>
      </c>
    </row>
    <row r="3230" spans="1:17" x14ac:dyDescent="0.25">
      <c r="A3230" s="22">
        <v>41581</v>
      </c>
      <c r="F3230" s="2"/>
      <c r="G3230" s="1"/>
      <c r="I3230" s="2"/>
      <c r="J3230" s="2"/>
      <c r="K3230" s="1">
        <v>9.1999999999999993</v>
      </c>
      <c r="Q3230" s="1">
        <v>19.399999999999999</v>
      </c>
    </row>
    <row r="3231" spans="1:17" x14ac:dyDescent="0.25">
      <c r="A3231" s="22">
        <v>41582</v>
      </c>
      <c r="F3231" s="2"/>
      <c r="G3231" s="1"/>
      <c r="I3231" s="2"/>
      <c r="J3231" s="1"/>
      <c r="K3231" s="1">
        <v>0</v>
      </c>
      <c r="Q3231" s="1">
        <v>1.3</v>
      </c>
    </row>
    <row r="3232" spans="1:17" x14ac:dyDescent="0.25">
      <c r="A3232" s="22">
        <v>41583</v>
      </c>
      <c r="F3232" s="2"/>
      <c r="G3232" s="2"/>
      <c r="I3232" s="2"/>
      <c r="J3232" s="2"/>
      <c r="K3232" s="1">
        <v>0</v>
      </c>
      <c r="Q3232" s="1">
        <v>4.0999999999999996</v>
      </c>
    </row>
    <row r="3233" spans="1:17" x14ac:dyDescent="0.25">
      <c r="A3233" s="22">
        <v>41584</v>
      </c>
      <c r="F3233" s="2"/>
      <c r="G3233" s="1"/>
      <c r="I3233" s="2"/>
      <c r="J3233" s="2"/>
      <c r="K3233" s="1">
        <v>8.5</v>
      </c>
      <c r="Q3233" s="1">
        <v>1.4</v>
      </c>
    </row>
    <row r="3234" spans="1:17" x14ac:dyDescent="0.25">
      <c r="A3234" s="22">
        <v>41585</v>
      </c>
      <c r="F3234" s="2"/>
      <c r="G3234" s="1"/>
      <c r="I3234" s="1"/>
      <c r="J3234" s="2"/>
      <c r="K3234" s="1">
        <v>6.5</v>
      </c>
      <c r="Q3234" s="1">
        <v>21.3</v>
      </c>
    </row>
    <row r="3235" spans="1:17" x14ac:dyDescent="0.25">
      <c r="A3235" s="22">
        <v>41586</v>
      </c>
      <c r="F3235" s="2"/>
      <c r="G3235" s="2"/>
      <c r="I3235" s="2"/>
      <c r="J3235" s="2"/>
      <c r="K3235" s="1">
        <v>0</v>
      </c>
      <c r="Q3235" s="1">
        <v>1.5</v>
      </c>
    </row>
    <row r="3236" spans="1:17" x14ac:dyDescent="0.25">
      <c r="A3236" s="22">
        <v>41587</v>
      </c>
      <c r="F3236" s="2"/>
      <c r="G3236" s="1"/>
      <c r="I3236" s="2"/>
      <c r="J3236" s="2"/>
      <c r="K3236" s="1">
        <v>0</v>
      </c>
      <c r="Q3236" s="1">
        <v>9.6999999999999993</v>
      </c>
    </row>
    <row r="3237" spans="1:17" x14ac:dyDescent="0.25">
      <c r="A3237" s="22">
        <v>41588</v>
      </c>
      <c r="F3237" s="2"/>
      <c r="G3237" s="1"/>
      <c r="I3237" s="2"/>
      <c r="J3237" s="2"/>
      <c r="K3237" s="1">
        <v>57.3</v>
      </c>
      <c r="Q3237" s="1">
        <v>8.5</v>
      </c>
    </row>
    <row r="3238" spans="1:17" x14ac:dyDescent="0.25">
      <c r="A3238" s="22">
        <v>41589</v>
      </c>
      <c r="F3238" s="2"/>
      <c r="G3238" s="1"/>
      <c r="I3238" s="2"/>
      <c r="J3238" s="2"/>
      <c r="K3238" s="1">
        <v>15.5</v>
      </c>
      <c r="Q3238" s="1">
        <v>6.6</v>
      </c>
    </row>
    <row r="3239" spans="1:17" x14ac:dyDescent="0.25">
      <c r="A3239" s="22">
        <v>41590</v>
      </c>
      <c r="F3239" s="2"/>
      <c r="G3239" s="1"/>
      <c r="I3239" s="2"/>
      <c r="J3239" s="1"/>
      <c r="K3239" s="1">
        <v>15</v>
      </c>
      <c r="Q3239" s="1">
        <v>0.8</v>
      </c>
    </row>
    <row r="3240" spans="1:17" x14ac:dyDescent="0.25">
      <c r="A3240" s="22">
        <v>41591</v>
      </c>
      <c r="F3240" s="2"/>
      <c r="G3240" s="2"/>
      <c r="I3240" s="2"/>
      <c r="J3240" s="2"/>
      <c r="K3240" s="1">
        <v>2.2000000000000002</v>
      </c>
      <c r="Q3240" s="1">
        <v>0</v>
      </c>
    </row>
    <row r="3241" spans="1:17" x14ac:dyDescent="0.25">
      <c r="A3241" s="22">
        <v>41592</v>
      </c>
      <c r="F3241" s="2"/>
      <c r="G3241" s="2"/>
      <c r="I3241" s="2"/>
      <c r="J3241" s="2"/>
      <c r="K3241" s="1">
        <v>38.1</v>
      </c>
      <c r="Q3241" s="1">
        <v>43.5</v>
      </c>
    </row>
    <row r="3242" spans="1:17" x14ac:dyDescent="0.25">
      <c r="A3242" s="22">
        <v>41593</v>
      </c>
      <c r="F3242" s="2"/>
      <c r="G3242" s="2"/>
      <c r="I3242" s="2"/>
      <c r="J3242" s="2"/>
      <c r="K3242" s="1">
        <v>0</v>
      </c>
      <c r="Q3242" s="1">
        <v>0</v>
      </c>
    </row>
    <row r="3243" spans="1:17" x14ac:dyDescent="0.25">
      <c r="A3243" s="22">
        <v>41594</v>
      </c>
      <c r="F3243" s="2"/>
      <c r="G3243" s="2"/>
      <c r="I3243" s="1"/>
      <c r="J3243" s="1"/>
      <c r="K3243" s="1">
        <v>1.8</v>
      </c>
      <c r="Q3243" s="1">
        <v>0</v>
      </c>
    </row>
    <row r="3244" spans="1:17" x14ac:dyDescent="0.25">
      <c r="A3244" s="22">
        <v>41595</v>
      </c>
      <c r="F3244" s="2"/>
      <c r="G3244" s="1"/>
      <c r="I3244" s="2"/>
      <c r="J3244" s="2"/>
      <c r="K3244" s="1">
        <v>0</v>
      </c>
      <c r="Q3244" s="1">
        <v>0.4</v>
      </c>
    </row>
    <row r="3245" spans="1:17" x14ac:dyDescent="0.25">
      <c r="A3245" s="22">
        <v>41596</v>
      </c>
      <c r="F3245" s="2"/>
      <c r="G3245" s="1"/>
      <c r="I3245" s="2"/>
      <c r="J3245" s="2"/>
      <c r="K3245" s="1">
        <v>6.9</v>
      </c>
      <c r="Q3245" s="1">
        <v>0.9</v>
      </c>
    </row>
    <row r="3246" spans="1:17" x14ac:dyDescent="0.25">
      <c r="A3246" s="22">
        <v>41597</v>
      </c>
      <c r="F3246" s="2"/>
      <c r="G3246" s="2"/>
      <c r="I3246" s="2"/>
      <c r="J3246" s="1"/>
      <c r="K3246" s="1">
        <v>0</v>
      </c>
      <c r="Q3246" s="1">
        <v>1.7</v>
      </c>
    </row>
    <row r="3247" spans="1:17" x14ac:dyDescent="0.25">
      <c r="A3247" s="22">
        <v>41598</v>
      </c>
      <c r="F3247" s="2"/>
      <c r="G3247" s="2"/>
      <c r="I3247" s="2"/>
      <c r="J3247" s="1"/>
      <c r="K3247" s="1">
        <v>0</v>
      </c>
      <c r="Q3247" s="1">
        <v>1.2</v>
      </c>
    </row>
    <row r="3248" spans="1:17" x14ac:dyDescent="0.25">
      <c r="A3248" s="22">
        <v>41599</v>
      </c>
      <c r="F3248" s="2"/>
      <c r="G3248" s="1"/>
      <c r="I3248" s="2"/>
      <c r="J3248" s="2"/>
      <c r="K3248" s="1">
        <v>0</v>
      </c>
      <c r="Q3248" s="1">
        <v>7.2</v>
      </c>
    </row>
    <row r="3249" spans="1:17" x14ac:dyDescent="0.25">
      <c r="A3249" s="22">
        <v>41600</v>
      </c>
      <c r="F3249" s="2"/>
      <c r="G3249" s="1"/>
      <c r="I3249" s="2"/>
      <c r="J3249" s="2"/>
      <c r="K3249" s="1">
        <v>0</v>
      </c>
      <c r="Q3249" s="1">
        <v>0.3</v>
      </c>
    </row>
    <row r="3250" spans="1:17" x14ac:dyDescent="0.25">
      <c r="A3250" s="22">
        <v>41601</v>
      </c>
      <c r="F3250" s="2"/>
      <c r="G3250" s="1"/>
      <c r="I3250" s="1"/>
      <c r="J3250" s="1"/>
      <c r="K3250" s="1">
        <v>0</v>
      </c>
      <c r="Q3250" s="1">
        <v>0.5</v>
      </c>
    </row>
    <row r="3251" spans="1:17" x14ac:dyDescent="0.25">
      <c r="A3251" s="22">
        <v>41602</v>
      </c>
      <c r="F3251" s="2"/>
      <c r="G3251" s="1"/>
      <c r="I3251" s="2"/>
      <c r="J3251" s="1"/>
      <c r="K3251" s="1">
        <v>0</v>
      </c>
      <c r="Q3251" s="1">
        <v>4</v>
      </c>
    </row>
    <row r="3252" spans="1:17" x14ac:dyDescent="0.25">
      <c r="A3252" s="22">
        <v>41603</v>
      </c>
      <c r="F3252" s="2"/>
      <c r="G3252" s="1"/>
      <c r="I3252" s="1"/>
      <c r="J3252" s="1"/>
      <c r="K3252" s="1">
        <v>15.7</v>
      </c>
      <c r="Q3252" s="1">
        <v>37</v>
      </c>
    </row>
    <row r="3253" spans="1:17" x14ac:dyDescent="0.25">
      <c r="A3253" s="22">
        <v>41604</v>
      </c>
      <c r="F3253" s="2"/>
      <c r="G3253" s="1"/>
      <c r="I3253" s="1"/>
      <c r="J3253" s="1"/>
      <c r="K3253" s="1">
        <v>21.3</v>
      </c>
      <c r="Q3253" s="1">
        <v>3.2</v>
      </c>
    </row>
    <row r="3254" spans="1:17" x14ac:dyDescent="0.25">
      <c r="A3254" s="22">
        <v>41605</v>
      </c>
      <c r="F3254" s="2"/>
      <c r="G3254" s="1"/>
      <c r="I3254" s="1"/>
      <c r="J3254" s="1"/>
      <c r="K3254" s="1">
        <v>8.6999999999999993</v>
      </c>
      <c r="Q3254" s="1">
        <v>1.7</v>
      </c>
    </row>
    <row r="3255" spans="1:17" x14ac:dyDescent="0.25">
      <c r="A3255" s="22">
        <v>41606</v>
      </c>
      <c r="F3255" s="2"/>
      <c r="G3255" s="1"/>
      <c r="I3255" s="2"/>
      <c r="J3255" s="2"/>
      <c r="K3255" s="1">
        <v>0</v>
      </c>
      <c r="Q3255" s="1">
        <v>1.2</v>
      </c>
    </row>
    <row r="3256" spans="1:17" x14ac:dyDescent="0.25">
      <c r="A3256" s="22">
        <v>41607</v>
      </c>
      <c r="F3256" s="2"/>
      <c r="G3256" s="1"/>
      <c r="I3256" s="2"/>
      <c r="J3256" s="2"/>
      <c r="K3256" s="1">
        <v>14.5</v>
      </c>
      <c r="Q3256" s="1">
        <v>0</v>
      </c>
    </row>
    <row r="3257" spans="1:17" x14ac:dyDescent="0.25">
      <c r="A3257" s="22">
        <v>41608</v>
      </c>
      <c r="F3257" s="2"/>
      <c r="G3257" s="1"/>
      <c r="I3257" s="2"/>
      <c r="J3257" s="2"/>
      <c r="K3257" s="33">
        <v>0</v>
      </c>
      <c r="Q3257" s="1">
        <v>0.7</v>
      </c>
    </row>
    <row r="3258" spans="1:17" x14ac:dyDescent="0.25">
      <c r="A3258" s="22">
        <v>41609</v>
      </c>
      <c r="F3258" s="2"/>
      <c r="G3258" s="1"/>
      <c r="I3258" s="2"/>
      <c r="J3258" s="2"/>
      <c r="K3258" s="1">
        <v>5</v>
      </c>
      <c r="Q3258" s="1">
        <v>15.7</v>
      </c>
    </row>
    <row r="3259" spans="1:17" x14ac:dyDescent="0.25">
      <c r="A3259" s="22">
        <v>41610</v>
      </c>
      <c r="F3259" s="2"/>
      <c r="G3259" s="1"/>
      <c r="I3259" s="2"/>
      <c r="J3259" s="2"/>
      <c r="K3259" s="1">
        <v>11.5</v>
      </c>
      <c r="Q3259" s="1">
        <v>14.5</v>
      </c>
    </row>
    <row r="3260" spans="1:17" x14ac:dyDescent="0.25">
      <c r="A3260" s="22">
        <v>41611</v>
      </c>
      <c r="F3260" s="2"/>
      <c r="G3260" s="1"/>
      <c r="I3260" s="2"/>
      <c r="J3260" s="2"/>
      <c r="K3260" s="1">
        <v>6</v>
      </c>
      <c r="Q3260" s="1">
        <v>2.8</v>
      </c>
    </row>
    <row r="3261" spans="1:17" x14ac:dyDescent="0.25">
      <c r="A3261" s="22">
        <v>41612</v>
      </c>
      <c r="F3261" s="2"/>
      <c r="G3261" s="1"/>
      <c r="I3261" s="2"/>
      <c r="J3261" s="1"/>
      <c r="K3261" s="1">
        <v>0</v>
      </c>
      <c r="Q3261" s="1">
        <v>1.6</v>
      </c>
    </row>
    <row r="3262" spans="1:17" x14ac:dyDescent="0.25">
      <c r="A3262" s="22">
        <v>41613</v>
      </c>
      <c r="F3262" s="2"/>
      <c r="G3262" s="2"/>
      <c r="I3262" s="2"/>
      <c r="J3262" s="2"/>
      <c r="K3262" s="1">
        <v>0</v>
      </c>
      <c r="Q3262" s="1">
        <v>2.1</v>
      </c>
    </row>
    <row r="3263" spans="1:17" x14ac:dyDescent="0.25">
      <c r="A3263" s="22">
        <v>41614</v>
      </c>
      <c r="F3263" s="2"/>
      <c r="G3263" s="1"/>
      <c r="I3263" s="2"/>
      <c r="J3263" s="2"/>
      <c r="K3263" s="1">
        <v>0.7</v>
      </c>
      <c r="Q3263" s="1">
        <v>2.6</v>
      </c>
    </row>
    <row r="3264" spans="1:17" x14ac:dyDescent="0.25">
      <c r="A3264" s="22">
        <v>41615</v>
      </c>
      <c r="F3264" s="2"/>
      <c r="G3264" s="1"/>
      <c r="I3264" s="1"/>
      <c r="J3264" s="2"/>
      <c r="K3264" s="1">
        <v>0</v>
      </c>
      <c r="Q3264" s="1">
        <v>6.1</v>
      </c>
    </row>
    <row r="3265" spans="1:17" x14ac:dyDescent="0.25">
      <c r="A3265" s="22">
        <v>41616</v>
      </c>
      <c r="F3265" s="2"/>
      <c r="G3265" s="2"/>
      <c r="I3265" s="2"/>
      <c r="J3265" s="2"/>
      <c r="K3265" s="1">
        <v>0</v>
      </c>
      <c r="Q3265" s="1">
        <v>1.5</v>
      </c>
    </row>
    <row r="3266" spans="1:17" x14ac:dyDescent="0.25">
      <c r="A3266" s="22">
        <v>41617</v>
      </c>
      <c r="F3266" s="2"/>
      <c r="G3266" s="1"/>
      <c r="I3266" s="2"/>
      <c r="J3266" s="2"/>
      <c r="K3266" s="1">
        <v>0</v>
      </c>
      <c r="Q3266" s="1">
        <v>20.3</v>
      </c>
    </row>
    <row r="3267" spans="1:17" x14ac:dyDescent="0.25">
      <c r="A3267" s="22">
        <v>41618</v>
      </c>
      <c r="F3267" s="2"/>
      <c r="G3267" s="1"/>
      <c r="I3267" s="2"/>
      <c r="J3267" s="2"/>
      <c r="K3267" s="1">
        <v>0</v>
      </c>
      <c r="Q3267" s="1">
        <v>0.3</v>
      </c>
    </row>
    <row r="3268" spans="1:17" x14ac:dyDescent="0.25">
      <c r="A3268" s="22">
        <v>41619</v>
      </c>
      <c r="F3268" s="2"/>
      <c r="G3268" s="1"/>
      <c r="I3268" s="2"/>
      <c r="J3268" s="2"/>
      <c r="K3268" s="1">
        <v>0</v>
      </c>
      <c r="Q3268" s="1">
        <v>0.5</v>
      </c>
    </row>
    <row r="3269" spans="1:17" x14ac:dyDescent="0.25">
      <c r="A3269" s="22">
        <v>41620</v>
      </c>
      <c r="F3269" s="2"/>
      <c r="G3269" s="1"/>
      <c r="I3269" s="2"/>
      <c r="J3269" s="1"/>
      <c r="K3269" s="1">
        <v>0</v>
      </c>
      <c r="Q3269" s="1">
        <v>4.9000000000000004</v>
      </c>
    </row>
    <row r="3270" spans="1:17" x14ac:dyDescent="0.25">
      <c r="A3270" s="22">
        <v>41621</v>
      </c>
      <c r="F3270" s="2"/>
      <c r="G3270" s="2"/>
      <c r="I3270" s="2"/>
      <c r="J3270" s="2"/>
      <c r="K3270" s="1">
        <v>0</v>
      </c>
      <c r="Q3270" s="1">
        <v>8.9</v>
      </c>
    </row>
    <row r="3271" spans="1:17" x14ac:dyDescent="0.25">
      <c r="A3271" s="22">
        <v>41622</v>
      </c>
      <c r="F3271" s="2"/>
      <c r="G3271" s="2"/>
      <c r="I3271" s="2"/>
      <c r="J3271" s="2"/>
      <c r="K3271" s="1">
        <v>0</v>
      </c>
      <c r="Q3271" s="1">
        <v>23.3</v>
      </c>
    </row>
    <row r="3272" spans="1:17" x14ac:dyDescent="0.25">
      <c r="A3272" s="22">
        <v>41623</v>
      </c>
      <c r="F3272" s="2"/>
      <c r="G3272" s="2"/>
      <c r="I3272" s="2"/>
      <c r="J3272" s="2"/>
      <c r="K3272" s="1">
        <v>0</v>
      </c>
      <c r="Q3272" s="1">
        <v>0.1</v>
      </c>
    </row>
    <row r="3273" spans="1:17" x14ac:dyDescent="0.25">
      <c r="A3273" s="22">
        <v>41624</v>
      </c>
      <c r="F3273" s="2"/>
      <c r="G3273" s="2"/>
      <c r="I3273" s="1"/>
      <c r="J3273" s="1"/>
      <c r="K3273" s="1">
        <v>0</v>
      </c>
      <c r="Q3273" s="1">
        <v>0.6</v>
      </c>
    </row>
    <row r="3274" spans="1:17" x14ac:dyDescent="0.25">
      <c r="A3274" s="22">
        <v>41625</v>
      </c>
      <c r="F3274" s="2"/>
      <c r="G3274" s="1"/>
      <c r="I3274" s="2"/>
      <c r="J3274" s="2"/>
      <c r="K3274" s="1">
        <v>0</v>
      </c>
      <c r="Q3274" s="1">
        <v>12.4</v>
      </c>
    </row>
    <row r="3275" spans="1:17" x14ac:dyDescent="0.25">
      <c r="A3275" s="22">
        <v>41626</v>
      </c>
      <c r="F3275" s="2"/>
      <c r="G3275" s="1"/>
      <c r="I3275" s="2"/>
      <c r="J3275" s="2"/>
      <c r="K3275" s="1">
        <v>133.80000000000001</v>
      </c>
      <c r="Q3275" s="1">
        <v>3.2</v>
      </c>
    </row>
    <row r="3276" spans="1:17" x14ac:dyDescent="0.25">
      <c r="A3276" s="22">
        <v>41627</v>
      </c>
      <c r="F3276" s="2"/>
      <c r="G3276" s="2"/>
      <c r="I3276" s="2"/>
      <c r="J3276" s="1"/>
      <c r="K3276" s="1">
        <v>9.8000000000000007</v>
      </c>
      <c r="Q3276" s="1">
        <v>11.2</v>
      </c>
    </row>
    <row r="3277" spans="1:17" x14ac:dyDescent="0.25">
      <c r="A3277" s="22">
        <v>41628</v>
      </c>
      <c r="F3277" s="2"/>
      <c r="G3277" s="2"/>
      <c r="I3277" s="2"/>
      <c r="J3277" s="1"/>
      <c r="K3277" s="1">
        <v>4.9000000000000004</v>
      </c>
      <c r="Q3277" s="1">
        <v>0.2</v>
      </c>
    </row>
    <row r="3278" spans="1:17" x14ac:dyDescent="0.25">
      <c r="A3278" s="22">
        <v>41629</v>
      </c>
      <c r="F3278" s="2"/>
      <c r="G3278" s="1"/>
      <c r="I3278" s="2"/>
      <c r="J3278" s="2"/>
      <c r="K3278" s="1">
        <v>0</v>
      </c>
      <c r="Q3278" s="1">
        <v>0.1</v>
      </c>
    </row>
    <row r="3279" spans="1:17" x14ac:dyDescent="0.25">
      <c r="A3279" s="22">
        <v>41630</v>
      </c>
      <c r="F3279" s="2"/>
      <c r="G3279" s="1"/>
      <c r="I3279" s="2"/>
      <c r="J3279" s="2"/>
      <c r="K3279" s="1">
        <v>5.2</v>
      </c>
      <c r="Q3279" s="1">
        <v>2.8</v>
      </c>
    </row>
    <row r="3280" spans="1:17" x14ac:dyDescent="0.25">
      <c r="A3280" s="22">
        <v>41631</v>
      </c>
      <c r="F3280" s="2"/>
      <c r="G3280" s="1"/>
      <c r="I3280" s="1"/>
      <c r="J3280" s="1"/>
      <c r="K3280" s="1">
        <v>1.5</v>
      </c>
      <c r="Q3280" s="1">
        <v>1.6</v>
      </c>
    </row>
    <row r="3281" spans="1:17" x14ac:dyDescent="0.25">
      <c r="A3281" s="22">
        <v>41632</v>
      </c>
      <c r="F3281" s="2"/>
      <c r="G3281" s="1"/>
      <c r="I3281" s="2"/>
      <c r="J3281" s="1"/>
      <c r="K3281" s="1">
        <v>3.7</v>
      </c>
      <c r="Q3281" s="1">
        <v>75.5</v>
      </c>
    </row>
    <row r="3282" spans="1:17" x14ac:dyDescent="0.25">
      <c r="A3282" s="22">
        <v>41633</v>
      </c>
      <c r="F3282" s="2"/>
      <c r="G3282" s="1"/>
      <c r="I3282" s="1"/>
      <c r="J3282" s="1"/>
      <c r="K3282" s="1">
        <v>77.5</v>
      </c>
      <c r="Q3282" s="1">
        <v>23.1</v>
      </c>
    </row>
    <row r="3283" spans="1:17" x14ac:dyDescent="0.25">
      <c r="A3283" s="22">
        <v>41634</v>
      </c>
      <c r="F3283" s="2"/>
      <c r="G3283" s="1"/>
      <c r="I3283" s="1"/>
      <c r="J3283" s="1"/>
      <c r="K3283" s="1">
        <v>21.3</v>
      </c>
      <c r="Q3283" s="1">
        <v>0</v>
      </c>
    </row>
    <row r="3284" spans="1:17" x14ac:dyDescent="0.25">
      <c r="A3284" s="22">
        <v>41635</v>
      </c>
      <c r="F3284" s="2"/>
      <c r="G3284" s="1"/>
      <c r="I3284" s="1"/>
      <c r="J3284" s="1"/>
      <c r="K3284" s="1">
        <v>0.2</v>
      </c>
      <c r="Q3284" s="1">
        <v>0</v>
      </c>
    </row>
    <row r="3285" spans="1:17" x14ac:dyDescent="0.25">
      <c r="A3285" s="22">
        <v>41636</v>
      </c>
      <c r="F3285" s="2"/>
      <c r="G3285" s="1"/>
      <c r="I3285" s="2"/>
      <c r="J3285" s="2"/>
      <c r="K3285" s="1">
        <v>0.8</v>
      </c>
      <c r="Q3285" s="1">
        <v>4.4000000000000004</v>
      </c>
    </row>
    <row r="3286" spans="1:17" x14ac:dyDescent="0.25">
      <c r="A3286" s="22">
        <v>41637</v>
      </c>
      <c r="F3286" s="2"/>
      <c r="G3286" s="1"/>
      <c r="I3286" s="2"/>
      <c r="J3286" s="2"/>
      <c r="K3286" s="1">
        <v>0</v>
      </c>
      <c r="Q3286" s="1">
        <v>8.6</v>
      </c>
    </row>
    <row r="3287" spans="1:17" x14ac:dyDescent="0.25">
      <c r="A3287" s="22">
        <v>41638</v>
      </c>
      <c r="F3287" s="2"/>
      <c r="G3287" s="1"/>
      <c r="I3287" s="2"/>
      <c r="J3287" s="2"/>
      <c r="K3287" s="1">
        <v>25.4</v>
      </c>
      <c r="Q3287" s="1">
        <v>5.7</v>
      </c>
    </row>
    <row r="3288" spans="1:17" x14ac:dyDescent="0.25">
      <c r="A3288" s="22">
        <v>41639</v>
      </c>
      <c r="F3288" s="2"/>
      <c r="G3288" s="1"/>
      <c r="I3288" s="2"/>
      <c r="J3288" s="2"/>
      <c r="K3288" s="1">
        <v>9.1</v>
      </c>
      <c r="Q3288" s="1">
        <v>6.6</v>
      </c>
    </row>
    <row r="3289" spans="1:17" x14ac:dyDescent="0.25">
      <c r="A3289" s="22">
        <v>41640</v>
      </c>
      <c r="B3289" s="25"/>
      <c r="D3289" s="24"/>
      <c r="H3289" s="24"/>
      <c r="K3289" s="25">
        <v>16.7</v>
      </c>
      <c r="Q3289" s="24"/>
    </row>
    <row r="3290" spans="1:17" x14ac:dyDescent="0.25">
      <c r="A3290" s="22">
        <v>41641</v>
      </c>
      <c r="B3290" s="25"/>
      <c r="D3290" s="24"/>
      <c r="H3290" s="24"/>
      <c r="K3290" s="25">
        <v>14.2</v>
      </c>
      <c r="Q3290" s="24"/>
    </row>
    <row r="3291" spans="1:17" x14ac:dyDescent="0.25">
      <c r="A3291" s="22">
        <v>41642</v>
      </c>
      <c r="B3291" s="25"/>
      <c r="D3291" s="24"/>
      <c r="H3291" s="24"/>
      <c r="K3291" s="25">
        <v>4.4000000000000004</v>
      </c>
      <c r="Q3291" s="24"/>
    </row>
    <row r="3292" spans="1:17" x14ac:dyDescent="0.25">
      <c r="A3292" s="22">
        <v>41643</v>
      </c>
      <c r="B3292" s="25"/>
      <c r="D3292" s="24"/>
      <c r="H3292" s="24"/>
      <c r="K3292" s="25">
        <v>33.299999999999997</v>
      </c>
      <c r="Q3292" s="24"/>
    </row>
    <row r="3293" spans="1:17" x14ac:dyDescent="0.25">
      <c r="A3293" s="22">
        <v>41644</v>
      </c>
      <c r="B3293" s="25"/>
      <c r="D3293" s="25"/>
      <c r="H3293" s="24"/>
      <c r="K3293" s="25">
        <v>0</v>
      </c>
      <c r="Q3293" s="24"/>
    </row>
    <row r="3294" spans="1:17" x14ac:dyDescent="0.25">
      <c r="A3294" s="22">
        <v>41645</v>
      </c>
      <c r="B3294" s="25"/>
      <c r="D3294" s="25"/>
      <c r="H3294" s="24"/>
      <c r="K3294" s="25">
        <v>0</v>
      </c>
      <c r="Q3294" s="24"/>
    </row>
    <row r="3295" spans="1:17" x14ac:dyDescent="0.25">
      <c r="A3295" s="22">
        <v>41646</v>
      </c>
      <c r="B3295" s="25"/>
      <c r="D3295" s="25"/>
      <c r="H3295" s="24"/>
      <c r="K3295" s="25">
        <v>63</v>
      </c>
      <c r="Q3295" s="24"/>
    </row>
    <row r="3296" spans="1:17" x14ac:dyDescent="0.25">
      <c r="A3296" s="22">
        <v>41647</v>
      </c>
      <c r="B3296" s="25"/>
      <c r="D3296" s="24"/>
      <c r="H3296" s="25"/>
      <c r="K3296" s="25">
        <v>0</v>
      </c>
      <c r="Q3296" s="24"/>
    </row>
    <row r="3297" spans="1:17" x14ac:dyDescent="0.25">
      <c r="A3297" s="22">
        <v>41648</v>
      </c>
      <c r="B3297" s="25"/>
      <c r="D3297" s="24"/>
      <c r="H3297" s="25"/>
      <c r="K3297" s="25">
        <v>2.7</v>
      </c>
      <c r="Q3297" s="24"/>
    </row>
    <row r="3298" spans="1:17" x14ac:dyDescent="0.25">
      <c r="A3298" s="22">
        <v>41649</v>
      </c>
      <c r="B3298" s="25"/>
      <c r="D3298" s="24"/>
      <c r="H3298" s="25"/>
      <c r="K3298" s="25">
        <v>0</v>
      </c>
      <c r="Q3298" s="24"/>
    </row>
    <row r="3299" spans="1:17" x14ac:dyDescent="0.25">
      <c r="A3299" s="22">
        <v>41650</v>
      </c>
      <c r="B3299" s="25"/>
      <c r="D3299" s="24"/>
      <c r="H3299" s="25"/>
      <c r="K3299" s="25">
        <v>0</v>
      </c>
      <c r="Q3299" s="24"/>
    </row>
    <row r="3300" spans="1:17" x14ac:dyDescent="0.25">
      <c r="A3300" s="22">
        <v>41651</v>
      </c>
      <c r="B3300" s="25"/>
      <c r="D3300" s="24"/>
      <c r="H3300" s="25"/>
      <c r="K3300" s="25">
        <v>0</v>
      </c>
      <c r="Q3300" s="24"/>
    </row>
    <row r="3301" spans="1:17" x14ac:dyDescent="0.25">
      <c r="A3301" s="22">
        <v>41652</v>
      </c>
      <c r="B3301" s="25"/>
      <c r="D3301" s="24"/>
      <c r="H3301" s="25"/>
      <c r="K3301" s="25">
        <v>22.1</v>
      </c>
      <c r="Q3301" s="24"/>
    </row>
    <row r="3302" spans="1:17" x14ac:dyDescent="0.25">
      <c r="A3302" s="22">
        <v>41653</v>
      </c>
      <c r="B3302" s="25"/>
      <c r="D3302" s="24"/>
      <c r="H3302" s="25"/>
      <c r="K3302" s="25">
        <v>0</v>
      </c>
      <c r="Q3302" s="24"/>
    </row>
    <row r="3303" spans="1:17" x14ac:dyDescent="0.25">
      <c r="A3303" s="22">
        <v>41654</v>
      </c>
      <c r="B3303" s="25"/>
      <c r="D3303" s="24"/>
      <c r="H3303" s="24"/>
      <c r="K3303" s="25">
        <v>0</v>
      </c>
      <c r="Q3303" s="24"/>
    </row>
    <row r="3304" spans="1:17" x14ac:dyDescent="0.25">
      <c r="A3304" s="22">
        <v>41655</v>
      </c>
      <c r="B3304" s="25"/>
      <c r="D3304" s="24"/>
      <c r="H3304" s="24"/>
      <c r="K3304" s="25">
        <v>0</v>
      </c>
      <c r="Q3304" s="24"/>
    </row>
    <row r="3305" spans="1:17" x14ac:dyDescent="0.25">
      <c r="A3305" s="22">
        <v>41656</v>
      </c>
      <c r="B3305" s="25"/>
      <c r="D3305" s="24"/>
      <c r="H3305" s="25"/>
      <c r="K3305" s="25">
        <v>0</v>
      </c>
      <c r="Q3305" s="24"/>
    </row>
    <row r="3306" spans="1:17" x14ac:dyDescent="0.25">
      <c r="A3306" s="22">
        <v>41657</v>
      </c>
      <c r="B3306" s="25"/>
      <c r="D3306" s="25"/>
      <c r="H3306" s="25"/>
      <c r="K3306" s="24">
        <v>0</v>
      </c>
      <c r="Q3306" s="24"/>
    </row>
    <row r="3307" spans="1:17" x14ac:dyDescent="0.25">
      <c r="A3307" s="22">
        <v>41658</v>
      </c>
      <c r="B3307" s="25"/>
      <c r="D3307" s="24"/>
      <c r="H3307" s="25"/>
      <c r="K3307" s="25">
        <v>0</v>
      </c>
      <c r="Q3307" s="24"/>
    </row>
    <row r="3308" spans="1:17" x14ac:dyDescent="0.25">
      <c r="A3308" s="22">
        <v>41659</v>
      </c>
      <c r="B3308" s="25"/>
      <c r="D3308" s="24"/>
      <c r="H3308" s="24"/>
      <c r="K3308" s="24">
        <v>5.5</v>
      </c>
      <c r="Q3308" s="24"/>
    </row>
    <row r="3309" spans="1:17" x14ac:dyDescent="0.25">
      <c r="A3309" s="22">
        <v>41660</v>
      </c>
      <c r="B3309" s="25"/>
      <c r="D3309" s="24"/>
      <c r="H3309" s="24"/>
      <c r="K3309" s="24">
        <v>0</v>
      </c>
      <c r="Q3309" s="24"/>
    </row>
    <row r="3310" spans="1:17" x14ac:dyDescent="0.25">
      <c r="A3310" s="22">
        <v>41661</v>
      </c>
      <c r="B3310" s="25"/>
      <c r="D3310" s="25"/>
      <c r="H3310" s="25"/>
      <c r="K3310" s="24">
        <v>2.2000000000000002</v>
      </c>
      <c r="Q3310" s="24"/>
    </row>
    <row r="3311" spans="1:17" x14ac:dyDescent="0.25">
      <c r="A3311" s="22">
        <v>41662</v>
      </c>
      <c r="B3311" s="25"/>
      <c r="D3311" s="25"/>
      <c r="H3311" s="24"/>
      <c r="K3311" s="24">
        <v>0.3</v>
      </c>
      <c r="Q3311" s="24"/>
    </row>
    <row r="3312" spans="1:17" x14ac:dyDescent="0.25">
      <c r="A3312" s="22">
        <v>41663</v>
      </c>
      <c r="B3312" s="25"/>
      <c r="D3312" s="25"/>
      <c r="H3312" s="24"/>
      <c r="K3312" s="25">
        <v>0.2</v>
      </c>
      <c r="Q3312" s="24"/>
    </row>
    <row r="3313" spans="1:17" x14ac:dyDescent="0.25">
      <c r="A3313" s="22">
        <v>41664</v>
      </c>
      <c r="B3313" s="25"/>
      <c r="D3313" s="25"/>
      <c r="H3313" s="24"/>
      <c r="K3313" s="25">
        <v>0.7</v>
      </c>
      <c r="Q3313" s="24"/>
    </row>
    <row r="3314" spans="1:17" x14ac:dyDescent="0.25">
      <c r="A3314" s="22">
        <v>41665</v>
      </c>
      <c r="B3314" s="25"/>
      <c r="D3314" s="24"/>
      <c r="H3314" s="24"/>
      <c r="K3314" s="25">
        <v>48.3</v>
      </c>
      <c r="Q3314" s="24"/>
    </row>
    <row r="3315" spans="1:17" x14ac:dyDescent="0.25">
      <c r="A3315" s="22">
        <v>41666</v>
      </c>
      <c r="B3315" s="25"/>
      <c r="D3315" s="24"/>
      <c r="H3315" s="24"/>
      <c r="K3315" s="24">
        <v>11</v>
      </c>
      <c r="Q3315" s="24"/>
    </row>
    <row r="3316" spans="1:17" x14ac:dyDescent="0.25">
      <c r="A3316" s="22">
        <v>41667</v>
      </c>
      <c r="B3316" s="25"/>
      <c r="D3316" s="24"/>
      <c r="H3316" s="24"/>
      <c r="K3316" s="24">
        <v>14.5</v>
      </c>
      <c r="Q3316" s="24"/>
    </row>
    <row r="3317" spans="1:17" x14ac:dyDescent="0.25">
      <c r="A3317" s="22">
        <v>41668</v>
      </c>
      <c r="B3317" s="25"/>
      <c r="D3317" s="24"/>
      <c r="H3317" s="24"/>
      <c r="K3317" s="24">
        <v>0</v>
      </c>
      <c r="Q3317" s="24"/>
    </row>
    <row r="3318" spans="1:17" x14ac:dyDescent="0.25">
      <c r="A3318" s="22">
        <v>41669</v>
      </c>
      <c r="B3318" s="25"/>
      <c r="D3318" s="24"/>
      <c r="H3318" s="24"/>
      <c r="K3318" s="24">
        <v>2.4</v>
      </c>
      <c r="Q3318" s="24"/>
    </row>
    <row r="3319" spans="1:17" x14ac:dyDescent="0.25">
      <c r="A3319" s="22">
        <v>41670</v>
      </c>
      <c r="B3319" s="25"/>
      <c r="D3319" s="24"/>
      <c r="H3319" s="24"/>
      <c r="K3319" s="24">
        <v>6.3</v>
      </c>
      <c r="Q3319" s="24"/>
    </row>
    <row r="3320" spans="1:17" x14ac:dyDescent="0.25">
      <c r="A3320" s="22">
        <v>41671</v>
      </c>
      <c r="B3320" s="25"/>
      <c r="D3320" s="24"/>
      <c r="H3320" s="24"/>
      <c r="K3320" s="25">
        <v>0</v>
      </c>
      <c r="Q3320" s="24"/>
    </row>
    <row r="3321" spans="1:17" x14ac:dyDescent="0.25">
      <c r="A3321" s="22">
        <v>41672</v>
      </c>
      <c r="B3321" s="25"/>
      <c r="D3321" s="24"/>
      <c r="H3321" s="24"/>
      <c r="K3321" s="25">
        <v>0</v>
      </c>
      <c r="Q3321" s="24"/>
    </row>
    <row r="3322" spans="1:17" x14ac:dyDescent="0.25">
      <c r="A3322" s="22">
        <v>41673</v>
      </c>
      <c r="B3322" s="25"/>
      <c r="D3322" s="24"/>
      <c r="H3322" s="24"/>
      <c r="K3322" s="25">
        <v>0</v>
      </c>
      <c r="Q3322" s="24"/>
    </row>
    <row r="3323" spans="1:17" x14ac:dyDescent="0.25">
      <c r="A3323" s="22">
        <v>41674</v>
      </c>
      <c r="B3323" s="25"/>
      <c r="D3323" s="24"/>
      <c r="H3323" s="24"/>
      <c r="K3323" s="25">
        <v>0</v>
      </c>
      <c r="Q3323" s="24"/>
    </row>
    <row r="3324" spans="1:17" x14ac:dyDescent="0.25">
      <c r="A3324" s="22">
        <v>41675</v>
      </c>
      <c r="B3324" s="25"/>
      <c r="D3324" s="25"/>
      <c r="H3324" s="24"/>
      <c r="K3324" s="25">
        <v>0</v>
      </c>
      <c r="Q3324" s="24"/>
    </row>
    <row r="3325" spans="1:17" x14ac:dyDescent="0.25">
      <c r="A3325" s="22">
        <v>41676</v>
      </c>
      <c r="B3325" s="25"/>
      <c r="D3325" s="25"/>
      <c r="H3325" s="24"/>
      <c r="K3325" s="25">
        <v>0</v>
      </c>
      <c r="Q3325" s="24"/>
    </row>
    <row r="3326" spans="1:17" x14ac:dyDescent="0.25">
      <c r="A3326" s="22">
        <v>41677</v>
      </c>
      <c r="B3326" s="25"/>
      <c r="D3326" s="25"/>
      <c r="H3326" s="24"/>
      <c r="K3326" s="25">
        <v>0</v>
      </c>
      <c r="Q3326" s="24"/>
    </row>
    <row r="3327" spans="1:17" x14ac:dyDescent="0.25">
      <c r="A3327" s="22">
        <v>41678</v>
      </c>
      <c r="B3327" s="25"/>
      <c r="D3327" s="24"/>
      <c r="H3327" s="25"/>
      <c r="K3327" s="25">
        <v>0</v>
      </c>
      <c r="Q3327" s="24"/>
    </row>
    <row r="3328" spans="1:17" x14ac:dyDescent="0.25">
      <c r="A3328" s="22">
        <v>41679</v>
      </c>
      <c r="B3328" s="25"/>
      <c r="D3328" s="24"/>
      <c r="H3328" s="25"/>
      <c r="K3328" s="25">
        <v>48.8</v>
      </c>
      <c r="Q3328" s="24"/>
    </row>
    <row r="3329" spans="1:17" x14ac:dyDescent="0.25">
      <c r="A3329" s="22">
        <v>41680</v>
      </c>
      <c r="B3329" s="25"/>
      <c r="D3329" s="24"/>
      <c r="H3329" s="25"/>
      <c r="K3329" s="25">
        <v>0</v>
      </c>
      <c r="Q3329" s="24"/>
    </row>
    <row r="3330" spans="1:17" x14ac:dyDescent="0.25">
      <c r="A3330" s="22">
        <v>41681</v>
      </c>
      <c r="B3330" s="25"/>
      <c r="D3330" s="24"/>
      <c r="H3330" s="25"/>
      <c r="K3330" s="25">
        <v>0</v>
      </c>
      <c r="Q3330" s="24"/>
    </row>
    <row r="3331" spans="1:17" x14ac:dyDescent="0.25">
      <c r="A3331" s="22">
        <v>41682</v>
      </c>
      <c r="B3331" s="25"/>
      <c r="D3331" s="24"/>
      <c r="H3331" s="25"/>
      <c r="K3331" s="25">
        <v>2.2999999999999998</v>
      </c>
      <c r="Q3331" s="24"/>
    </row>
    <row r="3332" spans="1:17" x14ac:dyDescent="0.25">
      <c r="A3332" s="22">
        <v>41683</v>
      </c>
      <c r="B3332" s="25"/>
      <c r="D3332" s="24"/>
      <c r="H3332" s="25"/>
      <c r="K3332" s="25">
        <v>0</v>
      </c>
      <c r="Q3332" s="24"/>
    </row>
    <row r="3333" spans="1:17" x14ac:dyDescent="0.25">
      <c r="A3333" s="22">
        <v>41684</v>
      </c>
      <c r="B3333" s="25"/>
      <c r="D3333" s="24"/>
      <c r="H3333" s="25"/>
      <c r="K3333" s="25">
        <v>0</v>
      </c>
      <c r="Q3333" s="24"/>
    </row>
    <row r="3334" spans="1:17" x14ac:dyDescent="0.25">
      <c r="A3334" s="22">
        <v>41685</v>
      </c>
      <c r="B3334" s="25"/>
      <c r="D3334" s="24"/>
      <c r="H3334" s="24"/>
      <c r="K3334" s="25">
        <v>0</v>
      </c>
      <c r="Q3334" s="24"/>
    </row>
    <row r="3335" spans="1:17" x14ac:dyDescent="0.25">
      <c r="A3335" s="22">
        <v>41686</v>
      </c>
      <c r="B3335" s="25"/>
      <c r="D3335" s="24"/>
      <c r="H3335" s="24"/>
      <c r="K3335" s="25">
        <v>0</v>
      </c>
      <c r="Q3335" s="24"/>
    </row>
    <row r="3336" spans="1:17" x14ac:dyDescent="0.25">
      <c r="A3336" s="22">
        <v>41687</v>
      </c>
      <c r="B3336" s="25"/>
      <c r="D3336" s="24"/>
      <c r="H3336" s="25"/>
      <c r="K3336" s="25">
        <v>0</v>
      </c>
      <c r="Q3336" s="24"/>
    </row>
    <row r="3337" spans="1:17" x14ac:dyDescent="0.25">
      <c r="A3337" s="22">
        <v>41688</v>
      </c>
      <c r="B3337" s="25"/>
      <c r="D3337" s="25"/>
      <c r="H3337" s="25"/>
      <c r="K3337" s="24">
        <v>10.199999999999999</v>
      </c>
      <c r="Q3337" s="24"/>
    </row>
    <row r="3338" spans="1:17" x14ac:dyDescent="0.25">
      <c r="A3338" s="22">
        <v>41689</v>
      </c>
      <c r="B3338" s="25"/>
      <c r="D3338" s="24"/>
      <c r="H3338" s="25"/>
      <c r="K3338" s="25">
        <v>0.5</v>
      </c>
      <c r="Q3338" s="24"/>
    </row>
    <row r="3339" spans="1:17" x14ac:dyDescent="0.25">
      <c r="A3339" s="22">
        <v>41690</v>
      </c>
      <c r="B3339" s="25"/>
      <c r="D3339" s="24"/>
      <c r="H3339" s="24"/>
      <c r="K3339" s="24">
        <v>4.8</v>
      </c>
      <c r="Q3339" s="24"/>
    </row>
    <row r="3340" spans="1:17" x14ac:dyDescent="0.25">
      <c r="A3340" s="22">
        <v>41691</v>
      </c>
      <c r="B3340" s="25"/>
      <c r="D3340" s="24"/>
      <c r="H3340" s="24"/>
      <c r="K3340" s="24">
        <v>12.2</v>
      </c>
      <c r="Q3340" s="24"/>
    </row>
    <row r="3341" spans="1:17" x14ac:dyDescent="0.25">
      <c r="A3341" s="22">
        <v>41692</v>
      </c>
      <c r="B3341" s="25"/>
      <c r="D3341" s="25"/>
      <c r="H3341" s="25"/>
      <c r="K3341" s="24">
        <v>0</v>
      </c>
      <c r="Q3341" s="24"/>
    </row>
    <row r="3342" spans="1:17" x14ac:dyDescent="0.25">
      <c r="A3342" s="22">
        <v>41693</v>
      </c>
      <c r="B3342" s="25"/>
      <c r="D3342" s="25"/>
      <c r="H3342" s="24"/>
      <c r="K3342" s="24">
        <v>0</v>
      </c>
      <c r="Q3342" s="24"/>
    </row>
    <row r="3343" spans="1:17" x14ac:dyDescent="0.25">
      <c r="A3343" s="22">
        <v>41694</v>
      </c>
      <c r="B3343" s="25"/>
      <c r="D3343" s="25"/>
      <c r="H3343" s="24"/>
      <c r="K3343" s="25">
        <v>0</v>
      </c>
      <c r="Q3343" s="24"/>
    </row>
    <row r="3344" spans="1:17" x14ac:dyDescent="0.25">
      <c r="A3344" s="22">
        <v>41695</v>
      </c>
      <c r="B3344" s="25"/>
      <c r="D3344" s="25"/>
      <c r="H3344" s="24"/>
      <c r="K3344" s="25">
        <v>0</v>
      </c>
      <c r="Q3344" s="24"/>
    </row>
    <row r="3345" spans="1:17" x14ac:dyDescent="0.25">
      <c r="A3345" s="22">
        <v>41696</v>
      </c>
      <c r="B3345" s="25"/>
      <c r="D3345" s="24"/>
      <c r="H3345" s="24"/>
      <c r="K3345" s="25">
        <v>0</v>
      </c>
      <c r="Q3345" s="24"/>
    </row>
    <row r="3346" spans="1:17" x14ac:dyDescent="0.25">
      <c r="A3346" s="22">
        <v>41697</v>
      </c>
      <c r="B3346" s="25"/>
      <c r="D3346" s="24"/>
      <c r="H3346" s="24"/>
      <c r="K3346" s="24">
        <v>0</v>
      </c>
      <c r="Q3346" s="24"/>
    </row>
    <row r="3347" spans="1:17" x14ac:dyDescent="0.25">
      <c r="A3347" s="22">
        <v>41698</v>
      </c>
      <c r="B3347" s="25"/>
      <c r="D3347" s="24"/>
      <c r="H3347" s="24"/>
      <c r="K3347" s="24">
        <v>0</v>
      </c>
      <c r="Q3347" s="24"/>
    </row>
    <row r="3348" spans="1:17" x14ac:dyDescent="0.25">
      <c r="A3348" s="22">
        <v>41699</v>
      </c>
      <c r="B3348" s="2"/>
      <c r="D3348" s="1"/>
      <c r="H3348" s="1"/>
      <c r="K3348" s="2">
        <v>0</v>
      </c>
      <c r="Q3348" s="1"/>
    </row>
    <row r="3349" spans="1:17" x14ac:dyDescent="0.25">
      <c r="A3349" s="22">
        <v>41700</v>
      </c>
      <c r="B3349" s="2"/>
      <c r="D3349" s="1"/>
      <c r="H3349" s="1"/>
      <c r="K3349" s="2">
        <v>18.7</v>
      </c>
      <c r="Q3349" s="1"/>
    </row>
    <row r="3350" spans="1:17" x14ac:dyDescent="0.25">
      <c r="A3350" s="22">
        <v>41701</v>
      </c>
      <c r="B3350" s="2"/>
      <c r="D3350" s="1"/>
      <c r="H3350" s="1"/>
      <c r="K3350" s="2">
        <v>0</v>
      </c>
      <c r="Q3350" s="1"/>
    </row>
    <row r="3351" spans="1:17" x14ac:dyDescent="0.25">
      <c r="A3351" s="22">
        <v>41702</v>
      </c>
      <c r="B3351" s="2"/>
      <c r="D3351" s="1"/>
      <c r="H3351" s="1"/>
      <c r="K3351" s="2">
        <v>0</v>
      </c>
      <c r="Q3351" s="1"/>
    </row>
    <row r="3352" spans="1:17" x14ac:dyDescent="0.25">
      <c r="A3352" s="22">
        <v>41703</v>
      </c>
      <c r="B3352" s="2"/>
      <c r="D3352" s="2"/>
      <c r="H3352" s="1"/>
      <c r="K3352" s="2">
        <v>0</v>
      </c>
      <c r="Q3352" s="1"/>
    </row>
    <row r="3353" spans="1:17" x14ac:dyDescent="0.25">
      <c r="A3353" s="22">
        <v>41704</v>
      </c>
      <c r="B3353" s="2"/>
      <c r="D3353" s="2"/>
      <c r="H3353" s="1"/>
      <c r="K3353" s="2">
        <v>0</v>
      </c>
      <c r="Q3353" s="1"/>
    </row>
    <row r="3354" spans="1:17" x14ac:dyDescent="0.25">
      <c r="A3354" s="22">
        <v>41705</v>
      </c>
      <c r="B3354" s="2"/>
      <c r="D3354" s="2"/>
      <c r="H3354" s="1"/>
      <c r="K3354" s="2">
        <v>0</v>
      </c>
      <c r="Q3354" s="1"/>
    </row>
    <row r="3355" spans="1:17" x14ac:dyDescent="0.25">
      <c r="A3355" s="22">
        <v>41706</v>
      </c>
      <c r="B3355" s="2"/>
      <c r="D3355" s="1"/>
      <c r="H3355" s="2"/>
      <c r="K3355" s="2">
        <v>9.1</v>
      </c>
      <c r="Q3355" s="1"/>
    </row>
    <row r="3356" spans="1:17" x14ac:dyDescent="0.25">
      <c r="A3356" s="22">
        <v>41707</v>
      </c>
      <c r="B3356" s="2"/>
      <c r="D3356" s="1"/>
      <c r="H3356" s="2"/>
      <c r="K3356" s="2">
        <v>0</v>
      </c>
      <c r="Q3356" s="1"/>
    </row>
    <row r="3357" spans="1:17" x14ac:dyDescent="0.25">
      <c r="A3357" s="22">
        <v>41708</v>
      </c>
      <c r="B3357" s="2"/>
      <c r="D3357" s="1"/>
      <c r="H3357" s="2"/>
      <c r="K3357" s="2">
        <v>3.1</v>
      </c>
      <c r="Q3357" s="1"/>
    </row>
    <row r="3358" spans="1:17" x14ac:dyDescent="0.25">
      <c r="A3358" s="22">
        <v>41709</v>
      </c>
      <c r="B3358" s="2"/>
      <c r="D3358" s="1"/>
      <c r="H3358" s="2"/>
      <c r="K3358" s="2">
        <v>0</v>
      </c>
      <c r="Q3358" s="1"/>
    </row>
    <row r="3359" spans="1:17" x14ac:dyDescent="0.25">
      <c r="A3359" s="22">
        <v>41710</v>
      </c>
      <c r="B3359" s="2"/>
      <c r="D3359" s="1"/>
      <c r="H3359" s="2"/>
      <c r="K3359" s="2">
        <v>0.3</v>
      </c>
      <c r="Q3359" s="1"/>
    </row>
    <row r="3360" spans="1:17" x14ac:dyDescent="0.25">
      <c r="A3360" s="22">
        <v>41711</v>
      </c>
      <c r="B3360" s="2"/>
      <c r="D3360" s="1"/>
      <c r="H3360" s="2"/>
      <c r="K3360" s="2">
        <v>12.5</v>
      </c>
      <c r="Q3360" s="1"/>
    </row>
    <row r="3361" spans="1:17" x14ac:dyDescent="0.25">
      <c r="A3361" s="22">
        <v>41712</v>
      </c>
      <c r="B3361" s="2"/>
      <c r="D3361" s="1"/>
      <c r="H3361" s="2"/>
      <c r="K3361" s="2">
        <v>7.3</v>
      </c>
      <c r="Q3361" s="1"/>
    </row>
    <row r="3362" spans="1:17" x14ac:dyDescent="0.25">
      <c r="A3362" s="22">
        <v>41713</v>
      </c>
      <c r="B3362" s="2"/>
      <c r="D3362" s="1"/>
      <c r="H3362" s="1"/>
      <c r="K3362" s="2">
        <v>3.7</v>
      </c>
      <c r="Q3362" s="1"/>
    </row>
    <row r="3363" spans="1:17" x14ac:dyDescent="0.25">
      <c r="A3363" s="22">
        <v>41714</v>
      </c>
      <c r="B3363" s="2"/>
      <c r="D3363" s="1"/>
      <c r="H3363" s="1"/>
      <c r="K3363" s="2">
        <v>0</v>
      </c>
      <c r="Q3363" s="1"/>
    </row>
    <row r="3364" spans="1:17" x14ac:dyDescent="0.25">
      <c r="A3364" s="22">
        <v>41715</v>
      </c>
      <c r="B3364" s="2"/>
      <c r="D3364" s="1"/>
      <c r="H3364" s="2"/>
      <c r="K3364" s="2">
        <v>56.2</v>
      </c>
      <c r="Q3364" s="1"/>
    </row>
    <row r="3365" spans="1:17" x14ac:dyDescent="0.25">
      <c r="A3365" s="22">
        <v>41716</v>
      </c>
      <c r="B3365" s="2"/>
      <c r="D3365" s="2"/>
      <c r="H3365" s="2"/>
      <c r="K3365" s="1">
        <v>0</v>
      </c>
      <c r="Q3365" s="1"/>
    </row>
    <row r="3366" spans="1:17" x14ac:dyDescent="0.25">
      <c r="A3366" s="22">
        <v>41717</v>
      </c>
      <c r="B3366" s="2"/>
      <c r="D3366" s="1"/>
      <c r="H3366" s="2"/>
      <c r="K3366" s="2">
        <v>0</v>
      </c>
      <c r="Q3366" s="1"/>
    </row>
    <row r="3367" spans="1:17" x14ac:dyDescent="0.25">
      <c r="A3367" s="22">
        <v>41718</v>
      </c>
      <c r="B3367" s="2"/>
      <c r="D3367" s="1"/>
      <c r="H3367" s="1"/>
      <c r="K3367" s="1">
        <v>0</v>
      </c>
      <c r="Q3367" s="1"/>
    </row>
    <row r="3368" spans="1:17" x14ac:dyDescent="0.25">
      <c r="A3368" s="22">
        <v>41719</v>
      </c>
      <c r="B3368" s="2"/>
      <c r="D3368" s="1"/>
      <c r="H3368" s="1"/>
      <c r="K3368" s="1">
        <v>0</v>
      </c>
      <c r="Q3368" s="1"/>
    </row>
    <row r="3369" spans="1:17" x14ac:dyDescent="0.25">
      <c r="A3369" s="22">
        <v>41720</v>
      </c>
      <c r="B3369" s="2"/>
      <c r="D3369" s="2"/>
      <c r="H3369" s="2"/>
      <c r="K3369" s="1">
        <v>0</v>
      </c>
      <c r="Q3369" s="1"/>
    </row>
    <row r="3370" spans="1:17" x14ac:dyDescent="0.25">
      <c r="A3370" s="22">
        <v>41721</v>
      </c>
      <c r="B3370" s="2"/>
      <c r="D3370" s="2"/>
      <c r="H3370" s="1"/>
      <c r="K3370" s="1">
        <v>0</v>
      </c>
      <c r="Q3370" s="1"/>
    </row>
    <row r="3371" spans="1:17" x14ac:dyDescent="0.25">
      <c r="A3371" s="22">
        <v>41722</v>
      </c>
      <c r="B3371" s="2"/>
      <c r="D3371" s="2"/>
      <c r="H3371" s="1"/>
      <c r="K3371" s="2">
        <v>0</v>
      </c>
      <c r="Q3371" s="1"/>
    </row>
    <row r="3372" spans="1:17" x14ac:dyDescent="0.25">
      <c r="A3372" s="22">
        <v>41723</v>
      </c>
      <c r="B3372" s="2"/>
      <c r="D3372" s="2"/>
      <c r="H3372" s="1"/>
      <c r="K3372" s="2">
        <v>0</v>
      </c>
      <c r="Q3372" s="1"/>
    </row>
    <row r="3373" spans="1:17" x14ac:dyDescent="0.25">
      <c r="A3373" s="22">
        <v>41724</v>
      </c>
      <c r="B3373" s="2"/>
      <c r="D3373" s="1"/>
      <c r="H3373" s="1"/>
      <c r="K3373" s="2">
        <v>0</v>
      </c>
      <c r="Q3373" s="1"/>
    </row>
    <row r="3374" spans="1:17" x14ac:dyDescent="0.25">
      <c r="A3374" s="22">
        <v>41725</v>
      </c>
      <c r="B3374" s="2"/>
      <c r="D3374" s="1"/>
      <c r="H3374" s="1"/>
      <c r="K3374" s="1">
        <v>0</v>
      </c>
      <c r="Q3374" s="1"/>
    </row>
    <row r="3375" spans="1:17" x14ac:dyDescent="0.25">
      <c r="A3375" s="22">
        <v>41726</v>
      </c>
      <c r="B3375" s="2"/>
      <c r="D3375" s="1"/>
      <c r="H3375" s="1"/>
      <c r="K3375" s="1">
        <v>0</v>
      </c>
      <c r="Q3375" s="1"/>
    </row>
    <row r="3376" spans="1:17" x14ac:dyDescent="0.25">
      <c r="A3376" s="22">
        <v>41727</v>
      </c>
      <c r="B3376" s="2"/>
      <c r="D3376" s="1"/>
      <c r="H3376" s="1"/>
      <c r="K3376" s="1">
        <v>0</v>
      </c>
      <c r="Q3376" s="1"/>
    </row>
    <row r="3377" spans="1:17" x14ac:dyDescent="0.25">
      <c r="A3377" s="22">
        <v>41728</v>
      </c>
      <c r="B3377" s="2"/>
      <c r="D3377" s="1"/>
      <c r="H3377" s="1"/>
      <c r="K3377" s="1">
        <v>0</v>
      </c>
      <c r="Q3377" s="1"/>
    </row>
    <row r="3378" spans="1:17" x14ac:dyDescent="0.25">
      <c r="A3378" s="22">
        <v>41729</v>
      </c>
      <c r="B3378" s="2"/>
      <c r="D3378" s="1"/>
      <c r="H3378" s="1"/>
      <c r="K3378" s="1">
        <v>2.1</v>
      </c>
      <c r="Q3378" s="1"/>
    </row>
    <row r="3379" spans="1:17" x14ac:dyDescent="0.25">
      <c r="A3379" s="22">
        <v>41730</v>
      </c>
      <c r="B3379" s="2"/>
      <c r="D3379" s="1"/>
      <c r="H3379" s="1"/>
      <c r="K3379" s="2">
        <v>0</v>
      </c>
      <c r="L3379" s="1">
        <v>0.7619999999999999</v>
      </c>
      <c r="N3379" s="3"/>
      <c r="Q3379" s="1"/>
    </row>
    <row r="3380" spans="1:17" x14ac:dyDescent="0.25">
      <c r="A3380" s="22">
        <v>41731</v>
      </c>
      <c r="B3380" s="2"/>
      <c r="D3380" s="1"/>
      <c r="H3380" s="1"/>
      <c r="K3380" s="2">
        <v>0</v>
      </c>
      <c r="L3380" s="1">
        <v>0</v>
      </c>
      <c r="N3380" s="3"/>
      <c r="Q3380" s="1"/>
    </row>
    <row r="3381" spans="1:17" x14ac:dyDescent="0.25">
      <c r="A3381" s="22">
        <v>41732</v>
      </c>
      <c r="B3381" s="2"/>
      <c r="D3381" s="1"/>
      <c r="H3381" s="1"/>
      <c r="K3381" s="2">
        <v>0</v>
      </c>
      <c r="L3381" s="1">
        <v>0</v>
      </c>
      <c r="N3381" s="3"/>
      <c r="Q3381" s="1"/>
    </row>
    <row r="3382" spans="1:17" x14ac:dyDescent="0.25">
      <c r="A3382" s="22">
        <v>41733</v>
      </c>
      <c r="B3382" s="2"/>
      <c r="D3382" s="1"/>
      <c r="H3382" s="1"/>
      <c r="K3382" s="2">
        <v>0</v>
      </c>
      <c r="L3382" s="1">
        <v>0</v>
      </c>
      <c r="N3382" s="3"/>
      <c r="Q3382" s="1"/>
    </row>
    <row r="3383" spans="1:17" x14ac:dyDescent="0.25">
      <c r="A3383" s="22">
        <v>41734</v>
      </c>
      <c r="B3383" s="2"/>
      <c r="D3383" s="2"/>
      <c r="H3383" s="1"/>
      <c r="K3383" s="2">
        <v>0</v>
      </c>
      <c r="L3383" s="1">
        <v>0</v>
      </c>
      <c r="N3383" s="3"/>
      <c r="Q3383" s="1"/>
    </row>
    <row r="3384" spans="1:17" x14ac:dyDescent="0.25">
      <c r="A3384" s="22">
        <v>41735</v>
      </c>
      <c r="B3384" s="2"/>
      <c r="D3384" s="2"/>
      <c r="H3384" s="1"/>
      <c r="K3384" s="2">
        <v>0</v>
      </c>
      <c r="L3384" s="2">
        <v>15.239999999999998</v>
      </c>
      <c r="N3384" s="3"/>
      <c r="Q3384" s="1"/>
    </row>
    <row r="3385" spans="1:17" x14ac:dyDescent="0.25">
      <c r="A3385" s="22">
        <v>41736</v>
      </c>
      <c r="B3385" s="2"/>
      <c r="D3385" s="2"/>
      <c r="H3385" s="1"/>
      <c r="K3385" s="2">
        <v>8.8000000000000007</v>
      </c>
      <c r="L3385" s="1">
        <v>2.2859999999999996</v>
      </c>
      <c r="N3385" s="3"/>
      <c r="Q3385" s="1"/>
    </row>
    <row r="3386" spans="1:17" x14ac:dyDescent="0.25">
      <c r="A3386" s="22">
        <v>41737</v>
      </c>
      <c r="B3386" s="2"/>
      <c r="D3386" s="1"/>
      <c r="H3386" s="2"/>
      <c r="K3386" s="2">
        <v>0</v>
      </c>
      <c r="L3386" s="1">
        <v>3.556</v>
      </c>
      <c r="N3386" s="3"/>
      <c r="Q3386" s="1"/>
    </row>
    <row r="3387" spans="1:17" x14ac:dyDescent="0.25">
      <c r="A3387" s="22">
        <v>41738</v>
      </c>
      <c r="B3387" s="2"/>
      <c r="D3387" s="1"/>
      <c r="H3387" s="2"/>
      <c r="K3387" s="2">
        <v>11.6</v>
      </c>
      <c r="L3387" s="2">
        <v>3.8099999999999996</v>
      </c>
      <c r="N3387" s="3"/>
      <c r="Q3387" s="1"/>
    </row>
    <row r="3388" spans="1:17" x14ac:dyDescent="0.25">
      <c r="A3388" s="22">
        <v>41739</v>
      </c>
      <c r="B3388" s="2"/>
      <c r="D3388" s="1"/>
      <c r="H3388" s="2"/>
      <c r="K3388" s="2">
        <v>0</v>
      </c>
      <c r="L3388" s="2">
        <v>1.27</v>
      </c>
      <c r="N3388" s="3"/>
      <c r="Q3388" s="1"/>
    </row>
    <row r="3389" spans="1:17" x14ac:dyDescent="0.25">
      <c r="A3389" s="22">
        <v>41740</v>
      </c>
      <c r="B3389" s="2"/>
      <c r="D3389" s="1"/>
      <c r="H3389" s="2"/>
      <c r="K3389" s="2">
        <v>0</v>
      </c>
      <c r="L3389" s="1">
        <v>1.778</v>
      </c>
      <c r="N3389" s="3"/>
      <c r="Q3389" s="1"/>
    </row>
    <row r="3390" spans="1:17" x14ac:dyDescent="0.25">
      <c r="A3390" s="22">
        <v>41741</v>
      </c>
      <c r="B3390" s="2"/>
      <c r="D3390" s="1"/>
      <c r="H3390" s="2"/>
      <c r="K3390" s="2">
        <v>0</v>
      </c>
      <c r="L3390" s="1">
        <v>0</v>
      </c>
      <c r="N3390" s="3"/>
      <c r="Q3390" s="1"/>
    </row>
    <row r="3391" spans="1:17" x14ac:dyDescent="0.25">
      <c r="A3391" s="22">
        <v>41742</v>
      </c>
      <c r="B3391" s="2"/>
      <c r="D3391" s="1"/>
      <c r="H3391" s="2"/>
      <c r="K3391" s="2">
        <v>0</v>
      </c>
      <c r="L3391" s="1">
        <v>0</v>
      </c>
      <c r="N3391" s="3"/>
      <c r="Q3391" s="1"/>
    </row>
    <row r="3392" spans="1:17" x14ac:dyDescent="0.25">
      <c r="A3392" s="22">
        <v>41743</v>
      </c>
      <c r="B3392" s="2"/>
      <c r="D3392" s="1"/>
      <c r="H3392" s="2"/>
      <c r="K3392" s="2">
        <v>0</v>
      </c>
      <c r="L3392" s="2">
        <v>0</v>
      </c>
      <c r="N3392" s="3"/>
      <c r="Q3392" s="1"/>
    </row>
    <row r="3393" spans="1:17" x14ac:dyDescent="0.25">
      <c r="A3393" s="22">
        <v>41744</v>
      </c>
      <c r="B3393" s="2"/>
      <c r="D3393" s="1"/>
      <c r="H3393" s="1"/>
      <c r="K3393" s="2">
        <v>0</v>
      </c>
      <c r="L3393" s="2">
        <v>0</v>
      </c>
      <c r="N3393" s="1"/>
      <c r="Q3393" s="1"/>
    </row>
    <row r="3394" spans="1:17" x14ac:dyDescent="0.25">
      <c r="A3394" s="22">
        <v>41745</v>
      </c>
      <c r="B3394" s="2"/>
      <c r="D3394" s="1"/>
      <c r="H3394" s="1"/>
      <c r="K3394" s="2">
        <v>0</v>
      </c>
      <c r="L3394" s="1">
        <v>0</v>
      </c>
      <c r="N3394" s="3"/>
      <c r="Q3394" s="1"/>
    </row>
    <row r="3395" spans="1:17" x14ac:dyDescent="0.25">
      <c r="A3395" s="22">
        <v>41746</v>
      </c>
      <c r="B3395" s="2"/>
      <c r="D3395" s="1"/>
      <c r="H3395" s="2"/>
      <c r="K3395" s="2">
        <v>19.600000000000001</v>
      </c>
      <c r="L3395" s="1">
        <v>0</v>
      </c>
      <c r="N3395" s="3"/>
      <c r="Q3395" s="1"/>
    </row>
    <row r="3396" spans="1:17" x14ac:dyDescent="0.25">
      <c r="A3396" s="22">
        <v>41747</v>
      </c>
      <c r="B3396" s="2"/>
      <c r="D3396" s="2"/>
      <c r="H3396" s="2"/>
      <c r="K3396" s="1">
        <v>0</v>
      </c>
      <c r="L3396" s="1">
        <v>0</v>
      </c>
      <c r="N3396" s="3"/>
      <c r="Q3396" s="1"/>
    </row>
    <row r="3397" spans="1:17" x14ac:dyDescent="0.25">
      <c r="A3397" s="22">
        <v>41748</v>
      </c>
      <c r="B3397" s="2"/>
      <c r="D3397" s="1"/>
      <c r="H3397" s="2"/>
      <c r="K3397" s="2">
        <v>0</v>
      </c>
      <c r="L3397" s="1">
        <v>0</v>
      </c>
      <c r="N3397" s="3"/>
      <c r="Q3397" s="1"/>
    </row>
    <row r="3398" spans="1:17" x14ac:dyDescent="0.25">
      <c r="A3398" s="22">
        <v>41749</v>
      </c>
      <c r="B3398" s="2"/>
      <c r="D3398" s="1"/>
      <c r="H3398" s="1"/>
      <c r="K3398" s="1">
        <v>0</v>
      </c>
      <c r="L3398" s="1">
        <v>0</v>
      </c>
      <c r="N3398" s="3"/>
      <c r="Q3398" s="1"/>
    </row>
    <row r="3399" spans="1:17" x14ac:dyDescent="0.25">
      <c r="A3399" s="22">
        <v>41750</v>
      </c>
      <c r="B3399" s="2"/>
      <c r="D3399" s="1"/>
      <c r="H3399" s="1"/>
      <c r="K3399" s="1">
        <v>0</v>
      </c>
      <c r="L3399" s="1">
        <v>0</v>
      </c>
      <c r="N3399" s="3"/>
      <c r="Q3399" s="1"/>
    </row>
    <row r="3400" spans="1:17" x14ac:dyDescent="0.25">
      <c r="A3400" s="22">
        <v>41751</v>
      </c>
      <c r="B3400" s="2"/>
      <c r="D3400" s="2"/>
      <c r="H3400" s="2"/>
      <c r="K3400" s="1">
        <v>0</v>
      </c>
      <c r="L3400" s="1">
        <v>0.50800000000000001</v>
      </c>
      <c r="N3400" s="3"/>
      <c r="Q3400" s="1"/>
    </row>
    <row r="3401" spans="1:17" x14ac:dyDescent="0.25">
      <c r="A3401" s="22">
        <v>41752</v>
      </c>
      <c r="B3401" s="2"/>
      <c r="D3401" s="2"/>
      <c r="H3401" s="1"/>
      <c r="K3401" s="1">
        <v>0</v>
      </c>
      <c r="L3401" s="1">
        <v>1.27</v>
      </c>
      <c r="N3401" s="3"/>
      <c r="Q3401" s="1"/>
    </row>
    <row r="3402" spans="1:17" x14ac:dyDescent="0.25">
      <c r="A3402" s="22">
        <v>41753</v>
      </c>
      <c r="B3402" s="2"/>
      <c r="D3402" s="2"/>
      <c r="H3402" s="1"/>
      <c r="K3402" s="2">
        <v>0</v>
      </c>
      <c r="L3402" s="1">
        <v>0</v>
      </c>
      <c r="N3402" s="3"/>
      <c r="Q3402" s="1"/>
    </row>
    <row r="3403" spans="1:17" x14ac:dyDescent="0.25">
      <c r="A3403" s="22">
        <v>41754</v>
      </c>
      <c r="B3403" s="2"/>
      <c r="D3403" s="2"/>
      <c r="H3403" s="1"/>
      <c r="K3403" s="2">
        <v>0</v>
      </c>
      <c r="L3403" s="1">
        <v>4.3180000000000005</v>
      </c>
      <c r="N3403" s="3"/>
      <c r="Q3403" s="1"/>
    </row>
    <row r="3404" spans="1:17" x14ac:dyDescent="0.25">
      <c r="A3404" s="22">
        <v>41755</v>
      </c>
      <c r="B3404" s="2"/>
      <c r="D3404" s="1"/>
      <c r="H3404" s="1"/>
      <c r="K3404" s="2">
        <v>0</v>
      </c>
      <c r="L3404" s="1">
        <v>0</v>
      </c>
      <c r="N3404" s="3"/>
      <c r="Q3404" s="1"/>
    </row>
    <row r="3405" spans="1:17" x14ac:dyDescent="0.25">
      <c r="A3405" s="22">
        <v>41756</v>
      </c>
      <c r="B3405" s="2"/>
      <c r="D3405" s="1"/>
      <c r="H3405" s="1"/>
      <c r="K3405" s="1">
        <v>17.5</v>
      </c>
      <c r="L3405" s="1">
        <v>0</v>
      </c>
      <c r="N3405" s="3"/>
      <c r="Q3405" s="1"/>
    </row>
    <row r="3406" spans="1:17" x14ac:dyDescent="0.25">
      <c r="A3406" s="22">
        <v>41757</v>
      </c>
      <c r="B3406" s="2"/>
      <c r="D3406" s="1"/>
      <c r="H3406" s="1"/>
      <c r="K3406" s="1">
        <v>0</v>
      </c>
      <c r="L3406" s="1">
        <v>0</v>
      </c>
      <c r="N3406" s="3"/>
      <c r="Q3406" s="1"/>
    </row>
    <row r="3407" spans="1:17" x14ac:dyDescent="0.25">
      <c r="A3407" s="22">
        <v>41758</v>
      </c>
      <c r="B3407" s="2"/>
      <c r="D3407" s="1"/>
      <c r="H3407" s="1"/>
      <c r="K3407" s="1">
        <v>0</v>
      </c>
      <c r="L3407" s="1">
        <v>1.5239999999999998</v>
      </c>
      <c r="N3407" s="3"/>
      <c r="Q3407" s="1"/>
    </row>
    <row r="3408" spans="1:17" x14ac:dyDescent="0.25">
      <c r="A3408" s="22">
        <v>41759</v>
      </c>
      <c r="B3408" s="2"/>
      <c r="D3408" s="1"/>
      <c r="H3408" s="1"/>
      <c r="K3408" s="1"/>
      <c r="L3408" s="1"/>
      <c r="N3408" s="3"/>
      <c r="Q3408" s="1"/>
    </row>
    <row r="3409" spans="1:17" x14ac:dyDescent="0.25">
      <c r="A3409" s="22">
        <v>41760</v>
      </c>
      <c r="B3409" s="30" t="s">
        <v>9</v>
      </c>
      <c r="C3409" s="31">
        <v>0</v>
      </c>
      <c r="D3409" s="31">
        <v>0</v>
      </c>
      <c r="F3409" s="30" t="s">
        <v>9</v>
      </c>
      <c r="G3409" s="32">
        <v>0</v>
      </c>
      <c r="H3409" s="31">
        <v>0</v>
      </c>
      <c r="I3409" s="31">
        <v>0</v>
      </c>
      <c r="J3409" s="31">
        <v>0</v>
      </c>
      <c r="K3409" s="31">
        <v>0</v>
      </c>
      <c r="L3409" s="32">
        <v>0</v>
      </c>
      <c r="M3409" s="31">
        <v>0</v>
      </c>
      <c r="N3409" s="3"/>
      <c r="O3409" s="31">
        <v>0</v>
      </c>
      <c r="Q3409" s="32">
        <v>0</v>
      </c>
    </row>
    <row r="3410" spans="1:17" x14ac:dyDescent="0.25">
      <c r="A3410" s="22">
        <v>41761</v>
      </c>
      <c r="B3410" s="30" t="s">
        <v>9</v>
      </c>
      <c r="C3410" s="31">
        <v>0</v>
      </c>
      <c r="D3410" s="31">
        <v>0</v>
      </c>
      <c r="F3410" s="30" t="s">
        <v>9</v>
      </c>
      <c r="G3410" s="32">
        <v>0</v>
      </c>
      <c r="H3410" s="31">
        <v>0</v>
      </c>
      <c r="I3410" s="31">
        <v>0</v>
      </c>
      <c r="J3410" s="31">
        <v>0</v>
      </c>
      <c r="K3410" s="31">
        <v>0</v>
      </c>
      <c r="L3410" s="32">
        <v>0</v>
      </c>
      <c r="M3410" s="31">
        <v>0</v>
      </c>
      <c r="N3410" s="3"/>
      <c r="O3410" s="31">
        <v>0</v>
      </c>
      <c r="Q3410" s="32">
        <v>0</v>
      </c>
    </row>
    <row r="3411" spans="1:17" x14ac:dyDescent="0.25">
      <c r="A3411" s="22">
        <v>41762</v>
      </c>
      <c r="B3411" s="30" t="s">
        <v>9</v>
      </c>
      <c r="C3411" s="31">
        <v>0</v>
      </c>
      <c r="D3411" s="31">
        <v>0</v>
      </c>
      <c r="F3411" s="30" t="s">
        <v>9</v>
      </c>
      <c r="G3411" s="32">
        <v>0</v>
      </c>
      <c r="H3411" s="31">
        <v>0</v>
      </c>
      <c r="I3411" s="31">
        <v>0</v>
      </c>
      <c r="J3411" s="31">
        <v>0</v>
      </c>
      <c r="K3411" s="31">
        <v>0</v>
      </c>
      <c r="L3411" s="32">
        <v>0</v>
      </c>
      <c r="M3411" s="31">
        <v>0</v>
      </c>
      <c r="N3411" s="3"/>
      <c r="O3411" s="31">
        <v>0</v>
      </c>
      <c r="Q3411" s="32">
        <v>0</v>
      </c>
    </row>
    <row r="3412" spans="1:17" x14ac:dyDescent="0.25">
      <c r="A3412" s="22">
        <v>41763</v>
      </c>
      <c r="B3412" s="30" t="s">
        <v>9</v>
      </c>
      <c r="C3412" s="31">
        <v>0</v>
      </c>
      <c r="D3412" s="31">
        <v>0</v>
      </c>
      <c r="F3412" s="30" t="s">
        <v>9</v>
      </c>
      <c r="G3412" s="32">
        <v>0</v>
      </c>
      <c r="H3412" s="31">
        <v>0</v>
      </c>
      <c r="I3412" s="31">
        <v>0</v>
      </c>
      <c r="J3412" s="31">
        <v>0</v>
      </c>
      <c r="K3412" s="31">
        <v>0</v>
      </c>
      <c r="L3412" s="32">
        <v>0</v>
      </c>
      <c r="M3412" s="31">
        <v>0</v>
      </c>
      <c r="N3412" s="3"/>
      <c r="O3412" s="31">
        <v>0</v>
      </c>
      <c r="Q3412" s="32">
        <v>0.2</v>
      </c>
    </row>
    <row r="3413" spans="1:17" x14ac:dyDescent="0.25">
      <c r="A3413" s="22">
        <v>41764</v>
      </c>
      <c r="B3413" s="30" t="s">
        <v>9</v>
      </c>
      <c r="C3413" s="31">
        <v>0.4</v>
      </c>
      <c r="D3413" s="31">
        <v>0</v>
      </c>
      <c r="F3413" s="30" t="s">
        <v>9</v>
      </c>
      <c r="G3413" s="32">
        <v>0</v>
      </c>
      <c r="H3413" s="31">
        <v>0</v>
      </c>
      <c r="I3413" s="31">
        <v>0</v>
      </c>
      <c r="J3413" s="31">
        <v>0</v>
      </c>
      <c r="K3413" s="31">
        <v>0</v>
      </c>
      <c r="L3413" s="32">
        <v>0</v>
      </c>
      <c r="M3413" s="31">
        <v>0</v>
      </c>
      <c r="N3413" s="3"/>
      <c r="O3413" s="31">
        <v>0.50800000000000001</v>
      </c>
      <c r="Q3413" s="32">
        <v>0.4</v>
      </c>
    </row>
    <row r="3414" spans="1:17" x14ac:dyDescent="0.25">
      <c r="A3414" s="22">
        <v>41765</v>
      </c>
      <c r="B3414" s="30" t="s">
        <v>9</v>
      </c>
      <c r="C3414" s="31">
        <v>0</v>
      </c>
      <c r="D3414" s="31">
        <v>0</v>
      </c>
      <c r="F3414" s="30" t="s">
        <v>9</v>
      </c>
      <c r="G3414" s="32">
        <v>0</v>
      </c>
      <c r="H3414" s="31">
        <v>0</v>
      </c>
      <c r="I3414" s="31">
        <v>0</v>
      </c>
      <c r="J3414" s="31">
        <v>0</v>
      </c>
      <c r="K3414" s="31">
        <v>0.3</v>
      </c>
      <c r="L3414" s="32">
        <v>0</v>
      </c>
      <c r="M3414" s="31">
        <v>0</v>
      </c>
      <c r="N3414" s="3"/>
      <c r="O3414" s="31">
        <v>0</v>
      </c>
      <c r="Q3414" s="32">
        <v>0</v>
      </c>
    </row>
    <row r="3415" spans="1:17" x14ac:dyDescent="0.25">
      <c r="A3415" s="22">
        <v>41766</v>
      </c>
      <c r="B3415" s="30" t="s">
        <v>9</v>
      </c>
      <c r="C3415" s="31">
        <v>0</v>
      </c>
      <c r="D3415" s="31">
        <v>0</v>
      </c>
      <c r="F3415" s="30" t="s">
        <v>9</v>
      </c>
      <c r="G3415" s="32">
        <v>0.7</v>
      </c>
      <c r="H3415" s="31">
        <v>0</v>
      </c>
      <c r="I3415" s="31">
        <v>0</v>
      </c>
      <c r="J3415" s="31">
        <v>0</v>
      </c>
      <c r="K3415" s="31">
        <v>0</v>
      </c>
      <c r="L3415" s="31">
        <v>0.7619999999999999</v>
      </c>
      <c r="M3415" s="31">
        <v>0</v>
      </c>
      <c r="N3415" s="3"/>
      <c r="O3415" s="31">
        <v>0</v>
      </c>
      <c r="Q3415" s="32">
        <v>0.6</v>
      </c>
    </row>
    <row r="3416" spans="1:17" x14ac:dyDescent="0.25">
      <c r="A3416" s="22">
        <v>41767</v>
      </c>
      <c r="B3416" s="30" t="s">
        <v>9</v>
      </c>
      <c r="C3416" s="31">
        <v>0.2</v>
      </c>
      <c r="D3416" s="31">
        <v>0</v>
      </c>
      <c r="F3416" s="30" t="s">
        <v>9</v>
      </c>
      <c r="G3416" s="32">
        <v>0</v>
      </c>
      <c r="H3416" s="31">
        <v>4.0999999999999996</v>
      </c>
      <c r="I3416" s="31">
        <v>0</v>
      </c>
      <c r="J3416" s="31">
        <v>4.0999999999999996</v>
      </c>
      <c r="K3416" s="31">
        <v>1.7</v>
      </c>
      <c r="L3416" s="32">
        <v>0</v>
      </c>
      <c r="M3416" s="31">
        <v>0</v>
      </c>
      <c r="N3416" s="3"/>
      <c r="O3416" s="31">
        <v>0</v>
      </c>
      <c r="Q3416" s="32">
        <v>0</v>
      </c>
    </row>
    <row r="3417" spans="1:17" x14ac:dyDescent="0.25">
      <c r="A3417" s="22">
        <v>41768</v>
      </c>
      <c r="B3417" s="30" t="s">
        <v>9</v>
      </c>
      <c r="C3417" s="31">
        <v>0</v>
      </c>
      <c r="D3417" s="31">
        <v>0</v>
      </c>
      <c r="F3417" s="30" t="s">
        <v>9</v>
      </c>
      <c r="G3417" s="32">
        <v>0</v>
      </c>
      <c r="H3417" s="31">
        <v>0</v>
      </c>
      <c r="I3417" s="31">
        <v>0</v>
      </c>
      <c r="J3417" s="31">
        <v>0</v>
      </c>
      <c r="K3417" s="31">
        <v>0</v>
      </c>
      <c r="L3417" s="32">
        <v>0</v>
      </c>
      <c r="M3417" s="31">
        <v>0</v>
      </c>
      <c r="N3417" s="3"/>
      <c r="O3417" s="31">
        <v>0</v>
      </c>
      <c r="Q3417" s="32">
        <v>0</v>
      </c>
    </row>
    <row r="3418" spans="1:17" x14ac:dyDescent="0.25">
      <c r="A3418" s="22">
        <v>41769</v>
      </c>
      <c r="B3418" s="30" t="s">
        <v>9</v>
      </c>
      <c r="C3418" s="31">
        <v>0</v>
      </c>
      <c r="D3418" s="31">
        <v>0</v>
      </c>
      <c r="F3418" s="30" t="s">
        <v>9</v>
      </c>
      <c r="G3418" s="32">
        <v>4.5999999999999996</v>
      </c>
      <c r="H3418" s="31">
        <v>0</v>
      </c>
      <c r="I3418" s="31">
        <v>0</v>
      </c>
      <c r="J3418" s="31">
        <v>0</v>
      </c>
      <c r="K3418" s="31">
        <v>0</v>
      </c>
      <c r="L3418" s="32">
        <v>0</v>
      </c>
      <c r="M3418" s="31">
        <v>0</v>
      </c>
      <c r="N3418" s="3"/>
      <c r="O3418" s="31">
        <v>0</v>
      </c>
      <c r="Q3418" s="32">
        <v>8.4</v>
      </c>
    </row>
    <row r="3419" spans="1:17" x14ac:dyDescent="0.25">
      <c r="A3419" s="22">
        <v>41770</v>
      </c>
      <c r="B3419" s="30" t="s">
        <v>9</v>
      </c>
      <c r="C3419" s="31">
        <v>0</v>
      </c>
      <c r="D3419" s="31">
        <v>2.9</v>
      </c>
      <c r="F3419" s="30" t="s">
        <v>9</v>
      </c>
      <c r="G3419" s="32">
        <v>2.2999999999999998</v>
      </c>
      <c r="H3419" s="31">
        <v>0</v>
      </c>
      <c r="I3419" s="31">
        <v>5</v>
      </c>
      <c r="J3419" s="31">
        <v>0</v>
      </c>
      <c r="K3419" s="31">
        <v>0</v>
      </c>
      <c r="L3419" s="31">
        <v>8.8899999999999988</v>
      </c>
      <c r="M3419" s="31">
        <v>4.5</v>
      </c>
      <c r="N3419" s="3"/>
      <c r="O3419" s="31">
        <v>2.794</v>
      </c>
      <c r="Q3419" s="32">
        <v>0</v>
      </c>
    </row>
    <row r="3420" spans="1:17" x14ac:dyDescent="0.25">
      <c r="A3420" s="22">
        <v>41771</v>
      </c>
      <c r="B3420" s="30" t="s">
        <v>9</v>
      </c>
      <c r="C3420" s="31">
        <v>1.8</v>
      </c>
      <c r="D3420" s="31">
        <v>0</v>
      </c>
      <c r="F3420" s="30" t="s">
        <v>9</v>
      </c>
      <c r="G3420" s="32">
        <v>2.6</v>
      </c>
      <c r="H3420" s="31">
        <v>0</v>
      </c>
      <c r="I3420" s="31">
        <v>0</v>
      </c>
      <c r="J3420" s="31">
        <v>0</v>
      </c>
      <c r="K3420" s="31">
        <v>0</v>
      </c>
      <c r="L3420" s="32">
        <v>0</v>
      </c>
      <c r="M3420" s="31">
        <v>3.8</v>
      </c>
      <c r="N3420" s="3"/>
      <c r="O3420" s="31">
        <v>0.254</v>
      </c>
      <c r="Q3420" s="32">
        <v>2.2000000000000002</v>
      </c>
    </row>
    <row r="3421" spans="1:17" x14ac:dyDescent="0.25">
      <c r="A3421" s="22">
        <v>41772</v>
      </c>
      <c r="B3421" s="30" t="s">
        <v>9</v>
      </c>
      <c r="C3421" s="31">
        <v>1.5</v>
      </c>
      <c r="D3421" s="31">
        <v>0</v>
      </c>
      <c r="F3421" s="30" t="s">
        <v>9</v>
      </c>
      <c r="G3421" s="32">
        <v>0.4</v>
      </c>
      <c r="H3421" s="31">
        <v>0</v>
      </c>
      <c r="I3421" s="31">
        <v>1.3</v>
      </c>
      <c r="J3421" s="31">
        <v>0</v>
      </c>
      <c r="K3421" s="31">
        <v>0</v>
      </c>
      <c r="L3421" s="32">
        <v>0</v>
      </c>
      <c r="M3421" s="31">
        <v>0</v>
      </c>
      <c r="N3421" s="3"/>
      <c r="O3421" s="31">
        <v>1.27</v>
      </c>
      <c r="Q3421" s="32">
        <v>0.3</v>
      </c>
    </row>
    <row r="3422" spans="1:17" x14ac:dyDescent="0.25">
      <c r="A3422" s="22">
        <v>41773</v>
      </c>
      <c r="B3422" s="30" t="s">
        <v>9</v>
      </c>
      <c r="C3422" s="31">
        <v>2.2000000000000002</v>
      </c>
      <c r="D3422" s="31">
        <v>6.7</v>
      </c>
      <c r="F3422" s="30" t="s">
        <v>9</v>
      </c>
      <c r="G3422" s="32">
        <v>0.5</v>
      </c>
      <c r="H3422" s="31">
        <v>0</v>
      </c>
      <c r="I3422" s="31">
        <v>0</v>
      </c>
      <c r="J3422" s="31">
        <v>0</v>
      </c>
      <c r="K3422" s="31">
        <v>0</v>
      </c>
      <c r="L3422" s="31">
        <v>1.27</v>
      </c>
      <c r="M3422" s="31">
        <v>0</v>
      </c>
      <c r="N3422" s="3"/>
      <c r="O3422" s="31">
        <v>2.54</v>
      </c>
      <c r="Q3422" s="32">
        <v>5.0999999999999996</v>
      </c>
    </row>
    <row r="3423" spans="1:17" x14ac:dyDescent="0.25">
      <c r="A3423" s="22">
        <v>41774</v>
      </c>
      <c r="B3423" s="30" t="s">
        <v>9</v>
      </c>
      <c r="C3423" s="31">
        <v>0</v>
      </c>
      <c r="D3423" s="31">
        <v>4.8</v>
      </c>
      <c r="F3423" s="30" t="s">
        <v>9</v>
      </c>
      <c r="G3423" s="32">
        <v>0</v>
      </c>
      <c r="H3423" s="31">
        <v>0</v>
      </c>
      <c r="I3423" s="31">
        <v>0.2</v>
      </c>
      <c r="J3423" s="31">
        <v>0</v>
      </c>
      <c r="K3423" s="31">
        <v>0</v>
      </c>
      <c r="L3423" s="31">
        <v>3.8099999999999996</v>
      </c>
      <c r="M3423" s="31">
        <v>0</v>
      </c>
      <c r="N3423" s="1"/>
      <c r="O3423" s="31">
        <v>1.27</v>
      </c>
      <c r="Q3423" s="32">
        <v>0</v>
      </c>
    </row>
    <row r="3424" spans="1:17" x14ac:dyDescent="0.25">
      <c r="A3424" s="22">
        <v>41775</v>
      </c>
      <c r="B3424" s="30" t="s">
        <v>9</v>
      </c>
      <c r="C3424" s="31">
        <v>0</v>
      </c>
      <c r="D3424" s="31">
        <v>0</v>
      </c>
      <c r="F3424" s="30" t="s">
        <v>9</v>
      </c>
      <c r="G3424" s="32">
        <v>0</v>
      </c>
      <c r="H3424" s="31">
        <v>0</v>
      </c>
      <c r="I3424" s="31">
        <v>0</v>
      </c>
      <c r="J3424" s="31">
        <v>0</v>
      </c>
      <c r="K3424" s="31">
        <v>0</v>
      </c>
      <c r="L3424" s="32">
        <v>0</v>
      </c>
      <c r="M3424" s="31">
        <v>0</v>
      </c>
      <c r="N3424" s="3"/>
      <c r="O3424" s="31">
        <v>0</v>
      </c>
      <c r="Q3424" s="32">
        <v>2.1</v>
      </c>
    </row>
    <row r="3425" spans="1:17" x14ac:dyDescent="0.25">
      <c r="A3425" s="22">
        <v>41776</v>
      </c>
      <c r="B3425" s="30" t="s">
        <v>9</v>
      </c>
      <c r="C3425" s="31">
        <v>0</v>
      </c>
      <c r="D3425" s="31">
        <v>0</v>
      </c>
      <c r="F3425" s="30" t="s">
        <v>9</v>
      </c>
      <c r="G3425" s="32">
        <v>0</v>
      </c>
      <c r="H3425" s="31">
        <v>0</v>
      </c>
      <c r="I3425" s="31">
        <v>0</v>
      </c>
      <c r="J3425" s="31">
        <v>0</v>
      </c>
      <c r="K3425" s="31">
        <v>0</v>
      </c>
      <c r="L3425" s="32">
        <v>0</v>
      </c>
      <c r="M3425" s="31">
        <v>0</v>
      </c>
      <c r="N3425" s="3"/>
      <c r="O3425" s="31">
        <v>0</v>
      </c>
      <c r="Q3425" s="32">
        <v>0</v>
      </c>
    </row>
    <row r="3426" spans="1:17" x14ac:dyDescent="0.25">
      <c r="A3426" s="22">
        <v>41777</v>
      </c>
      <c r="B3426" s="30" t="s">
        <v>9</v>
      </c>
      <c r="C3426" s="31">
        <v>0</v>
      </c>
      <c r="D3426" s="31">
        <v>0</v>
      </c>
      <c r="F3426" s="30" t="s">
        <v>9</v>
      </c>
      <c r="G3426" s="32">
        <v>0</v>
      </c>
      <c r="H3426" s="31">
        <v>0</v>
      </c>
      <c r="I3426" s="31">
        <v>0</v>
      </c>
      <c r="J3426" s="31">
        <v>0</v>
      </c>
      <c r="K3426" s="31">
        <v>0</v>
      </c>
      <c r="L3426" s="32">
        <v>0</v>
      </c>
      <c r="M3426" s="31">
        <v>0</v>
      </c>
      <c r="N3426" s="3"/>
      <c r="O3426" s="31">
        <v>0</v>
      </c>
      <c r="Q3426" s="32">
        <v>0</v>
      </c>
    </row>
    <row r="3427" spans="1:17" x14ac:dyDescent="0.25">
      <c r="A3427" s="22">
        <v>41778</v>
      </c>
      <c r="B3427" s="30" t="s">
        <v>9</v>
      </c>
      <c r="C3427" s="31">
        <v>0</v>
      </c>
      <c r="D3427" s="31">
        <v>0</v>
      </c>
      <c r="F3427" s="30" t="s">
        <v>9</v>
      </c>
      <c r="G3427" s="32">
        <v>0</v>
      </c>
      <c r="H3427" s="31">
        <v>0</v>
      </c>
      <c r="I3427" s="31">
        <v>0</v>
      </c>
      <c r="J3427" s="31">
        <v>0</v>
      </c>
      <c r="K3427" s="31">
        <v>11.1</v>
      </c>
      <c r="L3427" s="32">
        <v>0</v>
      </c>
      <c r="M3427" s="31">
        <v>0</v>
      </c>
      <c r="N3427" s="3"/>
      <c r="O3427" s="31">
        <v>0</v>
      </c>
      <c r="Q3427" s="32">
        <v>0.2</v>
      </c>
    </row>
    <row r="3428" spans="1:17" x14ac:dyDescent="0.25">
      <c r="A3428" s="22">
        <v>41779</v>
      </c>
      <c r="B3428" s="30" t="s">
        <v>9</v>
      </c>
      <c r="C3428" s="31">
        <v>0</v>
      </c>
      <c r="D3428" s="31">
        <v>0</v>
      </c>
      <c r="F3428" s="30" t="s">
        <v>9</v>
      </c>
      <c r="G3428" s="32">
        <v>0</v>
      </c>
      <c r="H3428" s="31">
        <v>0</v>
      </c>
      <c r="I3428" s="31">
        <v>0</v>
      </c>
      <c r="J3428" s="31">
        <v>0</v>
      </c>
      <c r="K3428" s="31">
        <v>0.7</v>
      </c>
      <c r="L3428" s="31">
        <v>1.27</v>
      </c>
      <c r="M3428" s="31">
        <v>0</v>
      </c>
      <c r="N3428" s="3"/>
      <c r="O3428" s="31">
        <v>0.254</v>
      </c>
      <c r="Q3428" s="32">
        <v>0</v>
      </c>
    </row>
    <row r="3429" spans="1:17" x14ac:dyDescent="0.25">
      <c r="A3429" s="22">
        <v>41780</v>
      </c>
      <c r="B3429" s="30" t="s">
        <v>9</v>
      </c>
      <c r="C3429" s="31">
        <v>0.1</v>
      </c>
      <c r="D3429" s="31">
        <v>0</v>
      </c>
      <c r="F3429" s="30" t="s">
        <v>9</v>
      </c>
      <c r="G3429" s="32">
        <v>0</v>
      </c>
      <c r="H3429" s="31">
        <v>0</v>
      </c>
      <c r="I3429" s="31">
        <v>0</v>
      </c>
      <c r="J3429" s="31">
        <v>0</v>
      </c>
      <c r="K3429" s="31">
        <v>1.5</v>
      </c>
      <c r="L3429" s="32">
        <v>0</v>
      </c>
      <c r="M3429" s="31">
        <v>0</v>
      </c>
      <c r="N3429" s="3"/>
      <c r="O3429" s="31">
        <v>0</v>
      </c>
      <c r="Q3429" s="32">
        <v>0</v>
      </c>
    </row>
    <row r="3430" spans="1:17" x14ac:dyDescent="0.25">
      <c r="A3430" s="22">
        <v>41781</v>
      </c>
      <c r="B3430" s="30" t="s">
        <v>9</v>
      </c>
      <c r="C3430" s="31">
        <v>0</v>
      </c>
      <c r="D3430" s="31">
        <v>0</v>
      </c>
      <c r="F3430" s="30" t="s">
        <v>9</v>
      </c>
      <c r="G3430" s="32">
        <v>1.8</v>
      </c>
      <c r="H3430" s="31">
        <v>0</v>
      </c>
      <c r="I3430" s="31">
        <v>0</v>
      </c>
      <c r="J3430" s="31">
        <v>0</v>
      </c>
      <c r="K3430" s="31">
        <v>0.3</v>
      </c>
      <c r="L3430" s="32">
        <v>0</v>
      </c>
      <c r="M3430" s="31">
        <v>0</v>
      </c>
      <c r="N3430" s="3"/>
      <c r="O3430" s="31">
        <v>0</v>
      </c>
      <c r="Q3430" s="32">
        <v>0.6</v>
      </c>
    </row>
    <row r="3431" spans="1:17" x14ac:dyDescent="0.25">
      <c r="A3431" s="22">
        <v>41782</v>
      </c>
      <c r="B3431" s="30" t="s">
        <v>9</v>
      </c>
      <c r="C3431" s="31">
        <v>2</v>
      </c>
      <c r="D3431" s="31">
        <v>3</v>
      </c>
      <c r="F3431" s="30" t="s">
        <v>9</v>
      </c>
      <c r="G3431" s="32">
        <v>1.2</v>
      </c>
      <c r="H3431" s="31">
        <v>0</v>
      </c>
      <c r="I3431" s="31">
        <v>0</v>
      </c>
      <c r="J3431" s="31">
        <v>0</v>
      </c>
      <c r="K3431" s="31">
        <v>0</v>
      </c>
      <c r="L3431" s="32">
        <v>0</v>
      </c>
      <c r="M3431" s="31">
        <v>0</v>
      </c>
      <c r="N3431" s="3"/>
      <c r="O3431" s="31">
        <v>3.302</v>
      </c>
      <c r="Q3431" s="32">
        <v>0.9</v>
      </c>
    </row>
    <row r="3432" spans="1:17" x14ac:dyDescent="0.25">
      <c r="A3432" s="22">
        <v>41783</v>
      </c>
      <c r="B3432" s="30" t="s">
        <v>9</v>
      </c>
      <c r="C3432" s="31">
        <v>1.2</v>
      </c>
      <c r="D3432" s="31">
        <v>1.7</v>
      </c>
      <c r="F3432" s="30" t="s">
        <v>9</v>
      </c>
      <c r="G3432" s="32">
        <v>0</v>
      </c>
      <c r="H3432" s="31">
        <v>0.5</v>
      </c>
      <c r="I3432" s="31">
        <v>0</v>
      </c>
      <c r="J3432" s="31">
        <v>0.5</v>
      </c>
      <c r="K3432" s="31">
        <v>1</v>
      </c>
      <c r="L3432" s="32">
        <v>0</v>
      </c>
      <c r="M3432" s="31">
        <v>0</v>
      </c>
      <c r="N3432" s="3"/>
      <c r="O3432" s="31">
        <v>1.27</v>
      </c>
      <c r="Q3432" s="32">
        <v>0</v>
      </c>
    </row>
    <row r="3433" spans="1:17" x14ac:dyDescent="0.25">
      <c r="A3433" s="22">
        <v>41784</v>
      </c>
      <c r="B3433" s="30" t="s">
        <v>9</v>
      </c>
      <c r="C3433" s="31">
        <v>2</v>
      </c>
      <c r="D3433" s="31">
        <v>4.9000000000000004</v>
      </c>
      <c r="F3433" s="30" t="s">
        <v>9</v>
      </c>
      <c r="G3433" s="32">
        <v>1.5</v>
      </c>
      <c r="H3433" s="31">
        <v>0</v>
      </c>
      <c r="I3433" s="31">
        <v>0</v>
      </c>
      <c r="J3433" s="31">
        <v>0</v>
      </c>
      <c r="K3433" s="31">
        <v>9</v>
      </c>
      <c r="L3433" s="31">
        <v>1.27</v>
      </c>
      <c r="M3433" s="31">
        <v>0</v>
      </c>
      <c r="N3433" s="3"/>
      <c r="O3433" s="31">
        <v>1.27</v>
      </c>
      <c r="Q3433" s="32">
        <v>0</v>
      </c>
    </row>
    <row r="3434" spans="1:17" x14ac:dyDescent="0.25">
      <c r="A3434" s="22">
        <v>41785</v>
      </c>
      <c r="B3434" s="30" t="s">
        <v>9</v>
      </c>
      <c r="C3434" s="31">
        <v>0.1</v>
      </c>
      <c r="D3434" s="31">
        <v>1.1000000000000001</v>
      </c>
      <c r="F3434" s="30" t="s">
        <v>9</v>
      </c>
      <c r="G3434" s="32">
        <v>2.1</v>
      </c>
      <c r="H3434" s="31">
        <v>0</v>
      </c>
      <c r="I3434" s="31">
        <v>0</v>
      </c>
      <c r="J3434" s="31">
        <v>0</v>
      </c>
      <c r="K3434" s="31">
        <v>1.6</v>
      </c>
      <c r="L3434" s="32">
        <v>0</v>
      </c>
      <c r="M3434" s="31">
        <v>0</v>
      </c>
      <c r="N3434" s="3"/>
      <c r="O3434" s="31">
        <v>0.50800000000000001</v>
      </c>
      <c r="Q3434" s="32">
        <v>2.1</v>
      </c>
    </row>
    <row r="3435" spans="1:17" x14ac:dyDescent="0.25">
      <c r="A3435" s="22">
        <v>41786</v>
      </c>
      <c r="B3435" s="30" t="s">
        <v>9</v>
      </c>
      <c r="C3435" s="31">
        <v>2.4</v>
      </c>
      <c r="D3435" s="31">
        <v>3</v>
      </c>
      <c r="F3435" s="30" t="s">
        <v>9</v>
      </c>
      <c r="G3435" s="32">
        <v>5.5</v>
      </c>
      <c r="H3435" s="31">
        <v>0</v>
      </c>
      <c r="I3435" s="31">
        <v>0</v>
      </c>
      <c r="J3435" s="31">
        <v>0</v>
      </c>
      <c r="K3435" s="31">
        <v>2.2999999999999998</v>
      </c>
      <c r="L3435" s="31">
        <v>2.794</v>
      </c>
      <c r="M3435" s="31">
        <v>0</v>
      </c>
      <c r="N3435" s="3"/>
      <c r="O3435" s="31">
        <v>1.27</v>
      </c>
      <c r="Q3435" s="32">
        <v>0</v>
      </c>
    </row>
    <row r="3436" spans="1:17" x14ac:dyDescent="0.25">
      <c r="A3436" s="22">
        <v>41787</v>
      </c>
      <c r="B3436" s="30" t="s">
        <v>9</v>
      </c>
      <c r="C3436" s="31">
        <v>0.9</v>
      </c>
      <c r="D3436" s="31">
        <v>0.3</v>
      </c>
      <c r="F3436" s="30" t="s">
        <v>9</v>
      </c>
      <c r="G3436" s="32">
        <v>13.1</v>
      </c>
      <c r="H3436" s="31">
        <v>4.5</v>
      </c>
      <c r="I3436" s="31">
        <v>0</v>
      </c>
      <c r="J3436" s="31">
        <v>4.5</v>
      </c>
      <c r="K3436" s="31">
        <v>1.1000000000000001</v>
      </c>
      <c r="L3436" s="32">
        <v>0</v>
      </c>
      <c r="M3436" s="31">
        <v>0</v>
      </c>
      <c r="N3436" s="3"/>
      <c r="O3436" s="31">
        <v>0.254</v>
      </c>
      <c r="Q3436" s="32">
        <v>0.9</v>
      </c>
    </row>
    <row r="3437" spans="1:17" x14ac:dyDescent="0.25">
      <c r="A3437" s="22">
        <v>41788</v>
      </c>
      <c r="B3437" s="30" t="s">
        <v>9</v>
      </c>
      <c r="C3437" s="31">
        <v>2.6</v>
      </c>
      <c r="D3437" s="31">
        <v>3.2</v>
      </c>
      <c r="F3437" s="30" t="s">
        <v>9</v>
      </c>
      <c r="G3437" s="32">
        <v>0</v>
      </c>
      <c r="H3437" s="31">
        <v>10.199999999999999</v>
      </c>
      <c r="I3437" s="31">
        <v>0</v>
      </c>
      <c r="J3437" s="31">
        <v>10.199999999999999</v>
      </c>
      <c r="K3437" s="31">
        <v>2.6</v>
      </c>
      <c r="L3437" s="31">
        <v>0.7619999999999999</v>
      </c>
      <c r="M3437" s="31">
        <v>0</v>
      </c>
      <c r="N3437" s="3"/>
      <c r="O3437" s="31">
        <v>1.27</v>
      </c>
      <c r="Q3437" s="32">
        <v>0</v>
      </c>
    </row>
    <row r="3438" spans="1:17" x14ac:dyDescent="0.25">
      <c r="A3438" s="22">
        <v>41789</v>
      </c>
      <c r="B3438" s="30" t="s">
        <v>9</v>
      </c>
      <c r="C3438" s="31">
        <v>0.5</v>
      </c>
      <c r="D3438" s="31">
        <v>1.4</v>
      </c>
      <c r="F3438" s="30" t="s">
        <v>9</v>
      </c>
      <c r="G3438" s="32">
        <v>5.0999999999999996</v>
      </c>
      <c r="H3438" s="31">
        <v>0</v>
      </c>
      <c r="I3438" s="31">
        <v>0</v>
      </c>
      <c r="J3438" s="31">
        <v>0</v>
      </c>
      <c r="K3438" s="31">
        <v>0</v>
      </c>
      <c r="L3438" s="32">
        <v>0</v>
      </c>
      <c r="M3438" s="31">
        <v>0</v>
      </c>
      <c r="N3438" s="3"/>
      <c r="O3438" s="31">
        <v>0</v>
      </c>
      <c r="Q3438" s="32">
        <v>4.8</v>
      </c>
    </row>
    <row r="3439" spans="1:17" x14ac:dyDescent="0.25">
      <c r="A3439" s="22">
        <v>41790</v>
      </c>
      <c r="B3439" s="30" t="s">
        <v>9</v>
      </c>
      <c r="C3439" s="31">
        <v>7</v>
      </c>
      <c r="D3439" s="31">
        <v>7.8</v>
      </c>
      <c r="F3439" s="30" t="s">
        <v>9</v>
      </c>
      <c r="G3439" s="32">
        <v>0.6</v>
      </c>
      <c r="H3439" s="31">
        <v>0</v>
      </c>
      <c r="I3439" s="31">
        <v>0</v>
      </c>
      <c r="J3439" s="31">
        <v>0</v>
      </c>
      <c r="K3439" s="31">
        <v>0</v>
      </c>
      <c r="L3439" s="31">
        <v>4.0640000000000001</v>
      </c>
      <c r="M3439" s="31">
        <v>0</v>
      </c>
      <c r="N3439" s="3"/>
      <c r="O3439" s="31">
        <v>8.1280000000000001</v>
      </c>
      <c r="Q3439" s="32">
        <v>1.4</v>
      </c>
    </row>
    <row r="3440" spans="1:17" x14ac:dyDescent="0.25">
      <c r="A3440" s="22">
        <v>41791</v>
      </c>
      <c r="B3440" s="31">
        <v>0</v>
      </c>
      <c r="C3440" s="31">
        <v>0</v>
      </c>
      <c r="D3440" s="31">
        <v>0</v>
      </c>
      <c r="F3440" s="31">
        <v>0</v>
      </c>
      <c r="G3440" s="32">
        <v>0</v>
      </c>
      <c r="H3440" s="31">
        <v>0</v>
      </c>
      <c r="I3440" s="31">
        <v>0</v>
      </c>
      <c r="J3440" s="31">
        <v>1.2</v>
      </c>
      <c r="K3440" s="31">
        <v>5</v>
      </c>
      <c r="L3440" s="32">
        <v>0</v>
      </c>
      <c r="M3440" s="31">
        <v>0</v>
      </c>
      <c r="N3440" s="3"/>
      <c r="O3440" s="31">
        <v>0.7619999999999999</v>
      </c>
      <c r="Q3440" s="32">
        <v>3.1</v>
      </c>
    </row>
    <row r="3441" spans="1:17" x14ac:dyDescent="0.25">
      <c r="A3441" s="22">
        <v>41792</v>
      </c>
      <c r="B3441" s="31">
        <v>0</v>
      </c>
      <c r="C3441" s="31">
        <v>2.5</v>
      </c>
      <c r="D3441" s="31">
        <v>3.8</v>
      </c>
      <c r="F3441" s="31">
        <v>0</v>
      </c>
      <c r="G3441" s="32">
        <v>0</v>
      </c>
      <c r="H3441" s="31">
        <v>0</v>
      </c>
      <c r="I3441" s="31">
        <v>0</v>
      </c>
      <c r="J3441" s="31">
        <v>1.1000000000000001</v>
      </c>
      <c r="K3441" s="31">
        <v>0</v>
      </c>
      <c r="L3441" s="32">
        <v>3.8099999999999996</v>
      </c>
      <c r="M3441" s="31">
        <v>0</v>
      </c>
      <c r="N3441" s="3"/>
      <c r="O3441" s="31">
        <v>2.794</v>
      </c>
      <c r="Q3441" s="32">
        <v>0.6</v>
      </c>
    </row>
    <row r="3442" spans="1:17" x14ac:dyDescent="0.25">
      <c r="A3442" s="22">
        <v>41793</v>
      </c>
      <c r="B3442" s="31">
        <v>0</v>
      </c>
      <c r="C3442" s="31">
        <v>0</v>
      </c>
      <c r="D3442" s="31">
        <v>0</v>
      </c>
      <c r="F3442" s="31">
        <v>0</v>
      </c>
      <c r="G3442" s="32">
        <v>0</v>
      </c>
      <c r="H3442" s="31">
        <v>0</v>
      </c>
      <c r="I3442" s="31">
        <v>0</v>
      </c>
      <c r="J3442" s="31">
        <v>0</v>
      </c>
      <c r="K3442" s="31">
        <v>0</v>
      </c>
      <c r="L3442" s="32">
        <v>0</v>
      </c>
      <c r="M3442" s="31">
        <v>0</v>
      </c>
      <c r="N3442" s="3"/>
      <c r="O3442" s="31">
        <v>0.7619999999999999</v>
      </c>
      <c r="Q3442" s="32">
        <v>0</v>
      </c>
    </row>
    <row r="3443" spans="1:17" x14ac:dyDescent="0.25">
      <c r="A3443" s="22">
        <v>41794</v>
      </c>
      <c r="B3443" s="31">
        <v>0</v>
      </c>
      <c r="C3443" s="31">
        <v>2.9</v>
      </c>
      <c r="D3443" s="31">
        <v>3.8</v>
      </c>
      <c r="F3443" s="31">
        <v>0</v>
      </c>
      <c r="G3443" s="32">
        <v>0</v>
      </c>
      <c r="H3443" s="31">
        <v>0</v>
      </c>
      <c r="I3443" s="31">
        <v>0</v>
      </c>
      <c r="J3443" s="31">
        <v>0.05</v>
      </c>
      <c r="K3443" s="31">
        <v>0</v>
      </c>
      <c r="L3443" s="32">
        <v>0</v>
      </c>
      <c r="M3443" s="31">
        <v>0</v>
      </c>
      <c r="N3443" s="3"/>
      <c r="O3443" s="31">
        <v>2.54</v>
      </c>
      <c r="Q3443" s="32">
        <v>0</v>
      </c>
    </row>
    <row r="3444" spans="1:17" x14ac:dyDescent="0.25">
      <c r="A3444" s="22">
        <v>41795</v>
      </c>
      <c r="B3444" s="31">
        <v>0</v>
      </c>
      <c r="C3444" s="31">
        <v>0</v>
      </c>
      <c r="D3444" s="31">
        <v>0</v>
      </c>
      <c r="F3444" s="31">
        <v>0</v>
      </c>
      <c r="G3444" s="32">
        <v>6.5</v>
      </c>
      <c r="H3444" s="31">
        <v>0</v>
      </c>
      <c r="I3444" s="31">
        <v>0</v>
      </c>
      <c r="J3444" s="31">
        <v>0.04</v>
      </c>
      <c r="K3444" s="31">
        <v>0</v>
      </c>
      <c r="L3444" s="32">
        <v>0</v>
      </c>
      <c r="M3444" s="31">
        <v>0</v>
      </c>
      <c r="N3444" s="3"/>
      <c r="O3444" s="31">
        <v>0</v>
      </c>
      <c r="Q3444" s="32">
        <v>0</v>
      </c>
    </row>
    <row r="3445" spans="1:17" x14ac:dyDescent="0.25">
      <c r="A3445" s="22">
        <v>41796</v>
      </c>
      <c r="B3445" s="31">
        <v>0</v>
      </c>
      <c r="C3445" s="31">
        <v>0</v>
      </c>
      <c r="D3445" s="31">
        <v>11</v>
      </c>
      <c r="F3445" s="31">
        <v>0</v>
      </c>
      <c r="G3445" s="32">
        <v>0.5</v>
      </c>
      <c r="H3445" s="31">
        <v>7</v>
      </c>
      <c r="I3445" s="31">
        <v>0</v>
      </c>
      <c r="J3445" s="31">
        <v>7</v>
      </c>
      <c r="K3445" s="31">
        <v>0</v>
      </c>
      <c r="L3445" s="32">
        <v>0</v>
      </c>
      <c r="M3445" s="31">
        <v>0</v>
      </c>
      <c r="N3445" s="3"/>
      <c r="O3445" s="31">
        <v>0.254</v>
      </c>
      <c r="Q3445" s="32">
        <v>0.1</v>
      </c>
    </row>
    <row r="3446" spans="1:17" x14ac:dyDescent="0.25">
      <c r="A3446" s="22">
        <v>41797</v>
      </c>
      <c r="B3446" s="31">
        <v>0</v>
      </c>
      <c r="C3446" s="31">
        <v>0</v>
      </c>
      <c r="D3446" s="31">
        <v>0</v>
      </c>
      <c r="F3446" s="31">
        <v>0</v>
      </c>
      <c r="G3446" s="32">
        <v>6.4</v>
      </c>
      <c r="H3446" s="31">
        <v>0</v>
      </c>
      <c r="I3446" s="31">
        <v>4.5</v>
      </c>
      <c r="J3446" s="31">
        <v>0.04</v>
      </c>
      <c r="K3446" s="31">
        <v>0</v>
      </c>
      <c r="L3446" s="31">
        <v>0</v>
      </c>
      <c r="M3446" s="31">
        <v>0</v>
      </c>
      <c r="N3446" s="3"/>
      <c r="O3446" s="31">
        <v>0</v>
      </c>
      <c r="Q3446" s="32">
        <v>0.2</v>
      </c>
    </row>
    <row r="3447" spans="1:17" x14ac:dyDescent="0.25">
      <c r="A3447" s="22">
        <v>41798</v>
      </c>
      <c r="B3447" s="31">
        <v>0</v>
      </c>
      <c r="C3447" s="31">
        <v>0</v>
      </c>
      <c r="D3447" s="31">
        <v>4.3</v>
      </c>
      <c r="F3447" s="31">
        <v>0</v>
      </c>
      <c r="G3447" s="32">
        <v>2.5</v>
      </c>
      <c r="H3447" s="31">
        <v>5.4</v>
      </c>
      <c r="I3447" s="31">
        <v>1</v>
      </c>
      <c r="J3447" s="31">
        <v>7.6</v>
      </c>
      <c r="K3447" s="31">
        <v>0</v>
      </c>
      <c r="L3447" s="32">
        <v>3.302</v>
      </c>
      <c r="M3447" s="31">
        <v>0</v>
      </c>
      <c r="N3447" s="3"/>
      <c r="O3447" s="31">
        <v>2.54</v>
      </c>
      <c r="Q3447" s="32">
        <v>0</v>
      </c>
    </row>
    <row r="3448" spans="1:17" x14ac:dyDescent="0.25">
      <c r="A3448" s="22">
        <v>41799</v>
      </c>
      <c r="B3448" s="31">
        <v>0</v>
      </c>
      <c r="C3448" s="31">
        <v>0</v>
      </c>
      <c r="D3448" s="31">
        <v>1.9</v>
      </c>
      <c r="F3448" s="31">
        <v>0</v>
      </c>
      <c r="G3448" s="32">
        <v>9.1</v>
      </c>
      <c r="H3448" s="31">
        <v>0</v>
      </c>
      <c r="I3448" s="31">
        <v>4.2</v>
      </c>
      <c r="J3448" s="31">
        <v>7.0000000000000007E-2</v>
      </c>
      <c r="K3448" s="31">
        <v>0</v>
      </c>
      <c r="L3448" s="32">
        <v>0</v>
      </c>
      <c r="M3448" s="31">
        <v>0</v>
      </c>
      <c r="N3448" s="3"/>
      <c r="O3448" s="31">
        <v>2.54</v>
      </c>
      <c r="Q3448" s="32">
        <v>17.399999999999999</v>
      </c>
    </row>
    <row r="3449" spans="1:17" x14ac:dyDescent="0.25">
      <c r="A3449" s="22">
        <v>41800</v>
      </c>
      <c r="B3449" s="31">
        <v>0</v>
      </c>
      <c r="C3449" s="31">
        <v>21.3</v>
      </c>
      <c r="D3449" s="31">
        <v>20.7</v>
      </c>
      <c r="F3449" s="31">
        <v>10.1</v>
      </c>
      <c r="G3449" s="32">
        <v>1.1000000000000001</v>
      </c>
      <c r="H3449" s="31">
        <v>6.5</v>
      </c>
      <c r="I3449" s="31">
        <v>5.3</v>
      </c>
      <c r="J3449" s="31">
        <v>20.3</v>
      </c>
      <c r="K3449" s="31">
        <v>23</v>
      </c>
      <c r="L3449" s="32">
        <v>22.605999999999998</v>
      </c>
      <c r="M3449" s="31">
        <v>0</v>
      </c>
      <c r="N3449" s="3"/>
      <c r="O3449" s="31">
        <v>20.32</v>
      </c>
      <c r="Q3449" s="32">
        <v>0.4</v>
      </c>
    </row>
    <row r="3450" spans="1:17" x14ac:dyDescent="0.25">
      <c r="A3450" s="22">
        <v>41801</v>
      </c>
      <c r="B3450" s="31">
        <v>0</v>
      </c>
      <c r="C3450" s="31">
        <v>2.6</v>
      </c>
      <c r="D3450" s="31">
        <v>4.7</v>
      </c>
      <c r="F3450" s="31">
        <v>0</v>
      </c>
      <c r="G3450" s="32">
        <v>0</v>
      </c>
      <c r="H3450" s="31">
        <v>0</v>
      </c>
      <c r="I3450" s="31">
        <v>0</v>
      </c>
      <c r="J3450" s="31">
        <v>0.04</v>
      </c>
      <c r="K3450" s="31">
        <v>19.2</v>
      </c>
      <c r="L3450" s="31">
        <v>225.80599999999995</v>
      </c>
      <c r="M3450" s="31">
        <v>4.5</v>
      </c>
      <c r="N3450" s="3"/>
      <c r="O3450" s="31">
        <v>2.54</v>
      </c>
      <c r="Q3450" s="32">
        <v>0</v>
      </c>
    </row>
    <row r="3451" spans="1:17" x14ac:dyDescent="0.25">
      <c r="A3451" s="22">
        <v>41802</v>
      </c>
      <c r="B3451" s="31">
        <v>0</v>
      </c>
      <c r="C3451" s="31">
        <v>0</v>
      </c>
      <c r="D3451" s="31">
        <v>0</v>
      </c>
      <c r="F3451" s="31">
        <v>0</v>
      </c>
      <c r="G3451" s="32">
        <v>10.5</v>
      </c>
      <c r="H3451" s="31">
        <v>0</v>
      </c>
      <c r="I3451" s="31">
        <v>0</v>
      </c>
      <c r="J3451" s="31">
        <v>0</v>
      </c>
      <c r="K3451" s="31">
        <v>0</v>
      </c>
      <c r="L3451" s="32">
        <v>0</v>
      </c>
      <c r="M3451" s="31">
        <v>3.8</v>
      </c>
      <c r="N3451" s="3"/>
      <c r="O3451" s="31">
        <v>0</v>
      </c>
      <c r="Q3451" s="32">
        <v>1.4</v>
      </c>
    </row>
    <row r="3452" spans="1:17" x14ac:dyDescent="0.25">
      <c r="A3452" s="22">
        <v>41803</v>
      </c>
      <c r="B3452" s="31">
        <v>0</v>
      </c>
      <c r="C3452" s="31">
        <v>3.5</v>
      </c>
      <c r="D3452" s="31">
        <v>7.2</v>
      </c>
      <c r="F3452" s="31">
        <v>0</v>
      </c>
      <c r="G3452" s="32">
        <v>2.6</v>
      </c>
      <c r="H3452" s="31">
        <v>11</v>
      </c>
      <c r="I3452" s="31">
        <v>0</v>
      </c>
      <c r="J3452" s="31">
        <v>12.9</v>
      </c>
      <c r="K3452" s="31">
        <v>0</v>
      </c>
      <c r="L3452" s="32">
        <v>3.556</v>
      </c>
      <c r="M3452" s="31">
        <v>0</v>
      </c>
      <c r="N3452" s="3"/>
      <c r="O3452" s="31">
        <v>5.8419999999999996</v>
      </c>
      <c r="Q3452" s="32">
        <v>2.2999999999999998</v>
      </c>
    </row>
    <row r="3453" spans="1:17" x14ac:dyDescent="0.25">
      <c r="A3453" s="22">
        <v>41804</v>
      </c>
      <c r="B3453" s="31">
        <v>149.19999999999999</v>
      </c>
      <c r="C3453" s="31">
        <v>4.7</v>
      </c>
      <c r="D3453" s="31">
        <v>4.3</v>
      </c>
      <c r="F3453" s="31">
        <v>0</v>
      </c>
      <c r="G3453" s="32">
        <v>41.2</v>
      </c>
      <c r="H3453" s="31">
        <v>1.4</v>
      </c>
      <c r="I3453" s="31">
        <v>0</v>
      </c>
      <c r="J3453" s="31">
        <v>5.09</v>
      </c>
      <c r="K3453" s="31">
        <v>18.2</v>
      </c>
      <c r="L3453" s="31">
        <v>0.7619999999999999</v>
      </c>
      <c r="M3453" s="31">
        <v>0</v>
      </c>
      <c r="N3453" s="3"/>
      <c r="O3453" s="31">
        <v>7.6199999999999992</v>
      </c>
      <c r="Q3453" s="32">
        <v>37.1</v>
      </c>
    </row>
    <row r="3454" spans="1:17" x14ac:dyDescent="0.25">
      <c r="A3454" s="22">
        <v>41805</v>
      </c>
      <c r="B3454" s="31">
        <v>0</v>
      </c>
      <c r="C3454" s="31">
        <v>46.5</v>
      </c>
      <c r="D3454" s="31">
        <v>51.2</v>
      </c>
      <c r="F3454" s="31">
        <v>37.9</v>
      </c>
      <c r="G3454" s="32">
        <v>1</v>
      </c>
      <c r="H3454" s="31">
        <v>31.6</v>
      </c>
      <c r="I3454" s="31">
        <v>51.3</v>
      </c>
      <c r="J3454" s="31">
        <v>53</v>
      </c>
      <c r="K3454" s="31">
        <v>0</v>
      </c>
      <c r="L3454" s="31">
        <v>44.449999999999996</v>
      </c>
      <c r="M3454" s="31">
        <v>0</v>
      </c>
      <c r="N3454" s="1"/>
      <c r="O3454" s="31">
        <v>50.037999999999997</v>
      </c>
      <c r="Q3454" s="32">
        <v>0.6</v>
      </c>
    </row>
    <row r="3455" spans="1:17" x14ac:dyDescent="0.25">
      <c r="A3455" s="22">
        <v>41806</v>
      </c>
      <c r="B3455" s="31">
        <v>0</v>
      </c>
      <c r="C3455" s="31">
        <v>0</v>
      </c>
      <c r="D3455" s="31">
        <v>0.7</v>
      </c>
      <c r="F3455" s="31">
        <v>0</v>
      </c>
      <c r="G3455" s="32">
        <v>0</v>
      </c>
      <c r="H3455" s="31">
        <v>0</v>
      </c>
      <c r="I3455" s="31">
        <v>0</v>
      </c>
      <c r="J3455" s="31">
        <v>6.5</v>
      </c>
      <c r="K3455" s="31">
        <v>0</v>
      </c>
      <c r="L3455" s="32">
        <v>0.254</v>
      </c>
      <c r="M3455" s="31">
        <v>0</v>
      </c>
      <c r="N3455" s="3"/>
      <c r="O3455" s="31">
        <v>2.54</v>
      </c>
      <c r="Q3455" s="32">
        <v>0</v>
      </c>
    </row>
    <row r="3456" spans="1:17" x14ac:dyDescent="0.25">
      <c r="A3456" s="22">
        <v>41807</v>
      </c>
      <c r="B3456" s="31">
        <v>0</v>
      </c>
      <c r="C3456" s="31">
        <v>0</v>
      </c>
      <c r="D3456" s="31">
        <v>7</v>
      </c>
      <c r="F3456" s="31">
        <v>0</v>
      </c>
      <c r="G3456" s="32">
        <v>11.5</v>
      </c>
      <c r="H3456" s="31">
        <v>0</v>
      </c>
      <c r="I3456" s="31">
        <v>0</v>
      </c>
      <c r="J3456" s="31">
        <v>0.4</v>
      </c>
      <c r="K3456" s="31">
        <v>0</v>
      </c>
      <c r="L3456" s="32">
        <v>1.016</v>
      </c>
      <c r="M3456" s="31">
        <v>0</v>
      </c>
      <c r="N3456" s="3"/>
      <c r="O3456" s="31">
        <v>0.50800000000000001</v>
      </c>
      <c r="Q3456" s="32">
        <v>8.1</v>
      </c>
    </row>
    <row r="3457" spans="1:17" x14ac:dyDescent="0.25">
      <c r="A3457" s="22">
        <v>41808</v>
      </c>
      <c r="B3457" s="31">
        <v>0</v>
      </c>
      <c r="C3457" s="31">
        <v>1.8</v>
      </c>
      <c r="D3457" s="31">
        <v>2</v>
      </c>
      <c r="F3457" s="31">
        <v>0</v>
      </c>
      <c r="G3457" s="32">
        <v>0</v>
      </c>
      <c r="H3457" s="31">
        <v>1</v>
      </c>
      <c r="I3457" s="31">
        <v>6.5</v>
      </c>
      <c r="J3457" s="31">
        <v>5.04</v>
      </c>
      <c r="K3457" s="31">
        <v>0</v>
      </c>
      <c r="L3457" s="32">
        <v>6.6040000000000001</v>
      </c>
      <c r="M3457" s="31">
        <v>0</v>
      </c>
      <c r="N3457" s="3"/>
      <c r="O3457" s="31">
        <v>2.54</v>
      </c>
      <c r="Q3457" s="32">
        <v>0</v>
      </c>
    </row>
    <row r="3458" spans="1:17" x14ac:dyDescent="0.25">
      <c r="A3458" s="22">
        <v>41809</v>
      </c>
      <c r="B3458" s="31">
        <v>0</v>
      </c>
      <c r="C3458" s="31">
        <v>0</v>
      </c>
      <c r="D3458" s="31">
        <v>0</v>
      </c>
      <c r="F3458" s="31">
        <v>0</v>
      </c>
      <c r="G3458" s="32">
        <v>2.5</v>
      </c>
      <c r="H3458" s="31">
        <v>0</v>
      </c>
      <c r="I3458" s="31">
        <v>0</v>
      </c>
      <c r="J3458" s="31">
        <v>0.1</v>
      </c>
      <c r="K3458" s="31">
        <v>0</v>
      </c>
      <c r="L3458" s="32">
        <v>0</v>
      </c>
      <c r="M3458" s="31">
        <v>0</v>
      </c>
      <c r="N3458" s="3"/>
      <c r="O3458" s="31">
        <v>1.27</v>
      </c>
      <c r="Q3458" s="32">
        <v>14.5</v>
      </c>
    </row>
    <row r="3459" spans="1:17" x14ac:dyDescent="0.25">
      <c r="A3459" s="22">
        <v>41810</v>
      </c>
      <c r="B3459" s="31">
        <v>24.3</v>
      </c>
      <c r="C3459" s="31">
        <v>4.8</v>
      </c>
      <c r="D3459" s="31">
        <v>8.5</v>
      </c>
      <c r="F3459" s="31">
        <v>1.7</v>
      </c>
      <c r="G3459" s="32">
        <v>1.5</v>
      </c>
      <c r="H3459" s="31">
        <v>2.2999999999999998</v>
      </c>
      <c r="I3459" s="31">
        <v>0</v>
      </c>
      <c r="J3459" s="31">
        <v>2.1</v>
      </c>
      <c r="K3459" s="31">
        <v>0</v>
      </c>
      <c r="L3459" s="31">
        <v>6.0959999999999992</v>
      </c>
      <c r="M3459" s="31">
        <v>0</v>
      </c>
      <c r="N3459" s="3"/>
      <c r="O3459" s="31">
        <v>9.3979999999999997</v>
      </c>
      <c r="Q3459" s="32">
        <v>2.6</v>
      </c>
    </row>
    <row r="3460" spans="1:17" x14ac:dyDescent="0.25">
      <c r="A3460" s="22">
        <v>41811</v>
      </c>
      <c r="B3460" s="31">
        <v>0</v>
      </c>
      <c r="C3460" s="31">
        <v>0.6</v>
      </c>
      <c r="D3460" s="31">
        <v>0</v>
      </c>
      <c r="F3460" s="31">
        <v>0</v>
      </c>
      <c r="G3460" s="32">
        <v>0</v>
      </c>
      <c r="H3460" s="31">
        <v>0</v>
      </c>
      <c r="I3460" s="31">
        <v>0</v>
      </c>
      <c r="J3460" s="31">
        <v>0</v>
      </c>
      <c r="K3460" s="31">
        <v>0</v>
      </c>
      <c r="L3460" s="32">
        <v>0.7619999999999999</v>
      </c>
      <c r="M3460" s="31">
        <v>0</v>
      </c>
      <c r="N3460" s="3"/>
      <c r="O3460" s="31">
        <v>8.8899999999999988</v>
      </c>
      <c r="Q3460" s="32">
        <v>0</v>
      </c>
    </row>
    <row r="3461" spans="1:17" x14ac:dyDescent="0.25">
      <c r="A3461" s="22">
        <v>41812</v>
      </c>
      <c r="B3461" s="31">
        <v>0</v>
      </c>
      <c r="C3461" s="31">
        <v>0</v>
      </c>
      <c r="D3461" s="31">
        <v>0</v>
      </c>
      <c r="F3461" s="31">
        <v>0</v>
      </c>
      <c r="G3461" s="32">
        <v>4.5</v>
      </c>
      <c r="H3461" s="31">
        <v>0</v>
      </c>
      <c r="I3461" s="31">
        <v>0.2</v>
      </c>
      <c r="J3461" s="31">
        <v>0.2</v>
      </c>
      <c r="K3461" s="31">
        <v>0</v>
      </c>
      <c r="L3461" s="32">
        <v>0</v>
      </c>
      <c r="M3461" s="31">
        <v>0</v>
      </c>
      <c r="N3461" s="3"/>
      <c r="O3461" s="31">
        <v>2.54</v>
      </c>
      <c r="Q3461" s="32">
        <v>0</v>
      </c>
    </row>
    <row r="3462" spans="1:17" x14ac:dyDescent="0.25">
      <c r="A3462" s="22">
        <v>41813</v>
      </c>
      <c r="B3462" s="31">
        <v>0</v>
      </c>
      <c r="C3462" s="31">
        <v>0.5</v>
      </c>
      <c r="D3462" s="31">
        <v>0</v>
      </c>
      <c r="F3462" s="31">
        <v>2.2999999999999998</v>
      </c>
      <c r="G3462" s="32">
        <v>1.7</v>
      </c>
      <c r="H3462" s="31">
        <v>0</v>
      </c>
      <c r="I3462" s="31">
        <v>0.7</v>
      </c>
      <c r="J3462" s="31">
        <v>0.5</v>
      </c>
      <c r="K3462" s="31">
        <v>80</v>
      </c>
      <c r="L3462" s="32">
        <v>1.778</v>
      </c>
      <c r="M3462" s="31">
        <v>0</v>
      </c>
      <c r="N3462" s="3"/>
      <c r="O3462" s="31">
        <v>1.016</v>
      </c>
      <c r="Q3462" s="32">
        <v>0</v>
      </c>
    </row>
    <row r="3463" spans="1:17" x14ac:dyDescent="0.25">
      <c r="A3463" s="22">
        <v>41814</v>
      </c>
      <c r="B3463" s="31">
        <v>3</v>
      </c>
      <c r="C3463" s="31">
        <v>0</v>
      </c>
      <c r="D3463" s="31">
        <v>1.1000000000000001</v>
      </c>
      <c r="F3463" s="31">
        <v>0</v>
      </c>
      <c r="G3463" s="32">
        <v>16.7</v>
      </c>
      <c r="H3463" s="31">
        <v>0</v>
      </c>
      <c r="I3463" s="31">
        <v>13</v>
      </c>
      <c r="J3463" s="31">
        <v>0</v>
      </c>
      <c r="K3463" s="31">
        <v>3</v>
      </c>
      <c r="L3463" s="32">
        <v>0</v>
      </c>
      <c r="M3463" s="31">
        <v>0</v>
      </c>
      <c r="N3463" s="3"/>
      <c r="O3463" s="31">
        <v>2.54</v>
      </c>
      <c r="Q3463" s="32">
        <v>3.4</v>
      </c>
    </row>
    <row r="3464" spans="1:17" x14ac:dyDescent="0.25">
      <c r="A3464" s="22">
        <v>41815</v>
      </c>
      <c r="B3464" s="31">
        <v>0</v>
      </c>
      <c r="C3464" s="31">
        <v>15</v>
      </c>
      <c r="D3464" s="31">
        <v>14</v>
      </c>
      <c r="F3464" s="31">
        <v>0</v>
      </c>
      <c r="G3464" s="32">
        <v>0</v>
      </c>
      <c r="H3464" s="31">
        <v>10.5</v>
      </c>
      <c r="I3464" s="31">
        <v>0</v>
      </c>
      <c r="J3464" s="31">
        <v>13.5</v>
      </c>
      <c r="K3464" s="31">
        <v>12.4</v>
      </c>
      <c r="L3464" s="31">
        <v>9.6519999999999992</v>
      </c>
      <c r="M3464" s="31">
        <v>0</v>
      </c>
      <c r="N3464" s="3"/>
      <c r="O3464" s="31">
        <v>10.16</v>
      </c>
      <c r="Q3464" s="32">
        <v>0</v>
      </c>
    </row>
    <row r="3465" spans="1:17" x14ac:dyDescent="0.25">
      <c r="A3465" s="22">
        <v>41816</v>
      </c>
      <c r="B3465" s="31">
        <v>0</v>
      </c>
      <c r="C3465" s="31">
        <v>0</v>
      </c>
      <c r="D3465" s="31">
        <v>0</v>
      </c>
      <c r="F3465" s="31">
        <v>0</v>
      </c>
      <c r="G3465" s="32">
        <v>1.7</v>
      </c>
      <c r="H3465" s="31">
        <v>0</v>
      </c>
      <c r="I3465" s="31">
        <v>0</v>
      </c>
      <c r="J3465" s="31">
        <v>1.1000000000000001</v>
      </c>
      <c r="K3465" s="31">
        <v>0.4</v>
      </c>
      <c r="L3465" s="32">
        <v>2.032</v>
      </c>
      <c r="M3465" s="31">
        <v>0</v>
      </c>
      <c r="N3465" s="3"/>
      <c r="O3465" s="31">
        <v>3.8099999999999996</v>
      </c>
      <c r="Q3465" s="32">
        <v>0.4</v>
      </c>
    </row>
    <row r="3466" spans="1:17" x14ac:dyDescent="0.25">
      <c r="A3466" s="22">
        <v>41817</v>
      </c>
      <c r="B3466" s="31">
        <v>0</v>
      </c>
      <c r="C3466" s="31">
        <v>3</v>
      </c>
      <c r="D3466" s="31">
        <v>4.5999999999999996</v>
      </c>
      <c r="F3466" s="31">
        <v>0</v>
      </c>
      <c r="G3466" s="32">
        <v>10.5</v>
      </c>
      <c r="H3466" s="31">
        <v>1.6</v>
      </c>
      <c r="I3466" s="31">
        <v>3.3</v>
      </c>
      <c r="J3466" s="31">
        <v>4.7</v>
      </c>
      <c r="K3466" s="31">
        <v>0</v>
      </c>
      <c r="L3466" s="31">
        <v>2.2859999999999996</v>
      </c>
      <c r="M3466" s="31">
        <v>0</v>
      </c>
      <c r="N3466" s="3"/>
      <c r="O3466" s="31">
        <v>2.54</v>
      </c>
      <c r="Q3466" s="32">
        <v>4.7</v>
      </c>
    </row>
    <row r="3467" spans="1:17" x14ac:dyDescent="0.25">
      <c r="A3467" s="22">
        <v>41818</v>
      </c>
      <c r="B3467" s="31">
        <v>0</v>
      </c>
      <c r="C3467" s="31">
        <v>9.5</v>
      </c>
      <c r="D3467" s="31">
        <v>0</v>
      </c>
      <c r="F3467" s="31">
        <v>0</v>
      </c>
      <c r="G3467" s="32">
        <v>2.9</v>
      </c>
      <c r="H3467" s="31">
        <v>7.6</v>
      </c>
      <c r="I3467" s="31">
        <v>0</v>
      </c>
      <c r="J3467" s="31">
        <v>12</v>
      </c>
      <c r="K3467" s="31">
        <v>16.2</v>
      </c>
      <c r="L3467" s="32">
        <v>12.446</v>
      </c>
      <c r="M3467" s="31">
        <v>0</v>
      </c>
      <c r="N3467" s="3"/>
      <c r="O3467" s="31">
        <v>10.16</v>
      </c>
      <c r="Q3467" s="32">
        <v>3.9</v>
      </c>
    </row>
    <row r="3468" spans="1:17" x14ac:dyDescent="0.25">
      <c r="A3468" s="22">
        <v>41819</v>
      </c>
      <c r="B3468" s="31">
        <v>37.799999999999997</v>
      </c>
      <c r="C3468" s="31">
        <v>12.6</v>
      </c>
      <c r="D3468" s="31">
        <v>30</v>
      </c>
      <c r="F3468" s="31">
        <v>0</v>
      </c>
      <c r="G3468" s="32">
        <v>30.5</v>
      </c>
      <c r="H3468" s="31">
        <v>3.8</v>
      </c>
      <c r="I3468" s="31">
        <v>0</v>
      </c>
      <c r="J3468" s="31">
        <v>11.2</v>
      </c>
      <c r="K3468" s="31">
        <v>0</v>
      </c>
      <c r="L3468" s="31">
        <v>6.35</v>
      </c>
      <c r="M3468" s="31">
        <v>0</v>
      </c>
      <c r="N3468" s="3"/>
      <c r="O3468" s="31">
        <v>9.6519999999999992</v>
      </c>
      <c r="Q3468" s="32">
        <v>21.8</v>
      </c>
    </row>
    <row r="3469" spans="1:17" x14ac:dyDescent="0.25">
      <c r="A3469" s="22">
        <v>41820</v>
      </c>
      <c r="B3469" s="31">
        <v>0</v>
      </c>
      <c r="C3469" s="31">
        <v>24.5</v>
      </c>
      <c r="D3469" s="31">
        <v>27.4</v>
      </c>
      <c r="F3469" s="31">
        <v>0</v>
      </c>
      <c r="G3469" s="32">
        <v>15.12</v>
      </c>
      <c r="H3469" s="31">
        <v>23.6</v>
      </c>
      <c r="I3469" s="31">
        <v>35.799999999999997</v>
      </c>
      <c r="J3469" s="31">
        <v>28</v>
      </c>
      <c r="K3469" s="31">
        <v>0</v>
      </c>
      <c r="L3469" s="32">
        <v>12.446</v>
      </c>
      <c r="M3469" s="31">
        <v>0</v>
      </c>
      <c r="N3469" s="3"/>
      <c r="O3469" s="31">
        <v>18.795999999999999</v>
      </c>
      <c r="Q3469" s="32">
        <v>8.3000000000000007</v>
      </c>
    </row>
    <row r="3470" spans="1:17" x14ac:dyDescent="0.25">
      <c r="A3470" s="22">
        <v>41821</v>
      </c>
      <c r="B3470" s="31">
        <v>0</v>
      </c>
      <c r="C3470" s="31">
        <v>12</v>
      </c>
      <c r="D3470" s="31">
        <v>16.5</v>
      </c>
      <c r="F3470" s="31">
        <v>0</v>
      </c>
      <c r="G3470" s="32">
        <v>0</v>
      </c>
      <c r="H3470" s="31">
        <v>2.4</v>
      </c>
      <c r="I3470" s="31">
        <v>3.5</v>
      </c>
      <c r="J3470" s="31">
        <v>7.2</v>
      </c>
      <c r="K3470" s="31">
        <v>0</v>
      </c>
      <c r="L3470" s="32">
        <v>5.8419999999999996</v>
      </c>
      <c r="M3470" s="31">
        <v>0</v>
      </c>
      <c r="N3470" s="3"/>
      <c r="O3470" s="31">
        <f>0.53*25.4</f>
        <v>13.462</v>
      </c>
      <c r="Q3470" s="32">
        <v>0</v>
      </c>
    </row>
    <row r="3471" spans="1:17" x14ac:dyDescent="0.25">
      <c r="A3471" s="22">
        <v>41822</v>
      </c>
      <c r="B3471" s="31">
        <v>0</v>
      </c>
      <c r="C3471" s="31">
        <v>0</v>
      </c>
      <c r="D3471" s="31">
        <v>0</v>
      </c>
      <c r="F3471" s="31">
        <v>0</v>
      </c>
      <c r="G3471" s="32">
        <v>1.2</v>
      </c>
      <c r="H3471" s="31">
        <v>0</v>
      </c>
      <c r="I3471" s="31">
        <v>0</v>
      </c>
      <c r="J3471" s="31">
        <v>0.03</v>
      </c>
      <c r="K3471" s="31">
        <v>0</v>
      </c>
      <c r="L3471" s="32">
        <v>0.50800000000000001</v>
      </c>
      <c r="M3471" s="31">
        <v>0</v>
      </c>
      <c r="N3471" s="3"/>
      <c r="O3471" s="31">
        <v>0</v>
      </c>
      <c r="Q3471" s="32">
        <v>0.3</v>
      </c>
    </row>
    <row r="3472" spans="1:17" x14ac:dyDescent="0.25">
      <c r="A3472" s="22">
        <v>41823</v>
      </c>
      <c r="B3472" s="31">
        <v>0</v>
      </c>
      <c r="C3472" s="31">
        <v>0</v>
      </c>
      <c r="D3472" s="31">
        <v>0</v>
      </c>
      <c r="F3472" s="31">
        <v>0</v>
      </c>
      <c r="G3472" s="32">
        <v>0</v>
      </c>
      <c r="H3472" s="31">
        <v>3.1</v>
      </c>
      <c r="I3472" s="31">
        <v>0</v>
      </c>
      <c r="J3472" s="31">
        <v>1.2</v>
      </c>
      <c r="K3472" s="31">
        <v>0</v>
      </c>
      <c r="L3472" s="32">
        <v>0</v>
      </c>
      <c r="M3472" s="31">
        <v>3.1</v>
      </c>
      <c r="N3472" s="3"/>
      <c r="O3472" s="31">
        <v>0</v>
      </c>
      <c r="Q3472" s="32">
        <v>0</v>
      </c>
    </row>
    <row r="3473" spans="1:17" x14ac:dyDescent="0.25">
      <c r="A3473" s="22">
        <v>41824</v>
      </c>
      <c r="B3473" s="31">
        <v>0</v>
      </c>
      <c r="C3473" s="31">
        <v>0.9</v>
      </c>
      <c r="D3473" s="31">
        <v>8.1999999999999993</v>
      </c>
      <c r="F3473" s="31">
        <v>0</v>
      </c>
      <c r="G3473" s="32">
        <v>0</v>
      </c>
      <c r="H3473" s="31">
        <v>0</v>
      </c>
      <c r="I3473" s="31">
        <v>0</v>
      </c>
      <c r="J3473" s="31">
        <v>2</v>
      </c>
      <c r="K3473" s="31">
        <v>0</v>
      </c>
      <c r="L3473" s="32">
        <v>6.35</v>
      </c>
      <c r="M3473" s="31">
        <v>3.2</v>
      </c>
      <c r="N3473" s="3"/>
      <c r="O3473" s="31">
        <f>0.1*25.4</f>
        <v>2.54</v>
      </c>
      <c r="Q3473" s="32">
        <v>5</v>
      </c>
    </row>
    <row r="3474" spans="1:17" x14ac:dyDescent="0.25">
      <c r="A3474" s="22">
        <v>41825</v>
      </c>
      <c r="B3474" s="31">
        <v>0</v>
      </c>
      <c r="C3474" s="31">
        <v>8.3000000000000007</v>
      </c>
      <c r="D3474" s="31">
        <v>5.0999999999999996</v>
      </c>
      <c r="F3474" s="31">
        <v>20</v>
      </c>
      <c r="G3474" s="32">
        <v>0</v>
      </c>
      <c r="H3474" s="31">
        <v>0</v>
      </c>
      <c r="I3474" s="31">
        <v>1.3</v>
      </c>
      <c r="J3474" s="31">
        <v>0.03</v>
      </c>
      <c r="K3474" s="31">
        <v>0</v>
      </c>
      <c r="L3474" s="32">
        <v>5.3339999999999996</v>
      </c>
      <c r="M3474" s="31">
        <v>6.2</v>
      </c>
      <c r="N3474" s="3"/>
      <c r="O3474" s="31">
        <f>0.1*25.4</f>
        <v>2.54</v>
      </c>
      <c r="Q3474" s="32">
        <v>0</v>
      </c>
    </row>
    <row r="3475" spans="1:17" x14ac:dyDescent="0.25">
      <c r="A3475" s="22">
        <v>41826</v>
      </c>
      <c r="B3475" s="31">
        <v>0</v>
      </c>
      <c r="C3475" s="31">
        <v>0.2</v>
      </c>
      <c r="D3475" s="31">
        <v>5.4</v>
      </c>
      <c r="F3475" s="31">
        <v>0</v>
      </c>
      <c r="G3475" s="32">
        <v>0</v>
      </c>
      <c r="H3475" s="31">
        <v>0</v>
      </c>
      <c r="I3475" s="31">
        <v>1.1000000000000001</v>
      </c>
      <c r="J3475" s="31">
        <v>0</v>
      </c>
      <c r="K3475" s="31">
        <v>10.4</v>
      </c>
      <c r="L3475" s="32">
        <v>0</v>
      </c>
      <c r="M3475" s="31">
        <v>0</v>
      </c>
      <c r="N3475" s="3"/>
      <c r="O3475" s="31">
        <f>0.1*25.4</f>
        <v>2.54</v>
      </c>
      <c r="Q3475" s="32">
        <v>0.3</v>
      </c>
    </row>
    <row r="3476" spans="1:17" x14ac:dyDescent="0.25">
      <c r="A3476" s="22">
        <v>41827</v>
      </c>
      <c r="B3476" s="31">
        <v>3.8</v>
      </c>
      <c r="C3476" s="31">
        <v>0.3</v>
      </c>
      <c r="D3476" s="31">
        <v>4.2</v>
      </c>
      <c r="F3476" s="31">
        <v>21.9</v>
      </c>
      <c r="G3476" s="32">
        <v>6.4</v>
      </c>
      <c r="H3476" s="31">
        <v>0</v>
      </c>
      <c r="I3476" s="31">
        <v>2.5</v>
      </c>
      <c r="J3476" s="31">
        <v>6.1</v>
      </c>
      <c r="K3476" s="31">
        <v>0</v>
      </c>
      <c r="L3476" s="32">
        <v>2.794</v>
      </c>
      <c r="M3476" s="31">
        <v>2.2999999999999998</v>
      </c>
      <c r="N3476" s="3"/>
      <c r="O3476" s="31">
        <f>0.1*25.4</f>
        <v>2.54</v>
      </c>
      <c r="Q3476" s="32">
        <v>5.6</v>
      </c>
    </row>
    <row r="3477" spans="1:17" x14ac:dyDescent="0.25">
      <c r="A3477" s="22">
        <v>41828</v>
      </c>
      <c r="B3477" s="31">
        <v>0</v>
      </c>
      <c r="C3477" s="31">
        <v>11</v>
      </c>
      <c r="D3477" s="31">
        <v>15.5</v>
      </c>
      <c r="F3477" s="31">
        <v>10.199999999999999</v>
      </c>
      <c r="G3477" s="32">
        <v>0</v>
      </c>
      <c r="H3477" s="31">
        <v>4.5</v>
      </c>
      <c r="I3477" s="31">
        <v>1.6</v>
      </c>
      <c r="J3477" s="31">
        <v>6.4</v>
      </c>
      <c r="K3477" s="31">
        <v>0</v>
      </c>
      <c r="L3477" s="32">
        <v>2.2859999999999996</v>
      </c>
      <c r="M3477" s="31">
        <v>3.1</v>
      </c>
      <c r="N3477" s="3"/>
      <c r="O3477" s="31">
        <f>0.27*25.4</f>
        <v>6.8579999999999997</v>
      </c>
      <c r="Q3477" s="32">
        <v>0</v>
      </c>
    </row>
    <row r="3478" spans="1:17" x14ac:dyDescent="0.25">
      <c r="A3478" s="22">
        <v>41829</v>
      </c>
      <c r="B3478" s="31">
        <v>0</v>
      </c>
      <c r="C3478" s="31">
        <v>0</v>
      </c>
      <c r="D3478" s="31">
        <v>0</v>
      </c>
      <c r="F3478" s="31">
        <v>0.1</v>
      </c>
      <c r="G3478" s="32">
        <v>4.9000000000000004</v>
      </c>
      <c r="H3478" s="31">
        <v>0</v>
      </c>
      <c r="I3478" s="31">
        <v>1</v>
      </c>
      <c r="J3478" s="31">
        <v>0.01</v>
      </c>
      <c r="K3478" s="31">
        <v>0</v>
      </c>
      <c r="L3478" s="32">
        <v>0</v>
      </c>
      <c r="M3478" s="31">
        <v>0</v>
      </c>
      <c r="N3478" s="3"/>
      <c r="O3478" s="31">
        <f>0.04*25.4</f>
        <v>1.016</v>
      </c>
      <c r="Q3478" s="32">
        <v>4.5</v>
      </c>
    </row>
    <row r="3479" spans="1:17" x14ac:dyDescent="0.25">
      <c r="A3479" s="22">
        <v>41830</v>
      </c>
      <c r="B3479" s="31">
        <v>54.2</v>
      </c>
      <c r="C3479" s="31">
        <v>10</v>
      </c>
      <c r="D3479" s="31">
        <v>16.7</v>
      </c>
      <c r="F3479" s="31">
        <v>31.5</v>
      </c>
      <c r="G3479" s="32">
        <v>38.4</v>
      </c>
      <c r="H3479" s="31">
        <v>6.3</v>
      </c>
      <c r="I3479" s="31">
        <v>0</v>
      </c>
      <c r="J3479" s="31">
        <v>13.7</v>
      </c>
      <c r="K3479" s="31">
        <v>0</v>
      </c>
      <c r="L3479" s="32">
        <v>3.0479999999999996</v>
      </c>
      <c r="M3479" s="31">
        <v>27</v>
      </c>
      <c r="N3479" s="3"/>
      <c r="O3479" s="31">
        <f>0.15*25.4</f>
        <v>3.8099999999999996</v>
      </c>
      <c r="Q3479" s="32">
        <v>31.1</v>
      </c>
    </row>
    <row r="3480" spans="1:17" x14ac:dyDescent="0.25">
      <c r="A3480" s="22">
        <v>41831</v>
      </c>
      <c r="B3480" s="31">
        <v>0</v>
      </c>
      <c r="C3480" s="31">
        <v>53.3</v>
      </c>
      <c r="D3480" s="31">
        <v>49.5</v>
      </c>
      <c r="F3480" s="31">
        <v>4.5</v>
      </c>
      <c r="G3480" s="32">
        <v>1.2</v>
      </c>
      <c r="H3480" s="31">
        <v>25</v>
      </c>
      <c r="I3480" s="31">
        <v>37</v>
      </c>
      <c r="J3480" s="31">
        <v>38</v>
      </c>
      <c r="K3480" s="31">
        <v>0</v>
      </c>
      <c r="L3480" s="32">
        <v>27.94</v>
      </c>
      <c r="M3480" s="31">
        <v>14.7</v>
      </c>
      <c r="N3480" s="3"/>
      <c r="O3480" s="31">
        <f>1.5*25.4</f>
        <v>38.099999999999994</v>
      </c>
      <c r="Q3480" s="32">
        <v>0</v>
      </c>
    </row>
    <row r="3481" spans="1:17" x14ac:dyDescent="0.25">
      <c r="A3481" s="22">
        <v>41832</v>
      </c>
      <c r="B3481" s="31">
        <v>0</v>
      </c>
      <c r="C3481" s="31">
        <v>0</v>
      </c>
      <c r="D3481" s="31">
        <v>0</v>
      </c>
      <c r="F3481" s="31">
        <v>0</v>
      </c>
      <c r="G3481" s="32">
        <v>0</v>
      </c>
      <c r="H3481" s="31">
        <v>0.7</v>
      </c>
      <c r="I3481" s="31">
        <v>3.1</v>
      </c>
      <c r="J3481" s="31">
        <v>0.04</v>
      </c>
      <c r="K3481" s="31">
        <v>0</v>
      </c>
      <c r="L3481" s="32">
        <v>0.50800000000000001</v>
      </c>
      <c r="M3481" s="31">
        <v>1.4</v>
      </c>
      <c r="N3481" s="3"/>
      <c r="O3481" s="31">
        <v>0</v>
      </c>
      <c r="Q3481" s="32">
        <v>0</v>
      </c>
    </row>
    <row r="3482" spans="1:17" x14ac:dyDescent="0.25">
      <c r="A3482" s="22">
        <v>41833</v>
      </c>
      <c r="B3482" s="31">
        <v>0</v>
      </c>
      <c r="C3482" s="31">
        <v>0</v>
      </c>
      <c r="D3482" s="31">
        <v>0</v>
      </c>
      <c r="F3482" s="31">
        <v>0</v>
      </c>
      <c r="G3482" s="32">
        <v>1</v>
      </c>
      <c r="H3482" s="31">
        <v>0</v>
      </c>
      <c r="I3482" s="31">
        <v>0</v>
      </c>
      <c r="J3482" s="31">
        <v>0</v>
      </c>
      <c r="K3482" s="31">
        <v>0</v>
      </c>
      <c r="L3482" s="32">
        <v>0</v>
      </c>
      <c r="M3482" s="31">
        <v>0</v>
      </c>
      <c r="N3482" s="3"/>
      <c r="O3482" s="31">
        <v>0</v>
      </c>
      <c r="Q3482" s="32">
        <v>0</v>
      </c>
    </row>
    <row r="3483" spans="1:17" x14ac:dyDescent="0.25">
      <c r="A3483" s="22">
        <v>41834</v>
      </c>
      <c r="B3483" s="31">
        <v>2.2000000000000002</v>
      </c>
      <c r="C3483" s="31">
        <v>1.7</v>
      </c>
      <c r="D3483" s="31">
        <v>2.8</v>
      </c>
      <c r="F3483" s="31">
        <v>0</v>
      </c>
      <c r="G3483" s="32">
        <v>13.6</v>
      </c>
      <c r="H3483" s="31">
        <v>0</v>
      </c>
      <c r="I3483" s="31">
        <v>0</v>
      </c>
      <c r="J3483" s="31">
        <v>1</v>
      </c>
      <c r="K3483" s="31">
        <v>82.3</v>
      </c>
      <c r="L3483" s="32">
        <v>0.50800000000000001</v>
      </c>
      <c r="M3483" s="31">
        <v>0</v>
      </c>
      <c r="N3483" s="3"/>
      <c r="O3483" s="31">
        <f>0.05*25.4</f>
        <v>1.27</v>
      </c>
      <c r="Q3483" s="32">
        <v>15.8</v>
      </c>
    </row>
    <row r="3484" spans="1:17" x14ac:dyDescent="0.25">
      <c r="A3484" s="22">
        <v>41835</v>
      </c>
      <c r="B3484" s="31">
        <v>0</v>
      </c>
      <c r="C3484" s="31">
        <v>19.3</v>
      </c>
      <c r="D3484" s="31">
        <v>18.399999999999999</v>
      </c>
      <c r="F3484" s="31">
        <v>7.8</v>
      </c>
      <c r="G3484" s="32">
        <v>7.9</v>
      </c>
      <c r="H3484" s="31">
        <v>8.8000000000000007</v>
      </c>
      <c r="I3484" s="31">
        <v>6.1</v>
      </c>
      <c r="J3484" s="31">
        <v>13.6</v>
      </c>
      <c r="K3484" s="31">
        <v>19.8</v>
      </c>
      <c r="L3484" s="32">
        <v>5.5880000000000001</v>
      </c>
      <c r="M3484" s="31">
        <v>5.9</v>
      </c>
      <c r="N3484" s="1"/>
      <c r="O3484" s="31">
        <f>0.7*25.4</f>
        <v>17.779999999999998</v>
      </c>
      <c r="Q3484" s="32">
        <v>25.1</v>
      </c>
    </row>
    <row r="3485" spans="1:17" x14ac:dyDescent="0.25">
      <c r="A3485" s="22">
        <v>41836</v>
      </c>
      <c r="B3485" s="31">
        <v>34.4</v>
      </c>
      <c r="C3485" s="31">
        <v>26.6</v>
      </c>
      <c r="D3485" s="31">
        <v>16.3</v>
      </c>
      <c r="F3485" s="31">
        <v>0</v>
      </c>
      <c r="G3485" s="32">
        <v>0</v>
      </c>
      <c r="H3485" s="31">
        <v>6</v>
      </c>
      <c r="I3485" s="31">
        <v>7</v>
      </c>
      <c r="J3485" s="31">
        <v>8.01</v>
      </c>
      <c r="K3485" s="31">
        <v>8.1</v>
      </c>
      <c r="L3485" s="32">
        <v>18.033999999999999</v>
      </c>
      <c r="M3485" s="31">
        <v>10.9</v>
      </c>
      <c r="N3485" s="3"/>
      <c r="O3485" s="31">
        <f>1.06*25.4</f>
        <v>26.923999999999999</v>
      </c>
      <c r="Q3485" s="32">
        <v>0</v>
      </c>
    </row>
    <row r="3486" spans="1:17" x14ac:dyDescent="0.25">
      <c r="A3486" s="22">
        <v>41837</v>
      </c>
      <c r="B3486" s="31">
        <v>0</v>
      </c>
      <c r="C3486" s="31">
        <v>0.3</v>
      </c>
      <c r="D3486" s="31">
        <v>3</v>
      </c>
      <c r="F3486" s="31">
        <v>0</v>
      </c>
      <c r="G3486" s="32">
        <v>9.5</v>
      </c>
      <c r="H3486" s="31">
        <v>0</v>
      </c>
      <c r="I3486" s="31">
        <v>0</v>
      </c>
      <c r="J3486" s="31">
        <v>0.05</v>
      </c>
      <c r="K3486" s="31">
        <v>3.9</v>
      </c>
      <c r="L3486" s="32">
        <v>0</v>
      </c>
      <c r="M3486" s="31">
        <v>10.199999999999999</v>
      </c>
      <c r="N3486" s="3"/>
      <c r="O3486" s="31">
        <v>2.54</v>
      </c>
      <c r="Q3486" s="32">
        <v>0</v>
      </c>
    </row>
    <row r="3487" spans="1:17" x14ac:dyDescent="0.25">
      <c r="A3487" s="22">
        <v>41838</v>
      </c>
      <c r="B3487" s="31">
        <v>0</v>
      </c>
      <c r="C3487" s="31">
        <v>7.6</v>
      </c>
      <c r="D3487" s="31">
        <v>12.7</v>
      </c>
      <c r="F3487" s="31">
        <v>15.6</v>
      </c>
      <c r="G3487" s="32">
        <v>20.5</v>
      </c>
      <c r="H3487" s="31">
        <v>0</v>
      </c>
      <c r="I3487" s="31">
        <v>10.5</v>
      </c>
      <c r="J3487" s="31">
        <v>15.8</v>
      </c>
      <c r="K3487" s="31">
        <v>12.9</v>
      </c>
      <c r="L3487" s="32">
        <v>0</v>
      </c>
      <c r="M3487" s="31">
        <v>14.7</v>
      </c>
      <c r="N3487" s="3"/>
      <c r="O3487" s="31">
        <v>2.54</v>
      </c>
      <c r="Q3487" s="32">
        <v>15.6</v>
      </c>
    </row>
    <row r="3488" spans="1:17" x14ac:dyDescent="0.25">
      <c r="A3488" s="22">
        <v>41839</v>
      </c>
      <c r="B3488" s="31">
        <v>0</v>
      </c>
      <c r="C3488" s="31">
        <v>16.8</v>
      </c>
      <c r="D3488" s="31">
        <v>11.1</v>
      </c>
      <c r="F3488" s="31">
        <v>12.5</v>
      </c>
      <c r="G3488" s="32">
        <v>13.7</v>
      </c>
      <c r="H3488" s="31">
        <v>22.7</v>
      </c>
      <c r="I3488" s="31">
        <v>6.6</v>
      </c>
      <c r="J3488" s="31">
        <v>16.100000000000001</v>
      </c>
      <c r="K3488" s="31">
        <v>0</v>
      </c>
      <c r="L3488" s="32">
        <v>6.35</v>
      </c>
      <c r="M3488" s="31">
        <v>5.7</v>
      </c>
      <c r="N3488" s="3"/>
      <c r="O3488" s="31">
        <f>0.69*25.4</f>
        <v>17.525999999999996</v>
      </c>
      <c r="Q3488" s="32">
        <v>8.9</v>
      </c>
    </row>
    <row r="3489" spans="1:17" x14ac:dyDescent="0.25">
      <c r="A3489" s="22">
        <v>41840</v>
      </c>
      <c r="B3489" s="31">
        <v>0</v>
      </c>
      <c r="C3489" s="31">
        <v>0</v>
      </c>
      <c r="D3489" s="31">
        <v>0</v>
      </c>
      <c r="F3489" s="31">
        <v>6.9</v>
      </c>
      <c r="G3489" s="32">
        <v>2.8</v>
      </c>
      <c r="H3489" s="31">
        <v>0</v>
      </c>
      <c r="I3489" s="31">
        <v>16.2</v>
      </c>
      <c r="J3489" s="31">
        <v>23.5</v>
      </c>
      <c r="K3489" s="31">
        <v>0</v>
      </c>
      <c r="L3489" s="32">
        <v>5.5880000000000001</v>
      </c>
      <c r="M3489" s="31">
        <v>0</v>
      </c>
      <c r="N3489" s="3"/>
      <c r="O3489" s="31">
        <f>0.54*25.4</f>
        <v>13.715999999999999</v>
      </c>
      <c r="Q3489" s="32">
        <v>1.5</v>
      </c>
    </row>
    <row r="3490" spans="1:17" x14ac:dyDescent="0.25">
      <c r="A3490" s="22">
        <v>41841</v>
      </c>
      <c r="B3490" s="31">
        <v>0</v>
      </c>
      <c r="C3490" s="31">
        <v>21</v>
      </c>
      <c r="D3490" s="31">
        <v>7.1</v>
      </c>
      <c r="F3490" s="31">
        <v>0</v>
      </c>
      <c r="G3490" s="32">
        <v>2.2999999999999998</v>
      </c>
      <c r="H3490" s="31">
        <v>0</v>
      </c>
      <c r="I3490" s="31">
        <v>4.01</v>
      </c>
      <c r="J3490" s="31">
        <v>2.1</v>
      </c>
      <c r="K3490" s="31">
        <v>0</v>
      </c>
      <c r="L3490" s="32">
        <v>6.8579999999999997</v>
      </c>
      <c r="M3490" s="31">
        <v>13.8</v>
      </c>
      <c r="N3490" s="3"/>
      <c r="O3490" s="31">
        <f>0.47*25.4</f>
        <v>11.937999999999999</v>
      </c>
      <c r="Q3490" s="32">
        <v>1.5</v>
      </c>
    </row>
    <row r="3491" spans="1:17" x14ac:dyDescent="0.25">
      <c r="A3491" s="22">
        <v>41842</v>
      </c>
      <c r="B3491" s="31">
        <v>0</v>
      </c>
      <c r="C3491" s="31">
        <v>3.2</v>
      </c>
      <c r="D3491" s="31">
        <v>6.2</v>
      </c>
      <c r="F3491" s="31">
        <v>0</v>
      </c>
      <c r="G3491" s="32">
        <v>34.700000000000003</v>
      </c>
      <c r="H3491" s="31">
        <v>1</v>
      </c>
      <c r="I3491" s="31">
        <v>3.2</v>
      </c>
      <c r="J3491" s="31">
        <v>3.04</v>
      </c>
      <c r="K3491" s="31">
        <v>0</v>
      </c>
      <c r="L3491" s="32">
        <v>0</v>
      </c>
      <c r="M3491" s="31">
        <v>2.9</v>
      </c>
      <c r="N3491" s="3"/>
      <c r="O3491" s="31">
        <f>0.15*25.4</f>
        <v>3.8099999999999996</v>
      </c>
      <c r="Q3491" s="32">
        <v>23.3</v>
      </c>
    </row>
    <row r="3492" spans="1:17" x14ac:dyDescent="0.25">
      <c r="A3492" s="22">
        <v>41843</v>
      </c>
      <c r="B3492" s="31">
        <v>0</v>
      </c>
      <c r="C3492" s="31">
        <v>30.5</v>
      </c>
      <c r="D3492" s="31">
        <v>24.2</v>
      </c>
      <c r="F3492" s="31">
        <v>22</v>
      </c>
      <c r="G3492" s="32">
        <v>0</v>
      </c>
      <c r="H3492" s="31">
        <v>18.8</v>
      </c>
      <c r="I3492" s="31">
        <v>6.6</v>
      </c>
      <c r="J3492" s="31">
        <v>41</v>
      </c>
      <c r="K3492" s="31">
        <v>0</v>
      </c>
      <c r="L3492" s="32">
        <v>14.477999999999998</v>
      </c>
      <c r="M3492" s="31">
        <v>27.3</v>
      </c>
      <c r="N3492" s="3"/>
      <c r="O3492" s="31">
        <f>0.96*25.4</f>
        <v>24.383999999999997</v>
      </c>
      <c r="Q3492" s="32">
        <v>1.9</v>
      </c>
    </row>
    <row r="3493" spans="1:17" x14ac:dyDescent="0.25">
      <c r="A3493" s="22">
        <v>41844</v>
      </c>
      <c r="B3493" s="31">
        <v>3</v>
      </c>
      <c r="C3493" s="31">
        <v>0</v>
      </c>
      <c r="D3493" s="31">
        <v>1.7</v>
      </c>
      <c r="F3493" s="31">
        <v>0</v>
      </c>
      <c r="G3493" s="32">
        <v>21.5</v>
      </c>
      <c r="H3493" s="31">
        <v>5.3</v>
      </c>
      <c r="I3493" s="31">
        <v>0</v>
      </c>
      <c r="J3493" s="31">
        <v>0</v>
      </c>
      <c r="K3493" s="31">
        <v>0</v>
      </c>
      <c r="L3493" s="32">
        <v>3.8099999999999996</v>
      </c>
      <c r="M3493" s="31">
        <v>0</v>
      </c>
      <c r="N3493" s="3"/>
      <c r="O3493" s="31">
        <v>2.54</v>
      </c>
      <c r="Q3493" s="32">
        <v>13.2</v>
      </c>
    </row>
    <row r="3494" spans="1:17" x14ac:dyDescent="0.25">
      <c r="A3494" s="22">
        <v>41845</v>
      </c>
      <c r="B3494" s="31">
        <v>0</v>
      </c>
      <c r="C3494" s="31">
        <v>16.8</v>
      </c>
      <c r="D3494" s="31">
        <v>19</v>
      </c>
      <c r="F3494" s="31">
        <v>30.5</v>
      </c>
      <c r="G3494" s="32">
        <v>10.199999999999999</v>
      </c>
      <c r="H3494" s="31">
        <v>17.7</v>
      </c>
      <c r="I3494" s="31">
        <v>16.7</v>
      </c>
      <c r="J3494" s="31">
        <v>20.5</v>
      </c>
      <c r="K3494" s="31">
        <v>0</v>
      </c>
      <c r="L3494" s="32">
        <v>2.794</v>
      </c>
      <c r="M3494" s="31">
        <v>27.4</v>
      </c>
      <c r="N3494" s="3"/>
      <c r="O3494" s="31">
        <f>0.93*25.4</f>
        <v>23.622</v>
      </c>
      <c r="Q3494" s="32">
        <v>8.6999999999999993</v>
      </c>
    </row>
    <row r="3495" spans="1:17" x14ac:dyDescent="0.25">
      <c r="A3495" s="22">
        <v>41846</v>
      </c>
      <c r="B3495" s="31">
        <v>0</v>
      </c>
      <c r="C3495" s="31">
        <v>18.5</v>
      </c>
      <c r="D3495" s="31">
        <v>2.2000000000000002</v>
      </c>
      <c r="F3495" s="31">
        <v>7.5</v>
      </c>
      <c r="G3495" s="32">
        <v>12.5</v>
      </c>
      <c r="H3495" s="31">
        <v>7.3</v>
      </c>
      <c r="I3495" s="31">
        <v>0</v>
      </c>
      <c r="J3495" s="31">
        <v>22.2</v>
      </c>
      <c r="K3495" s="31">
        <v>0</v>
      </c>
      <c r="L3495" s="32">
        <v>6.35</v>
      </c>
      <c r="M3495" s="31">
        <v>10</v>
      </c>
      <c r="N3495" s="3"/>
      <c r="O3495" s="31">
        <f>0.3*25.4</f>
        <v>7.6199999999999992</v>
      </c>
      <c r="Q3495" s="32">
        <v>3.8</v>
      </c>
    </row>
    <row r="3496" spans="1:17" x14ac:dyDescent="0.25">
      <c r="A3496" s="22">
        <v>41847</v>
      </c>
      <c r="B3496" s="31">
        <v>0</v>
      </c>
      <c r="C3496" s="31">
        <v>7.8</v>
      </c>
      <c r="D3496" s="31">
        <v>28.4</v>
      </c>
      <c r="F3496" s="31">
        <v>3.8</v>
      </c>
      <c r="G3496" s="32">
        <v>10.4</v>
      </c>
      <c r="H3496" s="31">
        <v>0</v>
      </c>
      <c r="I3496" s="31">
        <v>14.5</v>
      </c>
      <c r="J3496" s="31">
        <v>14</v>
      </c>
      <c r="K3496" s="31">
        <v>0</v>
      </c>
      <c r="L3496" s="32">
        <v>6.35</v>
      </c>
      <c r="M3496" s="31">
        <v>0</v>
      </c>
      <c r="N3496" s="3"/>
      <c r="O3496" s="31">
        <f>0.58*25.4</f>
        <v>14.731999999999998</v>
      </c>
      <c r="Q3496" s="32">
        <v>3.4</v>
      </c>
    </row>
    <row r="3497" spans="1:17" x14ac:dyDescent="0.25">
      <c r="A3497" s="22">
        <v>41848</v>
      </c>
      <c r="B3497" s="31">
        <v>0</v>
      </c>
      <c r="C3497" s="31">
        <v>14.9</v>
      </c>
      <c r="D3497" s="31">
        <v>7.5</v>
      </c>
      <c r="F3497" s="31">
        <v>0</v>
      </c>
      <c r="G3497" s="32">
        <v>0</v>
      </c>
      <c r="H3497" s="31">
        <v>0</v>
      </c>
      <c r="I3497" s="31">
        <v>3.8</v>
      </c>
      <c r="J3497" s="31">
        <v>6.4</v>
      </c>
      <c r="K3497" s="31">
        <v>0</v>
      </c>
      <c r="L3497" s="32">
        <v>0</v>
      </c>
      <c r="M3497" s="31">
        <v>9.9</v>
      </c>
      <c r="N3497" s="3"/>
      <c r="O3497" s="31">
        <f>0.17*25.4</f>
        <v>4.3180000000000005</v>
      </c>
      <c r="Q3497" s="32">
        <v>0</v>
      </c>
    </row>
    <row r="3498" spans="1:17" x14ac:dyDescent="0.25">
      <c r="A3498" s="22">
        <v>41849</v>
      </c>
      <c r="B3498" s="31">
        <v>0</v>
      </c>
      <c r="C3498" s="31">
        <v>0</v>
      </c>
      <c r="D3498" s="31">
        <v>1.5</v>
      </c>
      <c r="F3498" s="31">
        <v>0</v>
      </c>
      <c r="G3498" s="32">
        <v>18.5</v>
      </c>
      <c r="H3498" s="31">
        <v>0</v>
      </c>
      <c r="I3498" s="31">
        <v>6.3</v>
      </c>
      <c r="J3498" s="31">
        <v>1.3</v>
      </c>
      <c r="K3498" s="31">
        <v>0</v>
      </c>
      <c r="L3498" s="32">
        <v>0</v>
      </c>
      <c r="M3498" s="31">
        <v>0</v>
      </c>
      <c r="N3498" s="3"/>
      <c r="O3498" s="31">
        <f>0.07*25.4</f>
        <v>1.778</v>
      </c>
      <c r="Q3498" s="32">
        <v>3.9</v>
      </c>
    </row>
    <row r="3499" spans="1:17" x14ac:dyDescent="0.25">
      <c r="A3499" s="22">
        <v>41850</v>
      </c>
      <c r="B3499" s="31">
        <v>0</v>
      </c>
      <c r="C3499" s="31">
        <v>0</v>
      </c>
      <c r="D3499" s="31">
        <v>13.5</v>
      </c>
      <c r="F3499" s="31">
        <v>3.5</v>
      </c>
      <c r="G3499" s="32">
        <v>23.5</v>
      </c>
      <c r="H3499" s="31">
        <v>1</v>
      </c>
      <c r="I3499" s="31">
        <v>11.1</v>
      </c>
      <c r="J3499" s="31">
        <v>0.05</v>
      </c>
      <c r="K3499" s="31">
        <v>0</v>
      </c>
      <c r="L3499" s="32">
        <v>6.8579999999999997</v>
      </c>
      <c r="M3499" s="31">
        <v>11.2</v>
      </c>
      <c r="N3499" s="3"/>
      <c r="O3499" s="31">
        <v>0</v>
      </c>
      <c r="Q3499" s="32">
        <v>4.0999999999999996</v>
      </c>
    </row>
    <row r="3500" spans="1:17" x14ac:dyDescent="0.25">
      <c r="A3500" s="22">
        <v>41851</v>
      </c>
      <c r="B3500" s="31">
        <v>0</v>
      </c>
      <c r="C3500" s="31">
        <v>35.200000000000003</v>
      </c>
      <c r="D3500" s="31">
        <v>46.4</v>
      </c>
      <c r="F3500" s="31">
        <v>0</v>
      </c>
      <c r="G3500" s="32">
        <v>0.7</v>
      </c>
      <c r="H3500" s="31">
        <v>7.6</v>
      </c>
      <c r="I3500" s="31">
        <v>0</v>
      </c>
      <c r="J3500" s="31">
        <v>55</v>
      </c>
      <c r="K3500" s="31">
        <v>0</v>
      </c>
      <c r="L3500" s="32">
        <v>0</v>
      </c>
      <c r="M3500" s="31">
        <v>0</v>
      </c>
      <c r="N3500" s="3"/>
      <c r="O3500" s="31">
        <f>1.1*25.4</f>
        <v>27.94</v>
      </c>
      <c r="Q3500" s="32">
        <v>0</v>
      </c>
    </row>
    <row r="3501" spans="1:17" x14ac:dyDescent="0.25">
      <c r="A3501" s="22">
        <v>41852</v>
      </c>
      <c r="B3501" s="33">
        <v>0</v>
      </c>
      <c r="C3501" s="33">
        <v>2.1</v>
      </c>
      <c r="D3501" s="33">
        <v>0.5</v>
      </c>
      <c r="F3501" s="33">
        <v>0.7</v>
      </c>
      <c r="G3501" s="33">
        <v>10.1</v>
      </c>
      <c r="H3501" s="1"/>
      <c r="I3501" s="33">
        <v>6.3</v>
      </c>
      <c r="J3501" s="33">
        <v>25.2</v>
      </c>
      <c r="K3501" s="2">
        <v>0</v>
      </c>
      <c r="L3501" s="33">
        <v>4.0640000000000001</v>
      </c>
      <c r="M3501" s="33">
        <v>16.100000000000001</v>
      </c>
      <c r="N3501" s="3"/>
      <c r="O3501" s="33">
        <v>22.86</v>
      </c>
      <c r="Q3501" s="33">
        <v>2.9</v>
      </c>
    </row>
    <row r="3502" spans="1:17" x14ac:dyDescent="0.25">
      <c r="A3502" s="22">
        <v>41853</v>
      </c>
      <c r="B3502" s="33">
        <v>0</v>
      </c>
      <c r="C3502" s="33">
        <v>0.3</v>
      </c>
      <c r="D3502" s="33">
        <v>0</v>
      </c>
      <c r="F3502" s="33">
        <v>15.7</v>
      </c>
      <c r="G3502" s="33">
        <v>11.5</v>
      </c>
      <c r="H3502" s="1"/>
      <c r="I3502" s="33">
        <v>9.8000000000000007</v>
      </c>
      <c r="J3502" s="33">
        <v>9.3000000000000007</v>
      </c>
      <c r="K3502" s="2">
        <v>0</v>
      </c>
      <c r="L3502" s="33">
        <v>8.8899999999999988</v>
      </c>
      <c r="M3502" s="33">
        <v>18.3</v>
      </c>
      <c r="N3502" s="3"/>
      <c r="O3502" s="33">
        <v>8.3819999999999997</v>
      </c>
      <c r="Q3502" s="33">
        <v>0</v>
      </c>
    </row>
    <row r="3503" spans="1:17" x14ac:dyDescent="0.25">
      <c r="A3503" s="22">
        <v>41854</v>
      </c>
      <c r="B3503" s="33">
        <v>7.6</v>
      </c>
      <c r="C3503" s="33">
        <v>0</v>
      </c>
      <c r="D3503" s="33">
        <v>8.1999999999999993</v>
      </c>
      <c r="F3503" s="33">
        <v>4.3</v>
      </c>
      <c r="G3503" s="33">
        <v>12.5</v>
      </c>
      <c r="H3503" s="1"/>
      <c r="I3503" s="33">
        <v>6.2</v>
      </c>
      <c r="J3503" s="33">
        <v>4.0199999999999996</v>
      </c>
      <c r="K3503" s="2">
        <v>0</v>
      </c>
      <c r="L3503" s="33">
        <v>0</v>
      </c>
      <c r="M3503" s="33">
        <v>14.3</v>
      </c>
      <c r="N3503" s="3"/>
      <c r="O3503" s="33">
        <v>6.6040000000000001</v>
      </c>
      <c r="Q3503" s="33">
        <v>3.1</v>
      </c>
    </row>
    <row r="3504" spans="1:17" x14ac:dyDescent="0.25">
      <c r="A3504" s="22">
        <v>41855</v>
      </c>
      <c r="B3504" s="33">
        <v>0</v>
      </c>
      <c r="C3504" s="33">
        <v>0</v>
      </c>
      <c r="D3504" s="33">
        <v>0</v>
      </c>
      <c r="F3504" s="33">
        <v>11.2</v>
      </c>
      <c r="G3504" s="33">
        <v>8.5</v>
      </c>
      <c r="H3504" s="1"/>
      <c r="I3504" s="33">
        <v>7.3</v>
      </c>
      <c r="J3504" s="33">
        <v>28.4</v>
      </c>
      <c r="K3504" s="2">
        <v>0</v>
      </c>
      <c r="L3504" s="33">
        <v>3.8099999999999996</v>
      </c>
      <c r="M3504" s="33">
        <v>0</v>
      </c>
      <c r="N3504" s="3"/>
      <c r="O3504" s="33">
        <v>20.32</v>
      </c>
      <c r="Q3504" s="33">
        <v>4.5999999999999996</v>
      </c>
    </row>
    <row r="3505" spans="1:17" x14ac:dyDescent="0.25">
      <c r="A3505" s="22">
        <v>41856</v>
      </c>
      <c r="B3505" s="33">
        <v>0</v>
      </c>
      <c r="C3505" s="33">
        <v>7</v>
      </c>
      <c r="D3505" s="33">
        <v>8.1999999999999993</v>
      </c>
      <c r="F3505" s="33">
        <v>2</v>
      </c>
      <c r="G3505" s="33">
        <v>24.8</v>
      </c>
      <c r="H3505" s="1"/>
      <c r="I3505" s="33">
        <v>5.5</v>
      </c>
      <c r="J3505" s="33">
        <v>8</v>
      </c>
      <c r="K3505" s="2">
        <v>0</v>
      </c>
      <c r="L3505" s="33">
        <v>3.556</v>
      </c>
      <c r="M3505" s="33">
        <v>10.1</v>
      </c>
      <c r="N3505" s="3"/>
      <c r="O3505" s="33">
        <v>7.1120000000000001</v>
      </c>
      <c r="Q3505" s="33">
        <v>0</v>
      </c>
    </row>
    <row r="3506" spans="1:17" x14ac:dyDescent="0.25">
      <c r="A3506" s="22">
        <v>41857</v>
      </c>
      <c r="B3506" s="33">
        <v>0</v>
      </c>
      <c r="C3506" s="33">
        <v>0</v>
      </c>
      <c r="D3506" s="33">
        <v>0</v>
      </c>
      <c r="F3506" s="33">
        <v>19.899999999999999</v>
      </c>
      <c r="G3506" s="33">
        <v>0.1</v>
      </c>
      <c r="H3506" s="1"/>
      <c r="I3506" s="33">
        <v>16.5</v>
      </c>
      <c r="J3506" s="33">
        <v>3.05</v>
      </c>
      <c r="K3506" s="2">
        <v>0</v>
      </c>
      <c r="L3506" s="33">
        <v>0</v>
      </c>
      <c r="M3506" s="33">
        <v>21.3</v>
      </c>
      <c r="N3506" s="3"/>
      <c r="O3506" s="33">
        <v>33.019999999999996</v>
      </c>
      <c r="Q3506" s="33">
        <v>2.8</v>
      </c>
    </row>
    <row r="3507" spans="1:17" x14ac:dyDescent="0.25">
      <c r="A3507" s="22">
        <v>41858</v>
      </c>
      <c r="B3507" s="33">
        <v>0</v>
      </c>
      <c r="C3507" s="33">
        <v>0</v>
      </c>
      <c r="D3507" s="33">
        <v>3.8</v>
      </c>
      <c r="F3507" s="33">
        <v>0</v>
      </c>
      <c r="G3507" s="33">
        <v>0</v>
      </c>
      <c r="H3507" s="1"/>
      <c r="I3507" s="33">
        <v>0</v>
      </c>
      <c r="J3507" s="33">
        <v>0.4</v>
      </c>
      <c r="K3507" s="2">
        <v>0</v>
      </c>
      <c r="L3507" s="33">
        <v>5.3339999999999996</v>
      </c>
      <c r="M3507" s="33">
        <v>0</v>
      </c>
      <c r="N3507" s="3"/>
      <c r="O3507" s="33">
        <v>4.0640000000000001</v>
      </c>
      <c r="Q3507" s="33">
        <v>11.9</v>
      </c>
    </row>
    <row r="3508" spans="1:17" x14ac:dyDescent="0.25">
      <c r="A3508" s="22">
        <v>41859</v>
      </c>
      <c r="B3508" s="33">
        <v>0</v>
      </c>
      <c r="C3508" s="33">
        <v>22.8</v>
      </c>
      <c r="D3508" s="33">
        <v>2.6</v>
      </c>
      <c r="F3508" s="33">
        <v>0.5</v>
      </c>
      <c r="G3508" s="33">
        <v>0</v>
      </c>
      <c r="H3508" s="2"/>
      <c r="I3508" s="33">
        <v>0</v>
      </c>
      <c r="J3508" s="33">
        <v>0</v>
      </c>
      <c r="K3508" s="2">
        <v>0</v>
      </c>
      <c r="L3508" s="33">
        <v>5.5880000000000001</v>
      </c>
      <c r="M3508" s="33">
        <v>0</v>
      </c>
      <c r="N3508" s="3"/>
      <c r="O3508" s="33">
        <v>5.08</v>
      </c>
      <c r="Q3508" s="33">
        <v>4.4000000000000004</v>
      </c>
    </row>
    <row r="3509" spans="1:17" x14ac:dyDescent="0.25">
      <c r="A3509" s="22">
        <v>41860</v>
      </c>
      <c r="B3509" s="33">
        <v>0</v>
      </c>
      <c r="C3509" s="33">
        <v>46.2</v>
      </c>
      <c r="D3509" s="33">
        <v>0</v>
      </c>
      <c r="F3509" s="33">
        <v>0</v>
      </c>
      <c r="G3509" s="33">
        <v>35.700000000000003</v>
      </c>
      <c r="H3509" s="2"/>
      <c r="I3509" s="33">
        <v>0</v>
      </c>
      <c r="J3509" s="33">
        <v>0</v>
      </c>
      <c r="K3509" s="2">
        <v>0</v>
      </c>
      <c r="L3509" s="33">
        <v>10.667999999999999</v>
      </c>
      <c r="M3509" s="33">
        <v>0</v>
      </c>
      <c r="N3509" s="3"/>
      <c r="O3509" s="33">
        <v>0</v>
      </c>
      <c r="Q3509" s="33">
        <v>0</v>
      </c>
    </row>
    <row r="3510" spans="1:17" x14ac:dyDescent="0.25">
      <c r="A3510" s="22">
        <v>41861</v>
      </c>
      <c r="B3510" s="33">
        <v>0</v>
      </c>
      <c r="C3510" s="33">
        <v>0</v>
      </c>
      <c r="D3510" s="33">
        <v>0</v>
      </c>
      <c r="F3510" s="33">
        <v>0</v>
      </c>
      <c r="G3510" s="33">
        <v>9.5</v>
      </c>
      <c r="H3510" s="2"/>
      <c r="I3510" s="33">
        <v>0</v>
      </c>
      <c r="J3510" s="33">
        <v>1.07</v>
      </c>
      <c r="K3510" s="2">
        <v>0</v>
      </c>
      <c r="L3510" s="33">
        <v>3.0479999999999996</v>
      </c>
      <c r="M3510" s="33">
        <v>0</v>
      </c>
      <c r="N3510" s="3"/>
      <c r="O3510" s="33">
        <v>2.032</v>
      </c>
      <c r="Q3510" s="33">
        <v>41.4</v>
      </c>
    </row>
    <row r="3511" spans="1:17" x14ac:dyDescent="0.25">
      <c r="A3511" s="22">
        <v>41862</v>
      </c>
      <c r="B3511" s="33">
        <v>130.5</v>
      </c>
      <c r="C3511" s="33">
        <v>35</v>
      </c>
      <c r="D3511" s="33">
        <v>6.7</v>
      </c>
      <c r="F3511" s="33">
        <v>34.200000000000003</v>
      </c>
      <c r="G3511" s="33">
        <v>7.4</v>
      </c>
      <c r="H3511" s="2"/>
      <c r="I3511" s="33">
        <v>0</v>
      </c>
      <c r="J3511" s="33">
        <v>48.5</v>
      </c>
      <c r="K3511" s="2">
        <v>0</v>
      </c>
      <c r="L3511" s="33">
        <v>18.033999999999999</v>
      </c>
      <c r="M3511" s="33">
        <v>33.9</v>
      </c>
      <c r="N3511" s="3"/>
      <c r="O3511" s="33">
        <v>27.94</v>
      </c>
      <c r="Q3511" s="33">
        <v>0</v>
      </c>
    </row>
    <row r="3512" spans="1:17" x14ac:dyDescent="0.25">
      <c r="A3512" s="22">
        <v>41863</v>
      </c>
      <c r="B3512" s="33">
        <v>0</v>
      </c>
      <c r="C3512" s="33">
        <v>9.3000000000000007</v>
      </c>
      <c r="D3512" s="33">
        <v>0</v>
      </c>
      <c r="F3512" s="33">
        <v>12.3</v>
      </c>
      <c r="G3512" s="33">
        <v>10.3</v>
      </c>
      <c r="H3512" s="2"/>
      <c r="I3512" s="33">
        <v>32.799999999999997</v>
      </c>
      <c r="J3512" s="33">
        <v>12</v>
      </c>
      <c r="K3512" s="2">
        <v>0</v>
      </c>
      <c r="L3512" s="33">
        <v>2.2859999999999996</v>
      </c>
      <c r="M3512" s="33">
        <v>8.3000000000000007</v>
      </c>
      <c r="N3512" s="3"/>
      <c r="O3512" s="33">
        <v>29.717999999999996</v>
      </c>
      <c r="Q3512" s="33">
        <v>4</v>
      </c>
    </row>
    <row r="3513" spans="1:17" x14ac:dyDescent="0.25">
      <c r="A3513" s="22">
        <v>41864</v>
      </c>
      <c r="B3513" s="33">
        <v>0</v>
      </c>
      <c r="C3513" s="33">
        <v>7.8</v>
      </c>
      <c r="D3513" s="33">
        <v>11.9</v>
      </c>
      <c r="F3513" s="33">
        <v>0</v>
      </c>
      <c r="G3513" s="33">
        <v>10.5</v>
      </c>
      <c r="H3513" s="2"/>
      <c r="I3513" s="33">
        <v>0</v>
      </c>
      <c r="J3513" s="33">
        <v>0</v>
      </c>
      <c r="K3513" s="2">
        <v>235</v>
      </c>
      <c r="L3513" s="33">
        <v>5.3339999999999996</v>
      </c>
      <c r="M3513" s="33">
        <v>5.0999999999999996</v>
      </c>
      <c r="N3513" s="3"/>
      <c r="O3513" s="33">
        <v>16.763999999999999</v>
      </c>
      <c r="Q3513" s="33">
        <v>0</v>
      </c>
    </row>
    <row r="3514" spans="1:17" x14ac:dyDescent="0.25">
      <c r="A3514" s="22">
        <v>41865</v>
      </c>
      <c r="B3514" s="33">
        <v>0</v>
      </c>
      <c r="C3514" s="33">
        <v>0</v>
      </c>
      <c r="D3514" s="33">
        <v>0</v>
      </c>
      <c r="F3514" s="33">
        <v>12</v>
      </c>
      <c r="G3514" s="33">
        <v>7.1</v>
      </c>
      <c r="H3514" s="2"/>
      <c r="I3514" s="33">
        <v>14</v>
      </c>
      <c r="J3514" s="33">
        <v>14.5</v>
      </c>
      <c r="K3514" s="2">
        <v>0</v>
      </c>
      <c r="L3514" s="33">
        <v>0</v>
      </c>
      <c r="M3514" s="33">
        <v>9.8000000000000007</v>
      </c>
      <c r="N3514" s="3"/>
      <c r="O3514" s="33">
        <v>20.32</v>
      </c>
      <c r="Q3514" s="33">
        <v>2.2999999999999998</v>
      </c>
    </row>
    <row r="3515" spans="1:17" x14ac:dyDescent="0.25">
      <c r="A3515" s="22">
        <v>41866</v>
      </c>
      <c r="B3515" s="33">
        <v>0</v>
      </c>
      <c r="C3515" s="33">
        <v>0.3</v>
      </c>
      <c r="D3515" s="33">
        <v>1</v>
      </c>
      <c r="F3515" s="33">
        <v>3.2</v>
      </c>
      <c r="G3515" s="33">
        <v>3.2</v>
      </c>
      <c r="H3515" s="1"/>
      <c r="I3515" s="33">
        <v>5</v>
      </c>
      <c r="J3515" s="33">
        <v>11.6</v>
      </c>
      <c r="K3515" s="2">
        <v>0</v>
      </c>
      <c r="L3515" s="33">
        <v>3.8099999999999996</v>
      </c>
      <c r="M3515" s="33">
        <v>4.9000000000000004</v>
      </c>
      <c r="N3515" s="1"/>
      <c r="O3515" s="33">
        <v>8.1280000000000001</v>
      </c>
      <c r="Q3515" s="33">
        <v>33.799999999999997</v>
      </c>
    </row>
    <row r="3516" spans="1:17" x14ac:dyDescent="0.25">
      <c r="A3516" s="22">
        <v>41867</v>
      </c>
      <c r="B3516" s="33">
        <v>0</v>
      </c>
      <c r="C3516" s="33">
        <v>23.6</v>
      </c>
      <c r="D3516" s="33">
        <v>29</v>
      </c>
      <c r="F3516" s="33">
        <v>0</v>
      </c>
      <c r="G3516" s="33">
        <v>1.6</v>
      </c>
      <c r="H3516" s="1"/>
      <c r="I3516" s="33">
        <v>1.6</v>
      </c>
      <c r="J3516" s="33">
        <v>1.03</v>
      </c>
      <c r="K3516" s="2">
        <v>40.5</v>
      </c>
      <c r="L3516" s="33">
        <v>54.609999999999992</v>
      </c>
      <c r="M3516" s="33">
        <v>15.2</v>
      </c>
      <c r="N3516" s="3"/>
      <c r="O3516" s="33">
        <v>1.27</v>
      </c>
      <c r="Q3516" s="33">
        <v>0.9</v>
      </c>
    </row>
    <row r="3517" spans="1:17" x14ac:dyDescent="0.25">
      <c r="A3517" s="22">
        <v>41868</v>
      </c>
      <c r="B3517" s="33">
        <v>11.3</v>
      </c>
      <c r="C3517" s="33">
        <v>0</v>
      </c>
      <c r="D3517" s="33">
        <v>10</v>
      </c>
      <c r="F3517" s="33">
        <v>0</v>
      </c>
      <c r="G3517" s="33">
        <v>6.1</v>
      </c>
      <c r="H3517" s="2"/>
      <c r="I3517" s="33">
        <v>2</v>
      </c>
      <c r="J3517" s="33">
        <v>0.04</v>
      </c>
      <c r="K3517" s="2">
        <v>0</v>
      </c>
      <c r="L3517" s="33">
        <v>0</v>
      </c>
      <c r="M3517" s="33">
        <v>9.5</v>
      </c>
      <c r="N3517" s="3"/>
      <c r="O3517" s="33">
        <v>1.27</v>
      </c>
      <c r="Q3517" s="33">
        <v>0</v>
      </c>
    </row>
    <row r="3518" spans="1:17" x14ac:dyDescent="0.25">
      <c r="A3518" s="22">
        <v>41869</v>
      </c>
      <c r="B3518" s="33">
        <v>0</v>
      </c>
      <c r="C3518" s="33">
        <v>4.5999999999999996</v>
      </c>
      <c r="D3518" s="33">
        <v>2</v>
      </c>
      <c r="F3518" s="33">
        <v>0</v>
      </c>
      <c r="G3518" s="33">
        <v>35.5</v>
      </c>
      <c r="H3518" s="2"/>
      <c r="I3518" s="33">
        <v>3</v>
      </c>
      <c r="J3518" s="33">
        <v>16.899999999999999</v>
      </c>
      <c r="K3518" s="1">
        <v>0</v>
      </c>
      <c r="L3518" s="33">
        <v>2.2859999999999996</v>
      </c>
      <c r="M3518" s="33">
        <v>0</v>
      </c>
      <c r="N3518" s="3"/>
      <c r="O3518" s="33">
        <v>5.8419999999999996</v>
      </c>
      <c r="Q3518" s="33">
        <v>0.2</v>
      </c>
    </row>
    <row r="3519" spans="1:17" x14ac:dyDescent="0.25">
      <c r="A3519" s="22">
        <v>41870</v>
      </c>
      <c r="B3519" s="33">
        <v>0</v>
      </c>
      <c r="C3519" s="33">
        <v>1.6</v>
      </c>
      <c r="D3519" s="33">
        <v>0</v>
      </c>
      <c r="F3519" s="33">
        <v>22.1</v>
      </c>
      <c r="G3519" s="33">
        <v>1.1000000000000001</v>
      </c>
      <c r="H3519" s="2"/>
      <c r="I3519" s="33">
        <v>31.7</v>
      </c>
      <c r="J3519" s="33">
        <v>37.9</v>
      </c>
      <c r="K3519" s="2">
        <v>0</v>
      </c>
      <c r="L3519" s="33">
        <v>2.032</v>
      </c>
      <c r="M3519" s="33">
        <v>12</v>
      </c>
      <c r="N3519" s="3"/>
      <c r="O3519" s="33">
        <v>27.178000000000001</v>
      </c>
      <c r="Q3519" s="33">
        <v>0</v>
      </c>
    </row>
    <row r="3520" spans="1:17" x14ac:dyDescent="0.25">
      <c r="A3520" s="22">
        <v>41871</v>
      </c>
      <c r="B3520" s="33">
        <v>0</v>
      </c>
      <c r="C3520" s="33">
        <v>0.3</v>
      </c>
      <c r="D3520" s="33">
        <v>0</v>
      </c>
      <c r="F3520" s="33">
        <v>6.4</v>
      </c>
      <c r="G3520" s="33">
        <v>4.2</v>
      </c>
      <c r="H3520" s="1"/>
      <c r="I3520" s="33">
        <v>0</v>
      </c>
      <c r="J3520" s="33">
        <v>0.03</v>
      </c>
      <c r="K3520" s="1">
        <v>0</v>
      </c>
      <c r="L3520" s="33">
        <v>0</v>
      </c>
      <c r="M3520" s="33">
        <v>0</v>
      </c>
      <c r="N3520" s="3"/>
      <c r="O3520" s="33">
        <v>17.779999999999998</v>
      </c>
      <c r="Q3520" s="33">
        <v>11.3</v>
      </c>
    </row>
    <row r="3521" spans="1:17" x14ac:dyDescent="0.25">
      <c r="A3521" s="22">
        <v>41872</v>
      </c>
      <c r="B3521" s="33">
        <v>0</v>
      </c>
      <c r="C3521" s="33">
        <v>9.5</v>
      </c>
      <c r="D3521" s="33">
        <v>15.2</v>
      </c>
      <c r="F3521" s="33">
        <v>0</v>
      </c>
      <c r="G3521" s="33">
        <v>51.2</v>
      </c>
      <c r="H3521" s="1"/>
      <c r="I3521" s="33">
        <v>1.8</v>
      </c>
      <c r="J3521" s="33">
        <v>5.05</v>
      </c>
      <c r="K3521" s="1">
        <v>17.600000000000001</v>
      </c>
      <c r="L3521" s="33">
        <v>12.7</v>
      </c>
      <c r="M3521" s="33">
        <v>21.3</v>
      </c>
      <c r="N3521" s="3"/>
      <c r="O3521" s="33">
        <v>10.667999999999999</v>
      </c>
      <c r="Q3521" s="33">
        <v>5.4</v>
      </c>
    </row>
    <row r="3522" spans="1:17" x14ac:dyDescent="0.25">
      <c r="A3522" s="22">
        <v>41873</v>
      </c>
      <c r="B3522" s="33">
        <v>0</v>
      </c>
      <c r="C3522" s="33">
        <v>13</v>
      </c>
      <c r="D3522" s="33">
        <v>6.7</v>
      </c>
      <c r="F3522" s="33">
        <v>39.200000000000003</v>
      </c>
      <c r="G3522" s="33">
        <v>41.4</v>
      </c>
      <c r="H3522" s="2"/>
      <c r="I3522" s="33">
        <v>64.5</v>
      </c>
      <c r="J3522" s="33">
        <v>39</v>
      </c>
      <c r="K3522" s="1">
        <v>0</v>
      </c>
      <c r="L3522" s="33">
        <v>4.8259999999999996</v>
      </c>
      <c r="M3522" s="33">
        <v>27.5</v>
      </c>
      <c r="N3522" s="3"/>
      <c r="O3522" s="33">
        <v>22.86</v>
      </c>
      <c r="Q3522" s="33">
        <v>12.9</v>
      </c>
    </row>
    <row r="3523" spans="1:17" x14ac:dyDescent="0.25">
      <c r="A3523" s="22">
        <v>41874</v>
      </c>
      <c r="B3523" s="33">
        <v>0</v>
      </c>
      <c r="C3523" s="33">
        <v>29.7</v>
      </c>
      <c r="D3523" s="33">
        <v>18.899999999999999</v>
      </c>
      <c r="F3523" s="33">
        <v>37</v>
      </c>
      <c r="G3523" s="33">
        <v>23.7</v>
      </c>
      <c r="H3523" s="1"/>
      <c r="I3523" s="33">
        <v>0</v>
      </c>
      <c r="J3523" s="33">
        <v>4.08</v>
      </c>
      <c r="K3523" s="1">
        <v>0</v>
      </c>
      <c r="L3523" s="33">
        <v>7.8739999999999997</v>
      </c>
      <c r="M3523" s="33">
        <v>45.5</v>
      </c>
      <c r="N3523" s="3"/>
      <c r="O3523" s="33">
        <v>20.065999999999999</v>
      </c>
      <c r="Q3523" s="33">
        <v>0.9</v>
      </c>
    </row>
    <row r="3524" spans="1:17" x14ac:dyDescent="0.25">
      <c r="A3524" s="22">
        <v>41875</v>
      </c>
      <c r="B3524" s="33">
        <v>0</v>
      </c>
      <c r="C3524" s="33">
        <v>0</v>
      </c>
      <c r="D3524" s="33">
        <v>15.6</v>
      </c>
      <c r="F3524" s="33">
        <v>0</v>
      </c>
      <c r="G3524" s="33">
        <v>0</v>
      </c>
      <c r="H3524" s="1"/>
      <c r="I3524" s="33">
        <v>11.5</v>
      </c>
      <c r="J3524" s="33">
        <v>1.03</v>
      </c>
      <c r="K3524" s="2">
        <v>0</v>
      </c>
      <c r="L3524" s="33">
        <v>4.3180000000000005</v>
      </c>
      <c r="M3524" s="33">
        <v>9</v>
      </c>
      <c r="N3524" s="3"/>
      <c r="O3524" s="33">
        <v>20.32</v>
      </c>
      <c r="Q3524" s="33">
        <v>0.1</v>
      </c>
    </row>
    <row r="3525" spans="1:17" x14ac:dyDescent="0.25">
      <c r="A3525" s="22">
        <v>41876</v>
      </c>
      <c r="B3525" s="33">
        <v>170</v>
      </c>
      <c r="C3525" s="33">
        <v>12.2</v>
      </c>
      <c r="D3525" s="33">
        <v>0</v>
      </c>
      <c r="F3525" s="33">
        <v>0</v>
      </c>
      <c r="G3525" s="33">
        <v>0</v>
      </c>
      <c r="H3525" s="1"/>
      <c r="I3525" s="33">
        <v>0</v>
      </c>
      <c r="J3525" s="33">
        <v>0</v>
      </c>
      <c r="K3525" s="2">
        <v>0</v>
      </c>
      <c r="L3525" s="33">
        <v>0.7619999999999999</v>
      </c>
      <c r="M3525" s="33">
        <v>0</v>
      </c>
      <c r="N3525" s="3"/>
      <c r="O3525" s="33">
        <v>2.54</v>
      </c>
      <c r="Q3525" s="33">
        <v>8.6999999999999993</v>
      </c>
    </row>
    <row r="3526" spans="1:17" x14ac:dyDescent="0.25">
      <c r="A3526" s="22">
        <v>41877</v>
      </c>
      <c r="B3526" s="33">
        <v>0</v>
      </c>
      <c r="C3526" s="33">
        <v>7</v>
      </c>
      <c r="D3526" s="33">
        <v>0</v>
      </c>
      <c r="F3526" s="33">
        <v>0</v>
      </c>
      <c r="G3526" s="33">
        <v>0</v>
      </c>
      <c r="H3526" s="1"/>
      <c r="I3526" s="33">
        <v>0</v>
      </c>
      <c r="J3526" s="33">
        <v>0</v>
      </c>
      <c r="K3526" s="2">
        <v>0</v>
      </c>
      <c r="L3526" s="33">
        <v>11.43</v>
      </c>
      <c r="M3526" s="33">
        <v>4.2</v>
      </c>
      <c r="N3526" s="3"/>
      <c r="O3526" s="33">
        <v>0</v>
      </c>
      <c r="Q3526" s="33">
        <v>12.8</v>
      </c>
    </row>
    <row r="3527" spans="1:17" x14ac:dyDescent="0.25">
      <c r="A3527" s="22">
        <v>41878</v>
      </c>
      <c r="B3527" s="33">
        <v>0</v>
      </c>
      <c r="C3527" s="33">
        <v>13</v>
      </c>
      <c r="D3527" s="33">
        <v>25.1</v>
      </c>
      <c r="F3527" s="33">
        <v>0</v>
      </c>
      <c r="G3527" s="33">
        <v>0</v>
      </c>
      <c r="H3527" s="1"/>
      <c r="I3527" s="33">
        <v>0</v>
      </c>
      <c r="J3527" s="33">
        <v>0</v>
      </c>
      <c r="K3527" s="1">
        <v>0</v>
      </c>
      <c r="L3527" s="33">
        <v>9.3979999999999997</v>
      </c>
      <c r="M3527" s="33">
        <v>0</v>
      </c>
      <c r="N3527" s="3"/>
      <c r="O3527" s="33">
        <v>0</v>
      </c>
      <c r="Q3527" s="33">
        <v>5.2</v>
      </c>
    </row>
    <row r="3528" spans="1:17" x14ac:dyDescent="0.25">
      <c r="A3528" s="22">
        <v>41879</v>
      </c>
      <c r="B3528" s="33">
        <v>0</v>
      </c>
      <c r="C3528" s="33">
        <v>0</v>
      </c>
      <c r="D3528" s="33">
        <v>2.9</v>
      </c>
      <c r="F3528" s="33">
        <v>0</v>
      </c>
      <c r="G3528" s="33">
        <v>0.6</v>
      </c>
      <c r="H3528" s="1"/>
      <c r="I3528" s="33">
        <v>0</v>
      </c>
      <c r="J3528" s="33">
        <v>0</v>
      </c>
      <c r="K3528" s="1">
        <v>0</v>
      </c>
      <c r="L3528" s="33">
        <v>6.35</v>
      </c>
      <c r="M3528" s="33">
        <v>0</v>
      </c>
      <c r="N3528" s="3"/>
      <c r="O3528" s="33">
        <v>0</v>
      </c>
      <c r="Q3528" s="33">
        <v>0</v>
      </c>
    </row>
    <row r="3529" spans="1:17" x14ac:dyDescent="0.25">
      <c r="A3529" s="22">
        <v>41880</v>
      </c>
      <c r="B3529" s="33">
        <v>0</v>
      </c>
      <c r="C3529" s="33">
        <v>12.2</v>
      </c>
      <c r="D3529" s="33">
        <v>11.4</v>
      </c>
      <c r="F3529" s="33">
        <v>0</v>
      </c>
      <c r="G3529" s="33">
        <v>22.1</v>
      </c>
      <c r="H3529" s="1"/>
      <c r="I3529" s="33">
        <v>0</v>
      </c>
      <c r="J3529" s="33">
        <v>0</v>
      </c>
      <c r="K3529" s="1">
        <v>0</v>
      </c>
      <c r="L3529" s="33">
        <v>4.3180000000000005</v>
      </c>
      <c r="M3529" s="33">
        <v>12.4</v>
      </c>
      <c r="N3529" s="3"/>
      <c r="O3529" s="33">
        <v>1.27</v>
      </c>
      <c r="Q3529" s="33">
        <v>5</v>
      </c>
    </row>
    <row r="3530" spans="1:17" x14ac:dyDescent="0.25">
      <c r="A3530" s="22">
        <v>41881</v>
      </c>
      <c r="B3530" s="33">
        <v>0</v>
      </c>
      <c r="C3530" s="33">
        <v>10.5</v>
      </c>
      <c r="D3530" s="33">
        <v>11.2</v>
      </c>
      <c r="F3530" s="33">
        <v>0</v>
      </c>
      <c r="G3530" s="33">
        <v>11.8</v>
      </c>
      <c r="H3530" s="1"/>
      <c r="I3530" s="33">
        <v>16.100000000000001</v>
      </c>
      <c r="J3530" s="33">
        <v>17.7</v>
      </c>
      <c r="K3530" s="1">
        <v>0</v>
      </c>
      <c r="L3530" s="33">
        <v>2.2859999999999996</v>
      </c>
      <c r="M3530" s="33">
        <v>12.9</v>
      </c>
      <c r="N3530" s="3"/>
      <c r="O3530" s="33">
        <v>38.607999999999997</v>
      </c>
      <c r="Q3530" s="33">
        <v>12.1</v>
      </c>
    </row>
    <row r="3531" spans="1:17" x14ac:dyDescent="0.25">
      <c r="A3531" s="22">
        <v>41882</v>
      </c>
      <c r="B3531" s="2"/>
      <c r="C3531" s="1">
        <v>6</v>
      </c>
      <c r="D3531" s="33">
        <v>35.299999999999997</v>
      </c>
      <c r="F3531" s="2"/>
      <c r="G3531" s="33"/>
      <c r="H3531" s="1"/>
      <c r="I3531" s="2"/>
      <c r="J3531" s="2"/>
      <c r="K3531" s="1">
        <v>0</v>
      </c>
      <c r="L3531" s="33">
        <v>18.288</v>
      </c>
      <c r="M3531" s="1"/>
      <c r="N3531" s="3"/>
      <c r="O3531" s="1"/>
      <c r="Q3531" s="1"/>
    </row>
    <row r="3532" spans="1:17" x14ac:dyDescent="0.25">
      <c r="A3532" s="22">
        <v>41883</v>
      </c>
      <c r="B3532" s="2"/>
      <c r="C3532" s="1">
        <v>30.4</v>
      </c>
      <c r="D3532" s="33">
        <v>21.7</v>
      </c>
      <c r="F3532" s="2"/>
      <c r="G3532" s="33">
        <v>10.1</v>
      </c>
      <c r="H3532" s="1"/>
      <c r="I3532" s="33">
        <v>6.3</v>
      </c>
      <c r="J3532" s="33">
        <v>25.2</v>
      </c>
      <c r="K3532" s="33">
        <v>0</v>
      </c>
      <c r="L3532" s="1">
        <v>22.605999999999998</v>
      </c>
      <c r="M3532" s="2"/>
      <c r="N3532" s="3"/>
      <c r="O3532" s="1"/>
      <c r="Q3532" s="33">
        <v>31.3</v>
      </c>
    </row>
    <row r="3533" spans="1:17" x14ac:dyDescent="0.25">
      <c r="A3533" s="22">
        <v>41884</v>
      </c>
      <c r="B3533" s="2"/>
      <c r="C3533" s="2">
        <v>17.100000000000001</v>
      </c>
      <c r="D3533" s="33">
        <v>22.8</v>
      </c>
      <c r="F3533" s="2"/>
      <c r="G3533" s="33">
        <v>11.5</v>
      </c>
      <c r="H3533" s="1"/>
      <c r="I3533" s="33">
        <v>9.8000000000000007</v>
      </c>
      <c r="J3533" s="33">
        <v>9.3000000000000007</v>
      </c>
      <c r="K3533" s="33">
        <v>0</v>
      </c>
      <c r="L3533" s="1">
        <v>6.0959999999999992</v>
      </c>
      <c r="M3533" s="2"/>
      <c r="N3533" s="3"/>
      <c r="O3533" s="1"/>
      <c r="Q3533" s="33">
        <v>2.5</v>
      </c>
    </row>
    <row r="3534" spans="1:17" x14ac:dyDescent="0.25">
      <c r="A3534" s="22">
        <v>41885</v>
      </c>
      <c r="B3534" s="2"/>
      <c r="C3534" s="2">
        <v>5.2</v>
      </c>
      <c r="D3534" s="33">
        <v>7.4</v>
      </c>
      <c r="F3534" s="2"/>
      <c r="G3534" s="33">
        <v>12.5</v>
      </c>
      <c r="H3534" s="1"/>
      <c r="I3534" s="33">
        <v>6.2</v>
      </c>
      <c r="J3534" s="33">
        <v>4.0199999999999996</v>
      </c>
      <c r="K3534" s="33">
        <v>11</v>
      </c>
      <c r="L3534" s="1">
        <v>0.7619999999999999</v>
      </c>
      <c r="M3534" s="2"/>
      <c r="N3534" s="3"/>
      <c r="O3534" s="1"/>
      <c r="Q3534" s="33">
        <v>3.9</v>
      </c>
    </row>
    <row r="3535" spans="1:17" x14ac:dyDescent="0.25">
      <c r="A3535" s="22">
        <v>41886</v>
      </c>
      <c r="B3535" s="2"/>
      <c r="C3535" s="2">
        <v>23.8</v>
      </c>
      <c r="D3535" s="33">
        <v>19</v>
      </c>
      <c r="F3535" s="2"/>
      <c r="G3535" s="33">
        <v>8.5</v>
      </c>
      <c r="H3535" s="1"/>
      <c r="I3535" s="33">
        <v>7.3</v>
      </c>
      <c r="J3535" s="33">
        <v>28.4</v>
      </c>
      <c r="K3535" s="33">
        <v>0</v>
      </c>
      <c r="L3535" s="1">
        <v>13.97</v>
      </c>
      <c r="M3535" s="2"/>
      <c r="N3535" s="3"/>
      <c r="O3535" s="2"/>
      <c r="Q3535" s="33">
        <v>3.1</v>
      </c>
    </row>
    <row r="3536" spans="1:17" x14ac:dyDescent="0.25">
      <c r="A3536" s="22">
        <v>41887</v>
      </c>
      <c r="B3536" s="2"/>
      <c r="C3536" s="2">
        <v>12.2</v>
      </c>
      <c r="D3536" s="33">
        <v>9.1</v>
      </c>
      <c r="F3536" s="2"/>
      <c r="G3536" s="33">
        <v>24.8</v>
      </c>
      <c r="H3536" s="1"/>
      <c r="I3536" s="33">
        <v>5.5</v>
      </c>
      <c r="J3536" s="33">
        <v>8</v>
      </c>
      <c r="K3536" s="33">
        <v>30</v>
      </c>
      <c r="L3536" s="1">
        <v>1.016</v>
      </c>
      <c r="M3536" s="1"/>
      <c r="N3536" s="3"/>
      <c r="O3536" s="1"/>
      <c r="Q3536" s="33">
        <v>2.2999999999999998</v>
      </c>
    </row>
    <row r="3537" spans="1:17" x14ac:dyDescent="0.25">
      <c r="A3537" s="22">
        <v>41888</v>
      </c>
      <c r="B3537" s="2"/>
      <c r="C3537" s="2">
        <v>32.200000000000003</v>
      </c>
      <c r="D3537" s="33">
        <v>23.7</v>
      </c>
      <c r="F3537" s="2"/>
      <c r="G3537" s="33">
        <v>0.1</v>
      </c>
      <c r="H3537" s="1"/>
      <c r="I3537" s="33">
        <v>16.5</v>
      </c>
      <c r="J3537" s="33">
        <v>3.05</v>
      </c>
      <c r="K3537" s="33">
        <v>0</v>
      </c>
      <c r="L3537" s="1">
        <v>13.208</v>
      </c>
      <c r="M3537" s="2"/>
      <c r="N3537" s="3"/>
      <c r="O3537" s="1"/>
      <c r="Q3537" s="33">
        <v>4.2</v>
      </c>
    </row>
    <row r="3538" spans="1:17" x14ac:dyDescent="0.25">
      <c r="A3538" s="22">
        <v>41889</v>
      </c>
      <c r="B3538" s="2"/>
      <c r="C3538" s="2">
        <v>0</v>
      </c>
      <c r="D3538" s="33">
        <v>17.7</v>
      </c>
      <c r="F3538" s="2"/>
      <c r="G3538" s="33">
        <v>0</v>
      </c>
      <c r="H3538" s="1"/>
      <c r="I3538" s="33">
        <v>0</v>
      </c>
      <c r="J3538" s="33">
        <v>0.4</v>
      </c>
      <c r="K3538" s="33">
        <v>25.5</v>
      </c>
      <c r="L3538" s="1">
        <v>0</v>
      </c>
      <c r="M3538" s="1"/>
      <c r="N3538" s="3"/>
      <c r="O3538" s="1"/>
      <c r="Q3538" s="33">
        <v>3</v>
      </c>
    </row>
    <row r="3539" spans="1:17" x14ac:dyDescent="0.25">
      <c r="A3539" s="22">
        <v>41890</v>
      </c>
      <c r="B3539" s="2"/>
      <c r="C3539" s="1">
        <v>0</v>
      </c>
      <c r="D3539" s="33">
        <v>2.4</v>
      </c>
      <c r="F3539" s="2"/>
      <c r="G3539" s="33">
        <v>0</v>
      </c>
      <c r="H3539" s="2"/>
      <c r="I3539" s="33">
        <v>0</v>
      </c>
      <c r="J3539" s="33">
        <v>0</v>
      </c>
      <c r="K3539" s="33">
        <v>0</v>
      </c>
      <c r="L3539" s="1">
        <v>0</v>
      </c>
      <c r="M3539" s="2"/>
      <c r="N3539" s="3"/>
      <c r="O3539" s="1"/>
      <c r="Q3539" s="33">
        <v>0</v>
      </c>
    </row>
    <row r="3540" spans="1:17" x14ac:dyDescent="0.25">
      <c r="A3540" s="22">
        <v>41891</v>
      </c>
      <c r="B3540" s="2"/>
      <c r="C3540" s="2">
        <v>0</v>
      </c>
      <c r="D3540" s="33">
        <v>0</v>
      </c>
      <c r="F3540" s="2"/>
      <c r="G3540" s="33">
        <v>35.700000000000003</v>
      </c>
      <c r="H3540" s="2"/>
      <c r="I3540" s="33">
        <v>0</v>
      </c>
      <c r="J3540" s="33">
        <v>0</v>
      </c>
      <c r="K3540" s="33">
        <v>0</v>
      </c>
      <c r="L3540" s="1">
        <v>0</v>
      </c>
      <c r="M3540" s="2"/>
      <c r="N3540" s="3"/>
      <c r="O3540" s="1"/>
      <c r="Q3540" s="33">
        <v>1.7</v>
      </c>
    </row>
    <row r="3541" spans="1:17" x14ac:dyDescent="0.25">
      <c r="A3541" s="22">
        <v>41892</v>
      </c>
      <c r="B3541" s="2"/>
      <c r="C3541" s="2">
        <v>0</v>
      </c>
      <c r="D3541" s="33">
        <v>4.5</v>
      </c>
      <c r="F3541" s="2"/>
      <c r="G3541" s="33">
        <v>9.5</v>
      </c>
      <c r="H3541" s="2"/>
      <c r="I3541" s="33">
        <v>0</v>
      </c>
      <c r="J3541" s="33">
        <v>1.07</v>
      </c>
      <c r="K3541" s="33">
        <v>0</v>
      </c>
      <c r="L3541" s="1">
        <v>0</v>
      </c>
      <c r="M3541" s="2"/>
      <c r="N3541" s="3"/>
      <c r="O3541" s="2"/>
      <c r="Q3541" s="33">
        <v>26.8</v>
      </c>
    </row>
    <row r="3542" spans="1:17" x14ac:dyDescent="0.25">
      <c r="A3542" s="22">
        <v>41893</v>
      </c>
      <c r="B3542" s="2"/>
      <c r="C3542" s="2">
        <v>0</v>
      </c>
      <c r="D3542" s="33">
        <v>43.7</v>
      </c>
      <c r="F3542" s="2"/>
      <c r="G3542" s="33">
        <v>7.4</v>
      </c>
      <c r="H3542" s="2"/>
      <c r="I3542" s="33">
        <v>0</v>
      </c>
      <c r="J3542" s="33">
        <v>48.5</v>
      </c>
      <c r="K3542" s="33">
        <v>0</v>
      </c>
      <c r="L3542" s="1">
        <v>1.27</v>
      </c>
      <c r="M3542" s="2"/>
      <c r="N3542" s="3"/>
      <c r="O3542" s="2"/>
      <c r="Q3542" s="33">
        <v>12.1</v>
      </c>
    </row>
    <row r="3543" spans="1:17" x14ac:dyDescent="0.25">
      <c r="A3543" s="22">
        <v>41894</v>
      </c>
      <c r="B3543" s="2"/>
      <c r="C3543" s="1">
        <v>32.6</v>
      </c>
      <c r="D3543" s="33">
        <v>32.1</v>
      </c>
      <c r="F3543" s="2"/>
      <c r="G3543" s="33">
        <v>10.3</v>
      </c>
      <c r="H3543" s="2"/>
      <c r="I3543" s="33">
        <v>32.799999999999997</v>
      </c>
      <c r="J3543" s="33">
        <v>12</v>
      </c>
      <c r="K3543" s="33">
        <v>0</v>
      </c>
      <c r="L3543" s="1">
        <v>10.413999999999998</v>
      </c>
      <c r="M3543" s="1"/>
      <c r="N3543" s="3"/>
      <c r="O3543" s="1"/>
      <c r="Q3543" s="33">
        <v>2.1</v>
      </c>
    </row>
    <row r="3544" spans="1:17" x14ac:dyDescent="0.25">
      <c r="A3544" s="22">
        <v>41895</v>
      </c>
      <c r="B3544" s="2"/>
      <c r="C3544" s="1">
        <v>1.2</v>
      </c>
      <c r="D3544" s="33">
        <v>3.1</v>
      </c>
      <c r="F3544" s="2"/>
      <c r="G3544" s="33">
        <v>10.5</v>
      </c>
      <c r="H3544" s="2"/>
      <c r="I3544" s="33">
        <v>0</v>
      </c>
      <c r="J3544" s="33">
        <v>0</v>
      </c>
      <c r="K3544" s="33">
        <v>0</v>
      </c>
      <c r="L3544" s="1">
        <v>7.8739999999999997</v>
      </c>
      <c r="M3544" s="1"/>
      <c r="N3544" s="3"/>
      <c r="O3544" s="1"/>
      <c r="Q3544" s="33">
        <v>3.6</v>
      </c>
    </row>
    <row r="3545" spans="1:17" x14ac:dyDescent="0.25">
      <c r="A3545" s="22">
        <v>41896</v>
      </c>
      <c r="B3545" s="2"/>
      <c r="C3545" s="2">
        <v>11</v>
      </c>
      <c r="D3545" s="33">
        <v>17.899999999999999</v>
      </c>
      <c r="F3545" s="2"/>
      <c r="G3545" s="33">
        <v>7.1</v>
      </c>
      <c r="H3545" s="2"/>
      <c r="I3545" s="33">
        <v>14</v>
      </c>
      <c r="J3545" s="33">
        <v>14.5</v>
      </c>
      <c r="K3545" s="33">
        <v>0</v>
      </c>
      <c r="L3545" s="1">
        <v>4.3180000000000005</v>
      </c>
      <c r="M3545" s="2"/>
      <c r="N3545" s="3"/>
      <c r="O3545" s="2"/>
      <c r="Q3545" s="33">
        <v>23.7</v>
      </c>
    </row>
    <row r="3546" spans="1:17" x14ac:dyDescent="0.25">
      <c r="A3546" s="22">
        <v>41897</v>
      </c>
      <c r="B3546" s="2"/>
      <c r="C3546" s="2">
        <v>10.199999999999999</v>
      </c>
      <c r="D3546" s="33">
        <v>11.5</v>
      </c>
      <c r="F3546" s="2"/>
      <c r="G3546" s="33">
        <v>3.2</v>
      </c>
      <c r="H3546" s="1"/>
      <c r="I3546" s="33">
        <v>5</v>
      </c>
      <c r="J3546" s="33">
        <v>11.6</v>
      </c>
      <c r="K3546" s="33">
        <v>115</v>
      </c>
      <c r="L3546" s="1">
        <v>5.8419999999999996</v>
      </c>
      <c r="M3546" s="1"/>
      <c r="N3546" s="1"/>
      <c r="O3546" s="2"/>
      <c r="Q3546" s="33">
        <v>8.4</v>
      </c>
    </row>
    <row r="3547" spans="1:17" x14ac:dyDescent="0.25">
      <c r="A3547" s="22">
        <v>41898</v>
      </c>
      <c r="B3547" s="2"/>
      <c r="C3547" s="2">
        <v>2.2000000000000002</v>
      </c>
      <c r="D3547" s="33">
        <v>3.6</v>
      </c>
      <c r="F3547" s="2"/>
      <c r="G3547" s="33">
        <v>1.6</v>
      </c>
      <c r="H3547" s="1"/>
      <c r="I3547" s="33">
        <v>1.6</v>
      </c>
      <c r="J3547" s="33">
        <v>1.03</v>
      </c>
      <c r="K3547" s="33">
        <v>2</v>
      </c>
      <c r="L3547" s="1">
        <v>3.556</v>
      </c>
      <c r="M3547" s="2"/>
      <c r="N3547" s="3"/>
      <c r="O3547" s="1"/>
      <c r="Q3547" s="33">
        <v>0.9</v>
      </c>
    </row>
    <row r="3548" spans="1:17" x14ac:dyDescent="0.25">
      <c r="A3548" s="22">
        <v>41899</v>
      </c>
      <c r="B3548" s="2"/>
      <c r="C3548" s="2">
        <v>0.6</v>
      </c>
      <c r="D3548" s="33">
        <v>3.5</v>
      </c>
      <c r="F3548" s="2"/>
      <c r="G3548" s="33">
        <v>6.11</v>
      </c>
      <c r="H3548" s="2"/>
      <c r="I3548" s="33">
        <v>2</v>
      </c>
      <c r="J3548" s="33">
        <v>0.04</v>
      </c>
      <c r="K3548" s="33">
        <v>1.4</v>
      </c>
      <c r="L3548" s="1">
        <v>3.0479999999999996</v>
      </c>
      <c r="M3548" s="2"/>
      <c r="N3548" s="3"/>
      <c r="O3548" s="2"/>
      <c r="Q3548" s="33">
        <v>3.5</v>
      </c>
    </row>
    <row r="3549" spans="1:17" x14ac:dyDescent="0.25">
      <c r="A3549" s="22">
        <v>41900</v>
      </c>
      <c r="B3549" s="2"/>
      <c r="C3549" s="1">
        <v>4.7</v>
      </c>
      <c r="D3549" s="33">
        <v>7.2</v>
      </c>
      <c r="F3549" s="2"/>
      <c r="G3549" s="33">
        <v>35.5</v>
      </c>
      <c r="H3549" s="2"/>
      <c r="I3549" s="33">
        <v>3</v>
      </c>
      <c r="J3549" s="33">
        <v>16.899999999999999</v>
      </c>
      <c r="K3549" s="33">
        <v>18.399999999999999</v>
      </c>
      <c r="L3549" s="1">
        <v>1.5239999999999998</v>
      </c>
      <c r="M3549" s="1"/>
      <c r="N3549" s="3"/>
      <c r="O3549" s="1"/>
      <c r="Q3549" s="33">
        <v>21.3</v>
      </c>
    </row>
    <row r="3550" spans="1:17" x14ac:dyDescent="0.25">
      <c r="A3550" s="22">
        <v>41901</v>
      </c>
      <c r="B3550" s="2"/>
      <c r="C3550" s="1">
        <v>26.8</v>
      </c>
      <c r="D3550" s="33">
        <v>48.3</v>
      </c>
      <c r="F3550" s="2"/>
      <c r="G3550" s="33">
        <v>1.1000000000000001</v>
      </c>
      <c r="H3550" s="2"/>
      <c r="I3550" s="33">
        <v>31.7</v>
      </c>
      <c r="J3550" s="33">
        <v>37.9</v>
      </c>
      <c r="K3550" s="33">
        <v>0</v>
      </c>
      <c r="L3550" s="1">
        <v>48.26</v>
      </c>
      <c r="M3550" s="1"/>
      <c r="N3550" s="3"/>
      <c r="O3550" s="1"/>
      <c r="Q3550" s="33">
        <v>3.7</v>
      </c>
    </row>
    <row r="3551" spans="1:17" x14ac:dyDescent="0.25">
      <c r="A3551" s="22">
        <v>41902</v>
      </c>
      <c r="B3551" s="2"/>
      <c r="C3551" s="2">
        <v>5.4</v>
      </c>
      <c r="D3551" s="33">
        <v>3.1</v>
      </c>
      <c r="F3551" s="2"/>
      <c r="G3551" s="33">
        <v>4.2</v>
      </c>
      <c r="H3551" s="1"/>
      <c r="I3551" s="33">
        <v>0</v>
      </c>
      <c r="J3551" s="33">
        <v>0.03</v>
      </c>
      <c r="K3551" s="33">
        <v>0</v>
      </c>
      <c r="L3551" s="1">
        <v>5.3339999999999996</v>
      </c>
      <c r="M3551" s="2"/>
      <c r="N3551" s="3"/>
      <c r="O3551" s="1"/>
      <c r="Q3551" s="33">
        <v>4.3</v>
      </c>
    </row>
    <row r="3552" spans="1:17" x14ac:dyDescent="0.25">
      <c r="A3552" s="22">
        <v>41903</v>
      </c>
      <c r="B3552" s="2"/>
      <c r="C3552" s="2">
        <v>6.4</v>
      </c>
      <c r="D3552" s="33">
        <v>11.9</v>
      </c>
      <c r="F3552" s="2"/>
      <c r="G3552" s="33">
        <v>51.2</v>
      </c>
      <c r="H3552" s="1"/>
      <c r="I3552" s="33">
        <v>1.8</v>
      </c>
      <c r="J3552" s="33">
        <v>5.05</v>
      </c>
      <c r="K3552" s="33">
        <v>0</v>
      </c>
      <c r="L3552" s="1">
        <v>1.27</v>
      </c>
      <c r="M3552" s="2"/>
      <c r="N3552" s="3"/>
      <c r="O3552" s="1"/>
      <c r="Q3552" s="33">
        <v>41.9</v>
      </c>
    </row>
    <row r="3553" spans="1:17" x14ac:dyDescent="0.25">
      <c r="A3553" s="22">
        <v>41904</v>
      </c>
      <c r="B3553" s="2"/>
      <c r="C3553" s="2">
        <v>28.6</v>
      </c>
      <c r="D3553" s="33">
        <v>40</v>
      </c>
      <c r="F3553" s="2"/>
      <c r="G3553" s="33">
        <v>41.4</v>
      </c>
      <c r="H3553" s="2"/>
      <c r="I3553" s="33">
        <v>64.5</v>
      </c>
      <c r="J3553" s="33">
        <v>39</v>
      </c>
      <c r="K3553" s="33">
        <v>53</v>
      </c>
      <c r="L3553" s="1">
        <v>43.942</v>
      </c>
      <c r="M3553" s="2"/>
      <c r="N3553" s="3"/>
      <c r="O3553" s="1"/>
      <c r="Q3553" s="33">
        <v>19.3</v>
      </c>
    </row>
    <row r="3554" spans="1:17" x14ac:dyDescent="0.25">
      <c r="A3554" s="22">
        <v>41905</v>
      </c>
      <c r="B3554" s="2"/>
      <c r="C3554" s="1">
        <v>33</v>
      </c>
      <c r="D3554" s="33">
        <v>25.3</v>
      </c>
      <c r="F3554" s="2"/>
      <c r="G3554" s="33">
        <v>23.7</v>
      </c>
      <c r="H3554" s="1"/>
      <c r="I3554" s="33">
        <v>0</v>
      </c>
      <c r="J3554" s="33">
        <v>4.08</v>
      </c>
      <c r="K3554" s="33">
        <v>30.5</v>
      </c>
      <c r="L3554" s="1">
        <v>20.065999999999999</v>
      </c>
      <c r="M3554" s="1"/>
      <c r="N3554" s="3"/>
      <c r="O3554" s="1"/>
      <c r="Q3554" s="33">
        <v>13.1</v>
      </c>
    </row>
    <row r="3555" spans="1:17" x14ac:dyDescent="0.25">
      <c r="A3555" s="22">
        <v>41906</v>
      </c>
      <c r="B3555" s="2"/>
      <c r="C3555" s="1">
        <v>55</v>
      </c>
      <c r="D3555" s="33">
        <v>50.5</v>
      </c>
      <c r="F3555" s="2"/>
      <c r="G3555" s="33">
        <v>0</v>
      </c>
      <c r="H3555" s="1"/>
      <c r="I3555" s="33">
        <v>11.5</v>
      </c>
      <c r="J3555" s="33">
        <v>1.03</v>
      </c>
      <c r="K3555" s="33">
        <v>0</v>
      </c>
      <c r="L3555" s="1">
        <v>18.287999999999997</v>
      </c>
      <c r="M3555" s="1"/>
      <c r="N3555" s="3"/>
      <c r="O3555" s="1"/>
      <c r="Q3555" s="33">
        <v>5</v>
      </c>
    </row>
    <row r="3556" spans="1:17" x14ac:dyDescent="0.25">
      <c r="A3556" s="22">
        <v>41907</v>
      </c>
      <c r="B3556" s="2"/>
      <c r="C3556" s="1">
        <v>0.5</v>
      </c>
      <c r="D3556" s="33">
        <v>4</v>
      </c>
      <c r="F3556" s="2"/>
      <c r="G3556" s="33">
        <v>0</v>
      </c>
      <c r="H3556" s="1"/>
      <c r="I3556" s="33">
        <v>0</v>
      </c>
      <c r="J3556" s="33">
        <v>0</v>
      </c>
      <c r="K3556" s="33">
        <v>0</v>
      </c>
      <c r="L3556" s="1">
        <v>10.413999999999998</v>
      </c>
      <c r="M3556" s="2"/>
      <c r="N3556" s="3"/>
      <c r="O3556" s="1"/>
      <c r="Q3556" s="33">
        <v>0.2</v>
      </c>
    </row>
    <row r="3557" spans="1:17" x14ac:dyDescent="0.25">
      <c r="A3557" s="22">
        <v>41908</v>
      </c>
      <c r="B3557" s="2"/>
      <c r="C3557" s="1">
        <v>0</v>
      </c>
      <c r="D3557" s="33">
        <v>0</v>
      </c>
      <c r="F3557" s="2"/>
      <c r="G3557" s="33">
        <v>0</v>
      </c>
      <c r="H3557" s="1"/>
      <c r="I3557" s="33">
        <v>0</v>
      </c>
      <c r="J3557" s="33">
        <v>0</v>
      </c>
      <c r="K3557" s="33">
        <v>0</v>
      </c>
      <c r="L3557" s="1">
        <v>0.254</v>
      </c>
      <c r="M3557" s="2"/>
      <c r="N3557" s="3"/>
      <c r="O3557" s="1"/>
      <c r="Q3557" s="33">
        <v>0</v>
      </c>
    </row>
    <row r="3558" spans="1:17" x14ac:dyDescent="0.25">
      <c r="A3558" s="22">
        <v>41909</v>
      </c>
      <c r="B3558" s="2"/>
      <c r="C3558" s="1">
        <v>0</v>
      </c>
      <c r="D3558" s="33">
        <v>0</v>
      </c>
      <c r="F3558" s="2"/>
      <c r="G3558" s="33">
        <v>0</v>
      </c>
      <c r="H3558" s="1"/>
      <c r="I3558" s="33">
        <v>0</v>
      </c>
      <c r="J3558" s="33">
        <v>0</v>
      </c>
      <c r="K3558" s="33">
        <v>0</v>
      </c>
      <c r="L3558" s="1">
        <v>0</v>
      </c>
      <c r="M3558" s="2"/>
      <c r="N3558" s="3"/>
      <c r="O3558" s="1"/>
      <c r="Q3558" s="33">
        <v>0</v>
      </c>
    </row>
    <row r="3559" spans="1:17" x14ac:dyDescent="0.25">
      <c r="A3559" s="22">
        <v>41910</v>
      </c>
      <c r="B3559" s="2"/>
      <c r="C3559" s="1">
        <v>0</v>
      </c>
      <c r="D3559" s="33">
        <v>0</v>
      </c>
      <c r="F3559" s="2"/>
      <c r="G3559" s="33">
        <v>0.6</v>
      </c>
      <c r="H3559" s="1"/>
      <c r="I3559" s="33">
        <v>0</v>
      </c>
      <c r="J3559" s="33">
        <v>0</v>
      </c>
      <c r="K3559" s="33">
        <v>0</v>
      </c>
      <c r="L3559" s="1">
        <v>0</v>
      </c>
      <c r="M3559" s="1"/>
      <c r="N3559" s="3"/>
      <c r="O3559" s="1"/>
      <c r="Q3559" s="33">
        <v>0</v>
      </c>
    </row>
    <row r="3560" spans="1:17" x14ac:dyDescent="0.25">
      <c r="A3560" s="22">
        <v>41911</v>
      </c>
      <c r="B3560" s="2"/>
      <c r="C3560" s="1">
        <v>2.1</v>
      </c>
      <c r="D3560" s="33">
        <v>0</v>
      </c>
      <c r="F3560" s="2"/>
      <c r="G3560" s="33">
        <v>22.1</v>
      </c>
      <c r="H3560" s="1"/>
      <c r="I3560" s="33">
        <v>0</v>
      </c>
      <c r="J3560" s="33">
        <v>0</v>
      </c>
      <c r="K3560" s="33">
        <v>0</v>
      </c>
      <c r="L3560" s="1">
        <v>0</v>
      </c>
      <c r="M3560" s="1"/>
      <c r="N3560" s="3"/>
      <c r="O3560" s="1"/>
      <c r="Q3560" s="33">
        <v>10.199999999999999</v>
      </c>
    </row>
    <row r="3561" spans="1:17" x14ac:dyDescent="0.25">
      <c r="A3561" s="22">
        <v>41912</v>
      </c>
      <c r="B3561" s="2"/>
      <c r="C3561" s="1">
        <v>29.4</v>
      </c>
      <c r="D3561" s="33">
        <v>26.9</v>
      </c>
      <c r="F3561" s="2"/>
      <c r="G3561" s="33">
        <v>11.8</v>
      </c>
      <c r="H3561" s="1"/>
      <c r="I3561" s="33">
        <v>16.100000000000001</v>
      </c>
      <c r="J3561" s="33">
        <v>17.7</v>
      </c>
      <c r="K3561" s="33">
        <v>48.4</v>
      </c>
      <c r="L3561" s="1">
        <v>12.7</v>
      </c>
      <c r="M3561" s="1"/>
      <c r="N3561" s="3"/>
      <c r="O3561" s="1"/>
      <c r="Q3561" s="33">
        <v>8</v>
      </c>
    </row>
    <row r="3562" spans="1:17" x14ac:dyDescent="0.25">
      <c r="A3562" s="22">
        <v>41913</v>
      </c>
      <c r="B3562" s="33">
        <v>67.5</v>
      </c>
      <c r="C3562" s="33">
        <v>6.5</v>
      </c>
      <c r="D3562" s="33">
        <v>15.5</v>
      </c>
      <c r="F3562" s="30" t="s">
        <v>9</v>
      </c>
      <c r="G3562" s="33">
        <v>12.1</v>
      </c>
      <c r="H3562" s="33">
        <v>2.8</v>
      </c>
      <c r="I3562" s="30" t="s">
        <v>9</v>
      </c>
      <c r="J3562" s="33">
        <v>21</v>
      </c>
      <c r="K3562" s="30" t="s">
        <v>9</v>
      </c>
      <c r="L3562" s="33">
        <f>0.19*25.4</f>
        <v>4.8259999999999996</v>
      </c>
      <c r="M3562" s="33">
        <v>5.8</v>
      </c>
      <c r="N3562" s="33"/>
      <c r="O3562" s="33">
        <f>0.55*25.4</f>
        <v>13.97</v>
      </c>
      <c r="Q3562" s="33">
        <v>18.2</v>
      </c>
    </row>
    <row r="3563" spans="1:17" x14ac:dyDescent="0.25">
      <c r="A3563" s="22">
        <v>41914</v>
      </c>
      <c r="B3563" s="33">
        <v>34</v>
      </c>
      <c r="C3563" s="33">
        <v>19.2</v>
      </c>
      <c r="D3563" s="33">
        <v>21</v>
      </c>
      <c r="F3563" s="33">
        <v>39.1</v>
      </c>
      <c r="G3563" s="33">
        <v>21.8</v>
      </c>
      <c r="H3563" s="33">
        <v>10</v>
      </c>
      <c r="I3563" s="30" t="s">
        <v>9</v>
      </c>
      <c r="J3563" s="33">
        <v>10.8</v>
      </c>
      <c r="K3563" s="33">
        <v>9.5</v>
      </c>
      <c r="L3563" s="33">
        <f>1.37*25.4</f>
        <v>34.798000000000002</v>
      </c>
      <c r="M3563" s="33">
        <v>7.4</v>
      </c>
      <c r="N3563" s="33"/>
      <c r="O3563" s="33">
        <f>1.83*25.4</f>
        <v>46.481999999999999</v>
      </c>
      <c r="Q3563" s="33">
        <v>17.899999999999999</v>
      </c>
    </row>
    <row r="3564" spans="1:17" x14ac:dyDescent="0.25">
      <c r="A3564" s="22">
        <v>41915</v>
      </c>
      <c r="B3564" s="33">
        <v>7</v>
      </c>
      <c r="C3564" s="33">
        <v>35.700000000000003</v>
      </c>
      <c r="D3564" s="33">
        <v>38</v>
      </c>
      <c r="F3564" s="33">
        <v>12.1</v>
      </c>
      <c r="G3564" s="33">
        <v>16.8</v>
      </c>
      <c r="H3564" s="33">
        <v>11</v>
      </c>
      <c r="I3564" s="30" t="s">
        <v>9</v>
      </c>
      <c r="J3564" s="33">
        <v>26.3</v>
      </c>
      <c r="K3564" s="30" t="s">
        <v>9</v>
      </c>
      <c r="L3564" s="33">
        <f>0.97*25.4</f>
        <v>24.637999999999998</v>
      </c>
      <c r="M3564" s="33">
        <v>17.7</v>
      </c>
      <c r="N3564" s="33"/>
      <c r="O3564" s="33">
        <f>0.93*25.4</f>
        <v>23.622</v>
      </c>
      <c r="Q3564" s="33">
        <v>5.5</v>
      </c>
    </row>
    <row r="3565" spans="1:17" x14ac:dyDescent="0.25">
      <c r="A3565" s="22">
        <v>41916</v>
      </c>
      <c r="B3565" s="33">
        <v>40.1</v>
      </c>
      <c r="C3565" s="33">
        <v>26.7</v>
      </c>
      <c r="D3565" s="33">
        <v>13.4</v>
      </c>
      <c r="F3565" s="30" t="s">
        <v>9</v>
      </c>
      <c r="G3565" s="33">
        <v>11.4</v>
      </c>
      <c r="H3565" s="33">
        <v>10</v>
      </c>
      <c r="I3565" s="33">
        <v>71.400000000000006</v>
      </c>
      <c r="J3565" s="33">
        <v>17.600000000000001</v>
      </c>
      <c r="K3565" s="30" t="s">
        <v>9</v>
      </c>
      <c r="L3565" s="33">
        <f>0.98*25.4</f>
        <v>24.891999999999999</v>
      </c>
      <c r="M3565" s="33">
        <v>11.3</v>
      </c>
      <c r="N3565" s="33"/>
      <c r="O3565" s="33">
        <f>0.35*25.4</f>
        <v>8.8899999999999988</v>
      </c>
      <c r="Q3565" s="33">
        <v>4.9000000000000004</v>
      </c>
    </row>
    <row r="3566" spans="1:17" x14ac:dyDescent="0.25">
      <c r="A3566" s="22">
        <v>41917</v>
      </c>
      <c r="B3566" s="30" t="s">
        <v>9</v>
      </c>
      <c r="C3566" s="30" t="s">
        <v>9</v>
      </c>
      <c r="D3566" s="33">
        <v>5.0999999999999996</v>
      </c>
      <c r="F3566" s="33">
        <v>23.6</v>
      </c>
      <c r="G3566" s="30" t="s">
        <v>9</v>
      </c>
      <c r="H3566" s="33">
        <v>9.8000000000000007</v>
      </c>
      <c r="I3566" s="33">
        <v>0.05</v>
      </c>
      <c r="J3566" s="33">
        <v>17</v>
      </c>
      <c r="K3566" s="30" t="s">
        <v>9</v>
      </c>
      <c r="L3566" s="33">
        <f>0.11*25.4</f>
        <v>2.794</v>
      </c>
      <c r="M3566" s="33">
        <v>11.8</v>
      </c>
      <c r="N3566" s="33"/>
      <c r="O3566" s="33">
        <f>0.5*25.4</f>
        <v>12.7</v>
      </c>
      <c r="Q3566" s="33">
        <v>0</v>
      </c>
    </row>
    <row r="3567" spans="1:17" x14ac:dyDescent="0.25">
      <c r="A3567" s="22">
        <v>41918</v>
      </c>
      <c r="B3567" s="30" t="s">
        <v>9</v>
      </c>
      <c r="C3567" s="30" t="s">
        <v>9</v>
      </c>
      <c r="D3567" s="30" t="s">
        <v>9</v>
      </c>
      <c r="F3567" s="30" t="s">
        <v>9</v>
      </c>
      <c r="G3567" s="33">
        <v>4.5</v>
      </c>
      <c r="H3567" s="33">
        <v>12</v>
      </c>
      <c r="I3567" s="30" t="s">
        <v>9</v>
      </c>
      <c r="J3567" s="30" t="s">
        <v>9</v>
      </c>
      <c r="K3567" s="30" t="s">
        <v>9</v>
      </c>
      <c r="L3567" s="30" t="s">
        <v>9</v>
      </c>
      <c r="M3567" s="30" t="s">
        <v>9</v>
      </c>
      <c r="N3567" s="33"/>
      <c r="O3567" s="33">
        <f>1.05*25.4</f>
        <v>26.669999999999998</v>
      </c>
      <c r="Q3567" s="33">
        <v>2.7</v>
      </c>
    </row>
    <row r="3568" spans="1:17" x14ac:dyDescent="0.25">
      <c r="A3568" s="22">
        <v>41919</v>
      </c>
      <c r="B3568" s="33">
        <v>6.3</v>
      </c>
      <c r="C3568" s="33">
        <v>1.3</v>
      </c>
      <c r="D3568" s="33">
        <v>3.5</v>
      </c>
      <c r="F3568" s="30" t="s">
        <v>9</v>
      </c>
      <c r="G3568" s="33">
        <v>2.9</v>
      </c>
      <c r="H3568" s="33">
        <v>3.6</v>
      </c>
      <c r="I3568" s="33">
        <v>12.4</v>
      </c>
      <c r="J3568" s="30" t="s">
        <v>9</v>
      </c>
      <c r="K3568" s="30" t="s">
        <v>9</v>
      </c>
      <c r="L3568" s="33">
        <f>0.11*25.4</f>
        <v>2.794</v>
      </c>
      <c r="M3568" s="33">
        <v>3.2</v>
      </c>
      <c r="N3568" s="33"/>
      <c r="O3568" s="33">
        <f>0.1*25.4</f>
        <v>2.54</v>
      </c>
      <c r="Q3568" s="33">
        <v>2.5</v>
      </c>
    </row>
    <row r="3569" spans="1:17" x14ac:dyDescent="0.25">
      <c r="A3569" s="22">
        <v>41920</v>
      </c>
      <c r="B3569" s="30" t="s">
        <v>9</v>
      </c>
      <c r="C3569" s="33">
        <v>19.600000000000001</v>
      </c>
      <c r="D3569" s="33">
        <v>13.2</v>
      </c>
      <c r="F3569" s="30" t="s">
        <v>9</v>
      </c>
      <c r="G3569" s="33"/>
      <c r="H3569" s="30" t="s">
        <v>9</v>
      </c>
      <c r="I3569" s="30" t="s">
        <v>9</v>
      </c>
      <c r="J3569" s="33">
        <v>9.07</v>
      </c>
      <c r="K3569" s="33">
        <v>18.8</v>
      </c>
      <c r="L3569" s="33">
        <f>0.05*25.4</f>
        <v>1.27</v>
      </c>
      <c r="M3569" s="33">
        <v>1.5</v>
      </c>
      <c r="N3569" s="33"/>
      <c r="O3569" s="33">
        <v>13.97</v>
      </c>
      <c r="Q3569" s="33">
        <v>0</v>
      </c>
    </row>
    <row r="3570" spans="1:17" x14ac:dyDescent="0.25">
      <c r="A3570" s="22">
        <v>41921</v>
      </c>
      <c r="B3570" s="30" t="s">
        <v>9</v>
      </c>
      <c r="C3570" s="30" t="s">
        <v>9</v>
      </c>
      <c r="D3570" s="30" t="s">
        <v>9</v>
      </c>
      <c r="F3570" s="30" t="s">
        <v>9</v>
      </c>
      <c r="G3570" s="33">
        <v>1</v>
      </c>
      <c r="H3570" s="30" t="s">
        <v>9</v>
      </c>
      <c r="I3570" s="30" t="s">
        <v>9</v>
      </c>
      <c r="J3570" s="30" t="s">
        <v>9</v>
      </c>
      <c r="K3570" s="30" t="s">
        <v>9</v>
      </c>
      <c r="L3570" s="30" t="s">
        <v>9</v>
      </c>
      <c r="M3570" s="30" t="s">
        <v>9</v>
      </c>
      <c r="N3570" s="33"/>
      <c r="O3570" s="33">
        <f>0.1*25.4</f>
        <v>2.54</v>
      </c>
      <c r="Q3570" s="33">
        <v>6.1</v>
      </c>
    </row>
    <row r="3571" spans="1:17" x14ac:dyDescent="0.25">
      <c r="A3571" s="22">
        <v>41922</v>
      </c>
      <c r="B3571" s="30" t="s">
        <v>9</v>
      </c>
      <c r="C3571" s="30" t="s">
        <v>9</v>
      </c>
      <c r="D3571" s="30" t="s">
        <v>9</v>
      </c>
      <c r="F3571" s="30" t="s">
        <v>9</v>
      </c>
      <c r="G3571" s="33">
        <v>2.2000000000000002</v>
      </c>
      <c r="H3571" s="30" t="s">
        <v>9</v>
      </c>
      <c r="I3571" s="30" t="s">
        <v>9</v>
      </c>
      <c r="J3571" s="30" t="s">
        <v>9</v>
      </c>
      <c r="K3571" s="30" t="s">
        <v>9</v>
      </c>
      <c r="L3571" s="30" t="s">
        <v>9</v>
      </c>
      <c r="M3571" s="30" t="s">
        <v>9</v>
      </c>
      <c r="N3571" s="33"/>
      <c r="O3571" s="30" t="s">
        <v>9</v>
      </c>
      <c r="Q3571" s="33">
        <v>31.6</v>
      </c>
    </row>
    <row r="3572" spans="1:17" x14ac:dyDescent="0.25">
      <c r="A3572" s="22">
        <v>41923</v>
      </c>
      <c r="B3572" s="33">
        <v>29.5</v>
      </c>
      <c r="C3572" s="30" t="s">
        <v>9</v>
      </c>
      <c r="D3572" s="30" t="s">
        <v>9</v>
      </c>
      <c r="F3572" s="30" t="s">
        <v>9</v>
      </c>
      <c r="G3572" s="33">
        <v>17.100000000000001</v>
      </c>
      <c r="H3572" s="30" t="s">
        <v>9</v>
      </c>
      <c r="I3572" s="30" t="s">
        <v>9</v>
      </c>
      <c r="J3572" s="33">
        <v>4.03</v>
      </c>
      <c r="K3572" s="30" t="s">
        <v>9</v>
      </c>
      <c r="L3572" s="33">
        <f>0.21*25.4</f>
        <v>5.3339999999999996</v>
      </c>
      <c r="M3572" s="33">
        <v>11.3</v>
      </c>
      <c r="N3572" s="33"/>
      <c r="O3572" s="33">
        <f>0.15*25.4</f>
        <v>3.8099999999999996</v>
      </c>
      <c r="Q3572" s="33">
        <v>0.6</v>
      </c>
    </row>
    <row r="3573" spans="1:17" x14ac:dyDescent="0.25">
      <c r="A3573" s="22">
        <v>41924</v>
      </c>
      <c r="B3573" s="33">
        <v>23.6</v>
      </c>
      <c r="C3573" s="33">
        <v>30</v>
      </c>
      <c r="D3573" s="33">
        <v>13</v>
      </c>
      <c r="F3573" s="30" t="s">
        <v>9</v>
      </c>
      <c r="G3573" s="33">
        <v>11.5</v>
      </c>
      <c r="H3573" s="30" t="s">
        <v>9</v>
      </c>
      <c r="I3573" s="30">
        <v>12.8</v>
      </c>
      <c r="J3573" s="33">
        <v>5.5</v>
      </c>
      <c r="K3573" s="30" t="s">
        <v>9</v>
      </c>
      <c r="L3573" s="33">
        <f>0.13*25.4</f>
        <v>3.302</v>
      </c>
      <c r="M3573" s="33">
        <v>7.9</v>
      </c>
      <c r="N3573" s="33"/>
      <c r="O3573" s="33">
        <f>0.1*25.4</f>
        <v>2.54</v>
      </c>
      <c r="Q3573" s="33">
        <v>0.9</v>
      </c>
    </row>
    <row r="3574" spans="1:17" x14ac:dyDescent="0.25">
      <c r="A3574" s="22">
        <v>41925</v>
      </c>
      <c r="B3574" s="30" t="s">
        <v>9</v>
      </c>
      <c r="C3574" s="33">
        <v>17</v>
      </c>
      <c r="D3574" s="33">
        <v>74.3</v>
      </c>
      <c r="F3574" s="30" t="s">
        <v>9</v>
      </c>
      <c r="G3574" s="30" t="s">
        <v>9</v>
      </c>
      <c r="H3574" s="30" t="s">
        <v>9</v>
      </c>
      <c r="I3574" s="30" t="s">
        <v>9</v>
      </c>
      <c r="J3574" s="33">
        <v>13.2</v>
      </c>
      <c r="K3574" s="30" t="s">
        <v>9</v>
      </c>
      <c r="L3574" s="33">
        <f>0.03*25.4</f>
        <v>0.7619999999999999</v>
      </c>
      <c r="M3574" s="33">
        <v>7.1</v>
      </c>
      <c r="N3574" s="33"/>
      <c r="O3574" s="33">
        <f>0.26*25.4</f>
        <v>6.6040000000000001</v>
      </c>
      <c r="Q3574" s="33">
        <v>0</v>
      </c>
    </row>
    <row r="3575" spans="1:17" x14ac:dyDescent="0.25">
      <c r="A3575" s="22">
        <v>41926</v>
      </c>
      <c r="B3575" s="30" t="s">
        <v>9</v>
      </c>
      <c r="C3575" s="30" t="s">
        <v>9</v>
      </c>
      <c r="D3575" s="30" t="s">
        <v>9</v>
      </c>
      <c r="F3575" s="30" t="s">
        <v>9</v>
      </c>
      <c r="G3575" s="30" t="s">
        <v>9</v>
      </c>
      <c r="H3575" s="30" t="s">
        <v>9</v>
      </c>
      <c r="I3575" s="30" t="s">
        <v>9</v>
      </c>
      <c r="J3575" s="30" t="s">
        <v>9</v>
      </c>
      <c r="K3575" s="30" t="s">
        <v>9</v>
      </c>
      <c r="L3575" s="30" t="s">
        <v>9</v>
      </c>
      <c r="M3575" s="30" t="s">
        <v>9</v>
      </c>
      <c r="N3575" s="33"/>
      <c r="O3575" s="30" t="s">
        <v>9</v>
      </c>
      <c r="Q3575" s="33">
        <v>0</v>
      </c>
    </row>
    <row r="3576" spans="1:17" x14ac:dyDescent="0.25">
      <c r="A3576" s="22">
        <v>41927</v>
      </c>
      <c r="B3576" s="30" t="s">
        <v>9</v>
      </c>
      <c r="C3576" s="30" t="s">
        <v>9</v>
      </c>
      <c r="D3576" s="30" t="s">
        <v>9</v>
      </c>
      <c r="F3576" s="30" t="s">
        <v>9</v>
      </c>
      <c r="G3576" s="33">
        <v>7.8</v>
      </c>
      <c r="H3576" s="33">
        <v>2</v>
      </c>
      <c r="I3576" s="30" t="s">
        <v>9</v>
      </c>
      <c r="J3576" s="33">
        <v>0.01</v>
      </c>
      <c r="K3576" s="33">
        <v>15.2</v>
      </c>
      <c r="L3576" s="30" t="s">
        <v>9</v>
      </c>
      <c r="M3576" s="33">
        <v>2.7</v>
      </c>
      <c r="N3576" s="33"/>
      <c r="O3576" s="30" t="s">
        <v>9</v>
      </c>
      <c r="Q3576" s="33">
        <v>5.5</v>
      </c>
    </row>
    <row r="3577" spans="1:17" x14ac:dyDescent="0.25">
      <c r="A3577" s="22">
        <v>41928</v>
      </c>
      <c r="B3577" s="30" t="s">
        <v>9</v>
      </c>
      <c r="C3577" s="30" t="s">
        <v>9</v>
      </c>
      <c r="D3577" s="33">
        <v>3.2</v>
      </c>
      <c r="F3577" s="30" t="s">
        <v>9</v>
      </c>
      <c r="G3577" s="30" t="s">
        <v>9</v>
      </c>
      <c r="H3577" s="33">
        <v>13.1</v>
      </c>
      <c r="I3577" s="33">
        <v>4.5</v>
      </c>
      <c r="J3577" s="33">
        <v>4.4000000000000004</v>
      </c>
      <c r="K3577" s="30" t="s">
        <v>9</v>
      </c>
      <c r="L3577" s="33">
        <f>0.39*25.4</f>
        <v>9.9060000000000006</v>
      </c>
      <c r="M3577" s="30" t="s">
        <v>9</v>
      </c>
      <c r="N3577" s="33"/>
      <c r="O3577" s="33">
        <f>0.1*25.4</f>
        <v>2.54</v>
      </c>
      <c r="Q3577" s="33">
        <v>0</v>
      </c>
    </row>
    <row r="3578" spans="1:17" x14ac:dyDescent="0.25">
      <c r="A3578" s="22">
        <v>41929</v>
      </c>
      <c r="B3578" s="30" t="s">
        <v>9</v>
      </c>
      <c r="C3578" s="30" t="s">
        <v>9</v>
      </c>
      <c r="D3578" s="30" t="s">
        <v>9</v>
      </c>
      <c r="F3578" s="30" t="s">
        <v>9</v>
      </c>
      <c r="G3578" s="33">
        <v>5.9</v>
      </c>
      <c r="H3578" s="30" t="s">
        <v>9</v>
      </c>
      <c r="I3578" s="30" t="s">
        <v>9</v>
      </c>
      <c r="J3578" s="30" t="s">
        <v>9</v>
      </c>
      <c r="K3578" s="30" t="s">
        <v>9</v>
      </c>
      <c r="L3578" s="33">
        <f>0.02*25.4</f>
        <v>0.50800000000000001</v>
      </c>
      <c r="M3578" s="30" t="s">
        <v>9</v>
      </c>
      <c r="N3578" s="33"/>
      <c r="O3578" s="30" t="s">
        <v>9</v>
      </c>
      <c r="Q3578" s="33">
        <v>0</v>
      </c>
    </row>
    <row r="3579" spans="1:17" x14ac:dyDescent="0.25">
      <c r="A3579" s="22">
        <v>41930</v>
      </c>
      <c r="B3579" s="30" t="s">
        <v>9</v>
      </c>
      <c r="C3579" s="33">
        <v>14.7</v>
      </c>
      <c r="D3579" s="33">
        <v>20.9</v>
      </c>
      <c r="F3579" s="30" t="s">
        <v>9</v>
      </c>
      <c r="G3579" s="33">
        <v>2.6</v>
      </c>
      <c r="H3579" s="30" t="s">
        <v>9</v>
      </c>
      <c r="I3579" s="30" t="s">
        <v>9</v>
      </c>
      <c r="J3579" s="30" t="s">
        <v>9</v>
      </c>
      <c r="K3579" s="30" t="s">
        <v>9</v>
      </c>
      <c r="L3579" s="33">
        <f>0.03*25.4</f>
        <v>0.7619999999999999</v>
      </c>
      <c r="M3579" s="33">
        <v>4.2</v>
      </c>
      <c r="N3579" s="33"/>
      <c r="O3579" s="33">
        <f>0.15*25.4</f>
        <v>3.8099999999999996</v>
      </c>
      <c r="Q3579" s="33">
        <v>4</v>
      </c>
    </row>
    <row r="3580" spans="1:17" x14ac:dyDescent="0.25">
      <c r="A3580" s="22">
        <v>41931</v>
      </c>
      <c r="B3580" s="33">
        <v>47.2</v>
      </c>
      <c r="C3580" s="33">
        <v>8.1999999999999993</v>
      </c>
      <c r="D3580" s="33">
        <v>14.6</v>
      </c>
      <c r="F3580" s="30" t="s">
        <v>9</v>
      </c>
      <c r="G3580" s="33">
        <v>14.1</v>
      </c>
      <c r="H3580" s="30" t="s">
        <v>9</v>
      </c>
      <c r="I3580" s="30" t="s">
        <v>9</v>
      </c>
      <c r="J3580" s="33">
        <v>6.3</v>
      </c>
      <c r="K3580" s="30" t="s">
        <v>9</v>
      </c>
      <c r="L3580" s="33">
        <f>0.45*25.4</f>
        <v>11.43</v>
      </c>
      <c r="M3580" s="33"/>
      <c r="N3580" s="33"/>
      <c r="O3580" s="33">
        <f>0.78*25.4</f>
        <v>19.812000000000001</v>
      </c>
      <c r="Q3580" s="33">
        <v>0</v>
      </c>
    </row>
    <row r="3581" spans="1:17" x14ac:dyDescent="0.25">
      <c r="A3581" s="22">
        <v>41932</v>
      </c>
      <c r="B3581" s="30" t="s">
        <v>9</v>
      </c>
      <c r="C3581" s="30" t="s">
        <v>9</v>
      </c>
      <c r="D3581" s="30" t="s">
        <v>9</v>
      </c>
      <c r="F3581" s="30" t="s">
        <v>9</v>
      </c>
      <c r="G3581" s="30" t="s">
        <v>9</v>
      </c>
      <c r="H3581" s="33">
        <v>1</v>
      </c>
      <c r="I3581" s="33">
        <v>13.7</v>
      </c>
      <c r="J3581" s="33">
        <v>1.5</v>
      </c>
      <c r="K3581" s="30" t="s">
        <v>9</v>
      </c>
      <c r="L3581" s="33">
        <f>0.18*25.4</f>
        <v>4.5719999999999992</v>
      </c>
      <c r="M3581" s="30" t="s">
        <v>9</v>
      </c>
      <c r="O3581" s="33">
        <f>0.05*25.4</f>
        <v>1.27</v>
      </c>
      <c r="Q3581" s="33">
        <v>0.2</v>
      </c>
    </row>
    <row r="3582" spans="1:17" x14ac:dyDescent="0.25">
      <c r="A3582" s="22">
        <v>41933</v>
      </c>
      <c r="B3582" s="30" t="s">
        <v>9</v>
      </c>
      <c r="C3582" s="30" t="s">
        <v>9</v>
      </c>
      <c r="D3582" s="30" t="s">
        <v>9</v>
      </c>
      <c r="F3582" s="30" t="s">
        <v>9</v>
      </c>
      <c r="G3582" s="33">
        <v>0.9</v>
      </c>
      <c r="H3582" s="33">
        <v>0.4</v>
      </c>
      <c r="I3582" s="30" t="s">
        <v>9</v>
      </c>
      <c r="J3582" s="30" t="s">
        <v>9</v>
      </c>
      <c r="K3582" s="33">
        <v>12.5</v>
      </c>
      <c r="L3582" s="33">
        <f>0.19*25.4</f>
        <v>4.8259999999999996</v>
      </c>
      <c r="M3582" s="30" t="s">
        <v>9</v>
      </c>
      <c r="O3582" s="33">
        <f>0.09*25.4</f>
        <v>2.2859999999999996</v>
      </c>
      <c r="Q3582" s="33">
        <v>0.8</v>
      </c>
    </row>
    <row r="3583" spans="1:17" x14ac:dyDescent="0.25">
      <c r="A3583" s="22">
        <v>41934</v>
      </c>
      <c r="B3583" s="30" t="s">
        <v>9</v>
      </c>
      <c r="C3583" s="30" t="s">
        <v>9</v>
      </c>
      <c r="D3583" s="33">
        <v>3.7</v>
      </c>
      <c r="F3583" s="30" t="s">
        <v>9</v>
      </c>
      <c r="G3583" s="33">
        <v>42.9</v>
      </c>
      <c r="H3583" s="30" t="s">
        <v>9</v>
      </c>
      <c r="I3583" s="30" t="s">
        <v>9</v>
      </c>
      <c r="J3583" s="30" t="s">
        <v>9</v>
      </c>
      <c r="K3583" s="33">
        <v>0.1</v>
      </c>
      <c r="L3583" s="30" t="s">
        <v>9</v>
      </c>
      <c r="M3583" s="30" t="s">
        <v>9</v>
      </c>
      <c r="O3583" s="33">
        <f>0.13*25.4</f>
        <v>3.302</v>
      </c>
      <c r="Q3583" s="33">
        <v>70.099999999999994</v>
      </c>
    </row>
    <row r="3584" spans="1:17" x14ac:dyDescent="0.25">
      <c r="A3584" s="22">
        <v>41935</v>
      </c>
      <c r="B3584" s="30" t="s">
        <v>9</v>
      </c>
      <c r="C3584" s="33">
        <v>43.8</v>
      </c>
      <c r="D3584" s="33">
        <v>54.6</v>
      </c>
      <c r="F3584" s="30" t="s">
        <v>9</v>
      </c>
      <c r="G3584" s="33">
        <v>57.1</v>
      </c>
      <c r="H3584" s="33">
        <v>10</v>
      </c>
      <c r="I3584" s="33">
        <v>83.1</v>
      </c>
      <c r="J3584" s="33">
        <v>49.6</v>
      </c>
      <c r="K3584" s="33">
        <v>2</v>
      </c>
      <c r="L3584" s="33">
        <f>2.15*25.4</f>
        <v>54.609999999999992</v>
      </c>
      <c r="M3584" s="33">
        <v>98.2</v>
      </c>
      <c r="O3584" s="33">
        <f>2*25.4</f>
        <v>50.8</v>
      </c>
      <c r="Q3584" s="33">
        <v>26.1</v>
      </c>
    </row>
    <row r="3585" spans="1:17" x14ac:dyDescent="0.25">
      <c r="A3585" s="22">
        <v>41936</v>
      </c>
      <c r="B3585" s="30" t="s">
        <v>9</v>
      </c>
      <c r="C3585" s="33">
        <v>22.2</v>
      </c>
      <c r="D3585" s="33">
        <v>34.700000000000003</v>
      </c>
      <c r="F3585" s="33">
        <v>110.6</v>
      </c>
      <c r="G3585" s="33">
        <v>5.3</v>
      </c>
      <c r="H3585" s="33">
        <v>80.2</v>
      </c>
      <c r="I3585" s="30" t="s">
        <v>9</v>
      </c>
      <c r="J3585" s="33">
        <v>59.2</v>
      </c>
      <c r="K3585" s="33">
        <v>46.3</v>
      </c>
      <c r="L3585" s="33">
        <f>0.42*25.4</f>
        <v>10.667999999999999</v>
      </c>
      <c r="M3585" s="33">
        <v>1.2</v>
      </c>
      <c r="O3585" s="33">
        <f>0.63*25.4</f>
        <v>16.001999999999999</v>
      </c>
      <c r="Q3585" s="33">
        <v>3</v>
      </c>
    </row>
    <row r="3586" spans="1:17" x14ac:dyDescent="0.25">
      <c r="A3586" s="22">
        <v>41937</v>
      </c>
      <c r="B3586" s="30" t="s">
        <v>9</v>
      </c>
      <c r="C3586" s="33">
        <v>4.2</v>
      </c>
      <c r="D3586" s="33">
        <v>3.8</v>
      </c>
      <c r="F3586" s="30" t="s">
        <v>9</v>
      </c>
      <c r="G3586" s="33">
        <v>2.8</v>
      </c>
      <c r="H3586" s="33">
        <v>4.8</v>
      </c>
      <c r="I3586" s="33">
        <v>4.8</v>
      </c>
      <c r="J3586" s="33">
        <v>3</v>
      </c>
      <c r="K3586" s="33">
        <v>51.1</v>
      </c>
      <c r="L3586" s="33">
        <f>0.31*25.4</f>
        <v>7.8739999999999997</v>
      </c>
      <c r="M3586" s="30" t="s">
        <v>9</v>
      </c>
      <c r="O3586" s="33">
        <f>0.17*25.4</f>
        <v>4.3180000000000005</v>
      </c>
      <c r="Q3586" s="33">
        <v>15.7</v>
      </c>
    </row>
    <row r="3587" spans="1:17" x14ac:dyDescent="0.25">
      <c r="A3587" s="22">
        <v>41938</v>
      </c>
      <c r="B3587" s="30" t="s">
        <v>9</v>
      </c>
      <c r="C3587" s="33">
        <v>16.2</v>
      </c>
      <c r="D3587" s="33">
        <v>8.6999999999999993</v>
      </c>
      <c r="F3587" s="30" t="s">
        <v>9</v>
      </c>
      <c r="G3587" s="33">
        <v>24.6</v>
      </c>
      <c r="H3587" s="33">
        <v>5.8</v>
      </c>
      <c r="I3587" s="33">
        <v>2.8</v>
      </c>
      <c r="J3587" s="33">
        <v>21.4</v>
      </c>
      <c r="K3587" s="33">
        <v>5.8</v>
      </c>
      <c r="L3587" s="33">
        <f>0.67*25.4</f>
        <v>17.018000000000001</v>
      </c>
      <c r="M3587" s="30" t="s">
        <v>9</v>
      </c>
      <c r="O3587" s="33">
        <f>0.75*25.4</f>
        <v>19.049999999999997</v>
      </c>
      <c r="Q3587" s="33">
        <v>20.7</v>
      </c>
    </row>
    <row r="3588" spans="1:17" x14ac:dyDescent="0.25">
      <c r="A3588" s="22">
        <v>41939</v>
      </c>
      <c r="B3588" s="30" t="s">
        <v>9</v>
      </c>
      <c r="C3588" s="33">
        <v>5.2</v>
      </c>
      <c r="D3588" s="33">
        <v>21.8</v>
      </c>
      <c r="F3588" s="30" t="s">
        <v>9</v>
      </c>
      <c r="G3588" s="33">
        <v>1.7</v>
      </c>
      <c r="H3588" s="33">
        <v>3</v>
      </c>
      <c r="I3588" s="33">
        <v>6.5</v>
      </c>
      <c r="J3588" s="33">
        <v>5.0599999999999996</v>
      </c>
      <c r="K3588" s="30" t="s">
        <v>9</v>
      </c>
      <c r="L3588" s="33">
        <f>0.06*25.4</f>
        <v>1.5239999999999998</v>
      </c>
      <c r="M3588" s="33">
        <v>12.6</v>
      </c>
      <c r="O3588" s="33">
        <f>0.47*25.4</f>
        <v>11.937999999999999</v>
      </c>
      <c r="Q3588" s="33">
        <v>4.2</v>
      </c>
    </row>
    <row r="3589" spans="1:17" x14ac:dyDescent="0.25">
      <c r="A3589" s="22">
        <v>41940</v>
      </c>
      <c r="B3589" s="30" t="s">
        <v>9</v>
      </c>
      <c r="C3589" s="33">
        <v>1.1000000000000001</v>
      </c>
      <c r="D3589" s="33">
        <v>5.2</v>
      </c>
      <c r="F3589" s="30" t="s">
        <v>9</v>
      </c>
      <c r="G3589" s="33">
        <v>2.8</v>
      </c>
      <c r="H3589" s="33">
        <v>10</v>
      </c>
      <c r="I3589" s="33">
        <v>7</v>
      </c>
      <c r="J3589" s="33">
        <v>7.9</v>
      </c>
      <c r="K3589" s="30" t="s">
        <v>9</v>
      </c>
      <c r="L3589" s="33">
        <f>0.41*25.4</f>
        <v>10.413999999999998</v>
      </c>
      <c r="M3589" s="33">
        <v>4.2</v>
      </c>
      <c r="O3589" s="33">
        <f>0.35*25.4</f>
        <v>8.8899999999999988</v>
      </c>
      <c r="Q3589" s="33">
        <v>8.1999999999999993</v>
      </c>
    </row>
    <row r="3590" spans="1:17" x14ac:dyDescent="0.25">
      <c r="A3590" s="22">
        <v>41941</v>
      </c>
      <c r="B3590" s="30" t="s">
        <v>9</v>
      </c>
      <c r="C3590" s="33">
        <v>8.5</v>
      </c>
      <c r="D3590" s="33">
        <v>9.3000000000000007</v>
      </c>
      <c r="F3590" s="30" t="s">
        <v>9</v>
      </c>
      <c r="G3590" s="33">
        <v>3.8</v>
      </c>
      <c r="H3590" s="33">
        <v>1.5</v>
      </c>
      <c r="I3590" s="33">
        <v>0.5</v>
      </c>
      <c r="J3590" s="30" t="s">
        <v>9</v>
      </c>
      <c r="K3590" s="30" t="s">
        <v>9</v>
      </c>
      <c r="L3590" s="33">
        <f>0.24*25.4</f>
        <v>6.0959999999999992</v>
      </c>
      <c r="M3590" s="30" t="s">
        <v>9</v>
      </c>
      <c r="O3590" s="33">
        <f>0.7*25.4</f>
        <v>17.779999999999998</v>
      </c>
      <c r="Q3590" s="33">
        <v>4.8</v>
      </c>
    </row>
    <row r="3591" spans="1:17" x14ac:dyDescent="0.25">
      <c r="A3591" s="22">
        <v>41942</v>
      </c>
      <c r="B3591" s="30" t="s">
        <v>9</v>
      </c>
      <c r="C3591" s="33">
        <v>6.2</v>
      </c>
      <c r="D3591" s="33">
        <v>7</v>
      </c>
      <c r="F3591" s="30" t="s">
        <v>9</v>
      </c>
      <c r="G3591" s="30" t="s">
        <v>9</v>
      </c>
      <c r="H3591" s="33">
        <v>3.1</v>
      </c>
      <c r="I3591" s="30" t="s">
        <v>9</v>
      </c>
      <c r="J3591" s="33">
        <v>2.7</v>
      </c>
      <c r="K3591" s="30" t="s">
        <v>9</v>
      </c>
      <c r="L3591" s="33">
        <f>0.01*25.4</f>
        <v>0.254</v>
      </c>
      <c r="M3591" s="30" t="s">
        <v>9</v>
      </c>
      <c r="O3591" s="33">
        <f>0.1*25.4</f>
        <v>2.54</v>
      </c>
      <c r="Q3591" s="33">
        <v>0</v>
      </c>
    </row>
    <row r="3592" spans="1:17" x14ac:dyDescent="0.25">
      <c r="A3592" s="22">
        <v>41943</v>
      </c>
      <c r="B3592" s="30" t="s">
        <v>9</v>
      </c>
      <c r="C3592" s="30" t="s">
        <v>9</v>
      </c>
      <c r="D3592" s="30" t="s">
        <v>9</v>
      </c>
      <c r="F3592" s="30" t="s">
        <v>9</v>
      </c>
      <c r="G3592" s="30" t="s">
        <v>9</v>
      </c>
      <c r="H3592" s="30" t="s">
        <v>9</v>
      </c>
      <c r="I3592" s="30" t="s">
        <v>9</v>
      </c>
      <c r="J3592" s="30" t="s">
        <v>9</v>
      </c>
      <c r="K3592" s="30" t="s">
        <v>9</v>
      </c>
      <c r="L3592" s="30" t="s">
        <v>9</v>
      </c>
      <c r="M3592" s="30" t="s">
        <v>9</v>
      </c>
      <c r="O3592" s="33">
        <f>0.07*25.4</f>
        <v>1.778</v>
      </c>
      <c r="Q3592" s="33">
        <v>1.3</v>
      </c>
    </row>
    <row r="3593" spans="1:17" x14ac:dyDescent="0.25">
      <c r="A3593" s="22">
        <v>41944</v>
      </c>
      <c r="B3593" s="30" t="s">
        <v>9</v>
      </c>
      <c r="C3593" s="33">
        <v>0.8</v>
      </c>
      <c r="D3593" s="33">
        <v>2.4</v>
      </c>
      <c r="F3593" s="30" t="s">
        <v>9</v>
      </c>
      <c r="G3593" s="33">
        <v>12.1</v>
      </c>
      <c r="H3593" s="33"/>
      <c r="I3593" s="30" t="s">
        <v>9</v>
      </c>
      <c r="J3593" s="30" t="s">
        <v>9</v>
      </c>
      <c r="K3593" s="30" t="s">
        <v>9</v>
      </c>
      <c r="L3593" s="1">
        <v>0</v>
      </c>
      <c r="M3593" s="30" t="s">
        <v>9</v>
      </c>
      <c r="O3593" s="33">
        <f>0.1*25.4</f>
        <v>2.54</v>
      </c>
      <c r="Q3593" s="33">
        <v>0</v>
      </c>
    </row>
    <row r="3594" spans="1:17" x14ac:dyDescent="0.25">
      <c r="A3594" s="22">
        <v>41945</v>
      </c>
      <c r="B3594" s="30" t="s">
        <v>9</v>
      </c>
      <c r="C3594" s="30" t="s">
        <v>9</v>
      </c>
      <c r="D3594" s="33">
        <v>0</v>
      </c>
      <c r="F3594" s="30" t="s">
        <v>9</v>
      </c>
      <c r="G3594" s="33">
        <v>21.8</v>
      </c>
      <c r="H3594" s="33"/>
      <c r="I3594" s="30" t="s">
        <v>9</v>
      </c>
      <c r="J3594" s="30">
        <v>0.2</v>
      </c>
      <c r="K3594" s="30" t="s">
        <v>9</v>
      </c>
      <c r="L3594" s="1">
        <v>0</v>
      </c>
      <c r="M3594" s="30" t="s">
        <v>9</v>
      </c>
      <c r="O3594" s="33">
        <f>0.3*25.4</f>
        <v>7.6199999999999992</v>
      </c>
      <c r="Q3594" s="33">
        <v>0</v>
      </c>
    </row>
    <row r="3595" spans="1:17" x14ac:dyDescent="0.25">
      <c r="A3595" s="22">
        <v>41946</v>
      </c>
      <c r="B3595" s="30" t="s">
        <v>9</v>
      </c>
      <c r="C3595" s="30" t="s">
        <v>9</v>
      </c>
      <c r="D3595" s="33">
        <v>0</v>
      </c>
      <c r="F3595" s="30" t="s">
        <v>9</v>
      </c>
      <c r="G3595" s="33">
        <v>16.8</v>
      </c>
      <c r="H3595" s="33"/>
      <c r="I3595" s="30" t="s">
        <v>9</v>
      </c>
      <c r="J3595" s="30" t="s">
        <v>9</v>
      </c>
      <c r="K3595" s="30">
        <v>37.1</v>
      </c>
      <c r="L3595" s="1">
        <v>0</v>
      </c>
      <c r="M3595" s="30" t="s">
        <v>9</v>
      </c>
      <c r="O3595" s="33">
        <f>0.15*25.4</f>
        <v>3.8099999999999996</v>
      </c>
      <c r="Q3595" s="33">
        <v>1.1000000000000001</v>
      </c>
    </row>
    <row r="3596" spans="1:17" x14ac:dyDescent="0.25">
      <c r="A3596" s="22">
        <v>41947</v>
      </c>
      <c r="B3596" s="30" t="s">
        <v>9</v>
      </c>
      <c r="C3596" s="30" t="s">
        <v>9</v>
      </c>
      <c r="D3596" s="33">
        <v>0</v>
      </c>
      <c r="F3596" s="30" t="s">
        <v>9</v>
      </c>
      <c r="G3596" s="33">
        <v>11.4</v>
      </c>
      <c r="H3596" s="33"/>
      <c r="I3596" s="30" t="s">
        <v>9</v>
      </c>
      <c r="J3596" s="33">
        <v>1.1000000000000001</v>
      </c>
      <c r="K3596" s="30">
        <v>1.1000000000000001</v>
      </c>
      <c r="L3596" s="1">
        <v>3.0479999999999996</v>
      </c>
      <c r="M3596" s="30" t="s">
        <v>9</v>
      </c>
      <c r="O3596" s="30" t="s">
        <v>9</v>
      </c>
      <c r="Q3596" s="33">
        <v>6.7</v>
      </c>
    </row>
    <row r="3597" spans="1:17" x14ac:dyDescent="0.25">
      <c r="A3597" s="22">
        <v>41948</v>
      </c>
      <c r="B3597" s="30" t="s">
        <v>9</v>
      </c>
      <c r="C3597" s="30">
        <v>3</v>
      </c>
      <c r="D3597" s="33">
        <v>0</v>
      </c>
      <c r="F3597" s="30" t="s">
        <v>9</v>
      </c>
      <c r="G3597" s="30" t="s">
        <v>9</v>
      </c>
      <c r="H3597" s="33"/>
      <c r="I3597" s="30" t="s">
        <v>9</v>
      </c>
      <c r="J3597" s="33">
        <v>1.08</v>
      </c>
      <c r="K3597" s="30">
        <v>1.4</v>
      </c>
      <c r="L3597" s="1">
        <v>1.016</v>
      </c>
      <c r="M3597" s="33">
        <v>4.5999999999999996</v>
      </c>
      <c r="O3597" s="33">
        <f>0.16*25.4</f>
        <v>4.0640000000000001</v>
      </c>
      <c r="Q3597" s="33">
        <v>1.5</v>
      </c>
    </row>
    <row r="3598" spans="1:17" x14ac:dyDescent="0.25">
      <c r="A3598" s="22">
        <v>41949</v>
      </c>
      <c r="B3598" s="30">
        <v>64.599999999999994</v>
      </c>
      <c r="C3598" s="30">
        <v>9</v>
      </c>
      <c r="D3598" s="30">
        <v>21.8</v>
      </c>
      <c r="F3598" s="30" t="s">
        <v>9</v>
      </c>
      <c r="G3598" s="33">
        <v>4.5</v>
      </c>
      <c r="H3598" s="33">
        <v>3.5</v>
      </c>
      <c r="I3598" s="30">
        <v>4.8</v>
      </c>
      <c r="J3598" s="30">
        <v>4.04</v>
      </c>
      <c r="K3598" s="30" t="s">
        <v>9</v>
      </c>
      <c r="L3598" s="1">
        <v>2.032</v>
      </c>
      <c r="M3598" s="30" t="s">
        <v>9</v>
      </c>
      <c r="O3598" s="33">
        <f>0.66*25.4</f>
        <v>16.763999999999999</v>
      </c>
      <c r="Q3598" s="33">
        <v>5.3</v>
      </c>
    </row>
    <row r="3599" spans="1:17" x14ac:dyDescent="0.25">
      <c r="A3599" s="22">
        <v>41950</v>
      </c>
      <c r="B3599" s="30" t="s">
        <v>9</v>
      </c>
      <c r="C3599" s="30" t="s">
        <v>9</v>
      </c>
      <c r="D3599" s="33">
        <v>6.4</v>
      </c>
      <c r="F3599" s="30">
        <v>39.4</v>
      </c>
      <c r="G3599" s="33">
        <v>2.9</v>
      </c>
      <c r="H3599" s="33">
        <v>9.4</v>
      </c>
      <c r="I3599" s="33">
        <v>11.5</v>
      </c>
      <c r="J3599" s="30">
        <v>10.7</v>
      </c>
      <c r="K3599" s="30">
        <v>8.8000000000000007</v>
      </c>
      <c r="L3599" s="1">
        <v>11.683999999999999</v>
      </c>
      <c r="M3599" s="33">
        <v>10.9</v>
      </c>
      <c r="O3599" s="33">
        <f>0.4*25.4</f>
        <v>10.16</v>
      </c>
      <c r="Q3599" s="33">
        <v>10</v>
      </c>
    </row>
    <row r="3600" spans="1:17" x14ac:dyDescent="0.25">
      <c r="A3600" s="22">
        <v>41951</v>
      </c>
      <c r="B3600" s="30" t="s">
        <v>9</v>
      </c>
      <c r="C3600" s="33">
        <v>20</v>
      </c>
      <c r="D3600" s="33">
        <v>12.3</v>
      </c>
      <c r="F3600" s="30">
        <v>2.9</v>
      </c>
      <c r="G3600" s="30" t="s">
        <v>9</v>
      </c>
      <c r="H3600" s="30">
        <v>5.5</v>
      </c>
      <c r="I3600" s="30" t="s">
        <v>9</v>
      </c>
      <c r="J3600" s="30">
        <v>8.07</v>
      </c>
      <c r="K3600" s="30" t="s">
        <v>9</v>
      </c>
      <c r="L3600" s="1">
        <v>11.937999999999999</v>
      </c>
      <c r="M3600" s="33">
        <v>5.3</v>
      </c>
      <c r="O3600" s="33">
        <f>1.01*25.4</f>
        <v>25.654</v>
      </c>
      <c r="Q3600" s="33">
        <v>0.3</v>
      </c>
    </row>
    <row r="3601" spans="1:17" x14ac:dyDescent="0.25">
      <c r="A3601" s="22">
        <v>41952</v>
      </c>
      <c r="B3601" s="30">
        <v>84.3</v>
      </c>
      <c r="C3601" s="30">
        <v>17</v>
      </c>
      <c r="D3601" s="30">
        <v>9.6999999999999993</v>
      </c>
      <c r="F3601" s="30" t="s">
        <v>9</v>
      </c>
      <c r="G3601" s="33">
        <v>1</v>
      </c>
      <c r="H3601" s="30"/>
      <c r="I3601" s="30" t="s">
        <v>9</v>
      </c>
      <c r="J3601" s="30">
        <v>5</v>
      </c>
      <c r="K3601" s="30" t="s">
        <v>9</v>
      </c>
      <c r="L3601" s="1">
        <v>1.778</v>
      </c>
      <c r="M3601" s="30">
        <v>6.6</v>
      </c>
      <c r="O3601" s="33">
        <f>0.5*25.4</f>
        <v>12.7</v>
      </c>
      <c r="Q3601" s="33">
        <v>76.5</v>
      </c>
    </row>
    <row r="3602" spans="1:17" x14ac:dyDescent="0.25">
      <c r="A3602" s="22">
        <v>41953</v>
      </c>
      <c r="B3602" s="30" t="s">
        <v>9</v>
      </c>
      <c r="C3602" s="30">
        <v>18.100000000000001</v>
      </c>
      <c r="D3602" s="30">
        <v>113.3</v>
      </c>
      <c r="F3602" s="30">
        <v>40.5</v>
      </c>
      <c r="G3602" s="33">
        <v>2.2000000000000002</v>
      </c>
      <c r="H3602" s="30">
        <v>33</v>
      </c>
      <c r="I3602" s="30">
        <v>67.900000000000006</v>
      </c>
      <c r="J3602" s="30">
        <v>72.599999999999994</v>
      </c>
      <c r="K3602" s="30">
        <v>103.3</v>
      </c>
      <c r="L3602" s="1">
        <v>83.82</v>
      </c>
      <c r="M3602" s="30">
        <v>46.1</v>
      </c>
      <c r="O3602" s="30">
        <f>3.85*25.4</f>
        <v>97.789999999999992</v>
      </c>
      <c r="Q3602" s="33">
        <v>0</v>
      </c>
    </row>
    <row r="3603" spans="1:17" x14ac:dyDescent="0.25">
      <c r="A3603" s="22">
        <v>41954</v>
      </c>
      <c r="B3603" s="30" t="s">
        <v>9</v>
      </c>
      <c r="C3603" s="30" t="s">
        <v>9</v>
      </c>
      <c r="D3603" s="30">
        <v>0</v>
      </c>
      <c r="F3603" s="30" t="s">
        <v>9</v>
      </c>
      <c r="G3603" s="33">
        <v>17.100000000000001</v>
      </c>
      <c r="H3603" s="30"/>
      <c r="I3603" s="30" t="s">
        <v>9</v>
      </c>
      <c r="J3603" s="30">
        <v>7.7</v>
      </c>
      <c r="K3603" s="30" t="s">
        <v>9</v>
      </c>
      <c r="L3603" s="1">
        <v>0.7619999999999999</v>
      </c>
      <c r="M3603" s="30" t="s">
        <v>9</v>
      </c>
      <c r="O3603" s="30" t="s">
        <v>9</v>
      </c>
      <c r="Q3603" s="33">
        <v>0.2</v>
      </c>
    </row>
    <row r="3604" spans="1:17" x14ac:dyDescent="0.25">
      <c r="A3604" s="22">
        <v>41955</v>
      </c>
      <c r="B3604" s="33">
        <v>90.6</v>
      </c>
      <c r="C3604" s="33">
        <v>1.1000000000000001</v>
      </c>
      <c r="D3604" s="33">
        <v>1</v>
      </c>
      <c r="F3604" s="30" t="s">
        <v>9</v>
      </c>
      <c r="G3604" s="33">
        <v>11.5</v>
      </c>
      <c r="H3604" s="30"/>
      <c r="I3604" s="30">
        <v>1.1000000000000001</v>
      </c>
      <c r="J3604" s="33">
        <v>0.08</v>
      </c>
      <c r="K3604" s="30">
        <v>11.9</v>
      </c>
      <c r="L3604" s="1">
        <v>0</v>
      </c>
      <c r="M3604" s="33">
        <v>1.9</v>
      </c>
      <c r="O3604" s="33">
        <f>0.12*25.4</f>
        <v>3.0479999999999996</v>
      </c>
      <c r="Q3604" s="33">
        <v>6.2</v>
      </c>
    </row>
    <row r="3605" spans="1:17" x14ac:dyDescent="0.25">
      <c r="A3605" s="22">
        <v>41956</v>
      </c>
      <c r="B3605" s="30" t="s">
        <v>9</v>
      </c>
      <c r="C3605" s="33">
        <v>22.4</v>
      </c>
      <c r="D3605" s="33">
        <v>29.3</v>
      </c>
      <c r="F3605" s="30" t="s">
        <v>9</v>
      </c>
      <c r="G3605" s="30" t="s">
        <v>9</v>
      </c>
      <c r="H3605" s="30">
        <v>15</v>
      </c>
      <c r="I3605" s="30">
        <v>9.4</v>
      </c>
      <c r="J3605" s="30">
        <v>8.9</v>
      </c>
      <c r="K3605" s="30" t="s">
        <v>9</v>
      </c>
      <c r="L3605" s="1">
        <v>3.302</v>
      </c>
      <c r="M3605" s="33">
        <v>14.4</v>
      </c>
      <c r="O3605" s="33">
        <f>0.69*25.4</f>
        <v>17.525999999999996</v>
      </c>
      <c r="Q3605" s="33">
        <v>40.4</v>
      </c>
    </row>
    <row r="3606" spans="1:17" x14ac:dyDescent="0.25">
      <c r="A3606" s="22">
        <v>41957</v>
      </c>
      <c r="B3606" s="30" t="s">
        <v>9</v>
      </c>
      <c r="C3606" s="30">
        <v>23</v>
      </c>
      <c r="D3606" s="30">
        <v>50</v>
      </c>
      <c r="F3606" s="30">
        <v>42.6</v>
      </c>
      <c r="G3606" s="30">
        <v>7.8</v>
      </c>
      <c r="H3606" s="30">
        <v>25</v>
      </c>
      <c r="I3606" s="30">
        <v>29.5</v>
      </c>
      <c r="J3606" s="30">
        <v>39</v>
      </c>
      <c r="K3606" s="30">
        <v>15.5</v>
      </c>
      <c r="L3606" s="1">
        <v>43.18</v>
      </c>
      <c r="M3606" s="30">
        <v>36.299999999999997</v>
      </c>
      <c r="O3606" s="30">
        <f>0.92*25.4</f>
        <v>23.367999999999999</v>
      </c>
      <c r="Q3606" s="33">
        <v>22.5</v>
      </c>
    </row>
    <row r="3607" spans="1:17" x14ac:dyDescent="0.25">
      <c r="A3607" s="22">
        <v>41958</v>
      </c>
      <c r="B3607" s="30">
        <v>57.4</v>
      </c>
      <c r="C3607" s="30">
        <v>41</v>
      </c>
      <c r="D3607" s="30">
        <v>14.5</v>
      </c>
      <c r="F3607" s="30">
        <v>18.399999999999999</v>
      </c>
      <c r="G3607" s="30" t="s">
        <v>9</v>
      </c>
      <c r="H3607" s="33">
        <v>12</v>
      </c>
      <c r="I3607" s="30">
        <v>23.5</v>
      </c>
      <c r="J3607" s="30">
        <v>30.8</v>
      </c>
      <c r="K3607" s="30" t="s">
        <v>9</v>
      </c>
      <c r="L3607" s="1">
        <v>19.049999999999997</v>
      </c>
      <c r="M3607" s="33">
        <v>21.2</v>
      </c>
      <c r="O3607" s="30">
        <f>0.85*25.4</f>
        <v>21.59</v>
      </c>
      <c r="Q3607" s="33">
        <v>27.4</v>
      </c>
    </row>
    <row r="3608" spans="1:17" x14ac:dyDescent="0.25">
      <c r="A3608" s="22">
        <v>41959</v>
      </c>
      <c r="B3608" s="30" t="s">
        <v>9</v>
      </c>
      <c r="C3608" s="30">
        <v>36</v>
      </c>
      <c r="D3608" s="33">
        <v>27.6</v>
      </c>
      <c r="F3608" s="30" t="s">
        <v>9</v>
      </c>
      <c r="G3608" s="30">
        <v>5.9</v>
      </c>
      <c r="H3608" s="33"/>
      <c r="I3608" s="33">
        <v>17.100000000000001</v>
      </c>
      <c r="J3608" s="33">
        <v>37.299999999999997</v>
      </c>
      <c r="K3608" s="30">
        <v>61.1</v>
      </c>
      <c r="L3608" s="1">
        <v>10.413999999999998</v>
      </c>
      <c r="M3608" s="30">
        <v>13.1</v>
      </c>
      <c r="O3608" s="33">
        <f>1.32*25.4</f>
        <v>33.527999999999999</v>
      </c>
      <c r="Q3608" s="33">
        <v>45.5</v>
      </c>
    </row>
    <row r="3609" spans="1:17" x14ac:dyDescent="0.25">
      <c r="A3609" s="22">
        <v>41960</v>
      </c>
      <c r="B3609" s="30">
        <v>30.8</v>
      </c>
      <c r="C3609" s="30">
        <v>29</v>
      </c>
      <c r="D3609" s="30">
        <v>30.1</v>
      </c>
      <c r="F3609" s="30">
        <v>30.2</v>
      </c>
      <c r="G3609" s="33">
        <v>2.6</v>
      </c>
      <c r="H3609" s="30">
        <v>8.3000000000000007</v>
      </c>
      <c r="I3609" s="30"/>
      <c r="J3609" s="30">
        <v>31.5</v>
      </c>
      <c r="K3609" s="30">
        <v>20.2</v>
      </c>
      <c r="L3609" s="1">
        <v>65.785999999999987</v>
      </c>
      <c r="M3609" s="30">
        <v>15.8</v>
      </c>
      <c r="O3609" s="30">
        <f>1.86*25.4</f>
        <v>47.244</v>
      </c>
      <c r="Q3609" s="33">
        <v>11.7</v>
      </c>
    </row>
    <row r="3610" spans="1:17" x14ac:dyDescent="0.25">
      <c r="A3610" s="22">
        <v>41961</v>
      </c>
      <c r="B3610" s="30">
        <v>93.2</v>
      </c>
      <c r="C3610" s="33">
        <v>21</v>
      </c>
      <c r="D3610" s="33">
        <v>28</v>
      </c>
      <c r="F3610" s="30" t="s">
        <v>9</v>
      </c>
      <c r="G3610" s="33">
        <v>14.1</v>
      </c>
      <c r="H3610" s="30">
        <v>20</v>
      </c>
      <c r="I3610" s="30">
        <v>29.7</v>
      </c>
      <c r="J3610" s="30">
        <v>33.6</v>
      </c>
      <c r="K3610" s="30">
        <v>0.6</v>
      </c>
      <c r="L3610" s="1">
        <v>27.94</v>
      </c>
      <c r="M3610" s="33">
        <v>30.7</v>
      </c>
      <c r="O3610" s="33">
        <f>0.77*25.4</f>
        <v>19.558</v>
      </c>
      <c r="Q3610" s="33">
        <v>2.7</v>
      </c>
    </row>
    <row r="3611" spans="1:17" x14ac:dyDescent="0.25">
      <c r="A3611" s="22">
        <v>41962</v>
      </c>
      <c r="B3611" s="33">
        <v>63.8</v>
      </c>
      <c r="C3611" s="33">
        <v>4.2</v>
      </c>
      <c r="D3611" s="33">
        <v>15.2</v>
      </c>
      <c r="F3611" s="30" t="s">
        <v>9</v>
      </c>
      <c r="G3611" s="30" t="s">
        <v>9</v>
      </c>
      <c r="H3611" s="30">
        <v>1.5</v>
      </c>
      <c r="I3611" s="30" t="s">
        <v>9</v>
      </c>
      <c r="J3611" s="33">
        <v>3</v>
      </c>
      <c r="K3611" s="30">
        <v>26.1</v>
      </c>
      <c r="L3611" s="1">
        <v>1.016</v>
      </c>
      <c r="M3611" s="33">
        <v>0.9</v>
      </c>
      <c r="O3611" s="33">
        <f>0.6*25.4</f>
        <v>15.239999999999998</v>
      </c>
      <c r="Q3611" s="33">
        <v>42.1</v>
      </c>
    </row>
    <row r="3612" spans="1:17" x14ac:dyDescent="0.25">
      <c r="A3612" s="22">
        <v>41963</v>
      </c>
      <c r="B3612" s="30" t="s">
        <v>9</v>
      </c>
      <c r="C3612" s="30">
        <v>36.200000000000003</v>
      </c>
      <c r="D3612" s="30">
        <v>28</v>
      </c>
      <c r="F3612" s="30" t="s">
        <v>9</v>
      </c>
      <c r="G3612" s="30">
        <v>0.9</v>
      </c>
      <c r="H3612" s="33">
        <v>8.3000000000000007</v>
      </c>
      <c r="I3612" s="30" t="s">
        <v>9</v>
      </c>
      <c r="J3612" s="33">
        <v>20.3</v>
      </c>
      <c r="K3612" s="30">
        <v>13.3</v>
      </c>
      <c r="L3612" s="1">
        <v>24.637999999999998</v>
      </c>
      <c r="M3612" s="30">
        <v>7.2</v>
      </c>
      <c r="O3612" s="33">
        <f>2*25.4</f>
        <v>50.8</v>
      </c>
      <c r="Q3612" s="33">
        <v>5.4</v>
      </c>
    </row>
    <row r="3613" spans="1:17" x14ac:dyDescent="0.25">
      <c r="A3613" s="22">
        <v>41964</v>
      </c>
      <c r="B3613" s="30" t="s">
        <v>9</v>
      </c>
      <c r="C3613" s="30">
        <v>12.5</v>
      </c>
      <c r="D3613" s="30">
        <v>8</v>
      </c>
      <c r="F3613" s="30" t="s">
        <v>9</v>
      </c>
      <c r="G3613" s="33">
        <v>42.9</v>
      </c>
      <c r="H3613" s="33">
        <v>4.0999999999999996</v>
      </c>
      <c r="I3613" s="30" t="s">
        <v>9</v>
      </c>
      <c r="J3613" s="30">
        <v>6.7</v>
      </c>
      <c r="K3613" s="33">
        <v>23.2</v>
      </c>
      <c r="L3613" s="1">
        <v>1.27</v>
      </c>
      <c r="M3613" s="30">
        <v>11.1</v>
      </c>
      <c r="O3613" s="33">
        <f>1*25.4</f>
        <v>25.4</v>
      </c>
      <c r="Q3613" s="33">
        <v>4.8</v>
      </c>
    </row>
    <row r="3614" spans="1:17" x14ac:dyDescent="0.25">
      <c r="A3614" s="22">
        <v>41965</v>
      </c>
      <c r="B3614" s="30">
        <v>75.900000000000006</v>
      </c>
      <c r="C3614" s="30">
        <v>16</v>
      </c>
      <c r="D3614" s="33">
        <v>32.9</v>
      </c>
      <c r="F3614" s="30" t="s">
        <v>9</v>
      </c>
      <c r="G3614" s="33">
        <v>57.1</v>
      </c>
      <c r="H3614" s="30">
        <v>25</v>
      </c>
      <c r="I3614" s="30">
        <v>35.4</v>
      </c>
      <c r="J3614" s="30">
        <v>30.7</v>
      </c>
      <c r="K3614" s="30" t="s">
        <v>9</v>
      </c>
      <c r="L3614" s="1">
        <v>30.225999999999996</v>
      </c>
      <c r="M3614" s="30">
        <v>13.4</v>
      </c>
      <c r="O3614" s="33">
        <f>0.71*25.4</f>
        <v>18.033999999999999</v>
      </c>
      <c r="Q3614" s="33">
        <v>10.5</v>
      </c>
    </row>
    <row r="3615" spans="1:17" x14ac:dyDescent="0.25">
      <c r="A3615" s="22">
        <v>41966</v>
      </c>
      <c r="B3615" s="30" t="s">
        <v>9</v>
      </c>
      <c r="C3615" s="33">
        <v>8</v>
      </c>
      <c r="D3615" s="33">
        <v>7</v>
      </c>
      <c r="F3615" s="30">
        <v>59.4</v>
      </c>
      <c r="G3615" s="33">
        <v>5.3</v>
      </c>
      <c r="H3615" s="33">
        <v>9.6999999999999993</v>
      </c>
      <c r="I3615" s="33">
        <v>5.5</v>
      </c>
      <c r="J3615" s="33">
        <v>11.5</v>
      </c>
      <c r="K3615" s="33">
        <v>14.9</v>
      </c>
      <c r="L3615" s="1">
        <v>8.8899999999999988</v>
      </c>
      <c r="M3615" s="33">
        <v>7.3</v>
      </c>
      <c r="O3615" s="33">
        <f>0.3*25.4</f>
        <v>7.6199999999999992</v>
      </c>
      <c r="Q3615" s="33">
        <v>3.7</v>
      </c>
    </row>
    <row r="3616" spans="1:17" x14ac:dyDescent="0.25">
      <c r="A3616" s="22">
        <v>41967</v>
      </c>
      <c r="B3616" s="30" t="s">
        <v>9</v>
      </c>
      <c r="C3616" s="33">
        <v>6.2</v>
      </c>
      <c r="D3616" s="33">
        <v>11.4</v>
      </c>
      <c r="F3616" s="30" t="s">
        <v>9</v>
      </c>
      <c r="G3616" s="33">
        <v>2.8</v>
      </c>
      <c r="H3616" s="33">
        <v>4.5999999999999996</v>
      </c>
      <c r="I3616" s="30">
        <v>4</v>
      </c>
      <c r="J3616" s="33">
        <v>4.3</v>
      </c>
      <c r="K3616" s="33">
        <v>10.1</v>
      </c>
      <c r="L3616" s="1">
        <v>9.3979999999999997</v>
      </c>
      <c r="M3616" s="33">
        <v>4.5</v>
      </c>
      <c r="O3616" s="33">
        <f>0.45*25.4</f>
        <v>11.43</v>
      </c>
      <c r="Q3616" s="33">
        <v>8.8000000000000007</v>
      </c>
    </row>
    <row r="3617" spans="1:17" x14ac:dyDescent="0.25">
      <c r="A3617" s="22">
        <v>41968</v>
      </c>
      <c r="B3617" s="30" t="s">
        <v>9</v>
      </c>
      <c r="C3617" s="33">
        <v>22.4</v>
      </c>
      <c r="D3617" s="33">
        <v>8</v>
      </c>
      <c r="F3617" s="30" t="s">
        <v>9</v>
      </c>
      <c r="G3617" s="33">
        <v>24.6</v>
      </c>
      <c r="H3617" s="33">
        <v>6.1</v>
      </c>
      <c r="I3617" s="33">
        <v>5.6</v>
      </c>
      <c r="J3617" s="33">
        <v>5.8</v>
      </c>
      <c r="K3617" s="33">
        <v>2.2999999999999998</v>
      </c>
      <c r="L3617" s="1">
        <v>4.3180000000000005</v>
      </c>
      <c r="M3617" s="30">
        <v>6.2</v>
      </c>
      <c r="O3617" s="33">
        <f>0.25*25.4</f>
        <v>6.35</v>
      </c>
      <c r="Q3617" s="33">
        <v>6.3</v>
      </c>
    </row>
    <row r="3618" spans="1:17" x14ac:dyDescent="0.25">
      <c r="A3618" s="22">
        <v>41969</v>
      </c>
      <c r="B3618" s="30">
        <v>20.2</v>
      </c>
      <c r="C3618" s="33">
        <v>12.2</v>
      </c>
      <c r="D3618" s="33">
        <v>6.3</v>
      </c>
      <c r="F3618" s="30" t="s">
        <v>9</v>
      </c>
      <c r="G3618" s="33">
        <v>1.7</v>
      </c>
      <c r="H3618" s="33"/>
      <c r="I3618" s="33">
        <v>3.9</v>
      </c>
      <c r="J3618" s="33">
        <v>3.08</v>
      </c>
      <c r="K3618" s="33">
        <v>2.2000000000000002</v>
      </c>
      <c r="L3618" s="1">
        <v>9.3979999999999997</v>
      </c>
      <c r="M3618" s="30">
        <v>1.3</v>
      </c>
      <c r="O3618" s="33">
        <f>0.33*25.4</f>
        <v>8.3819999999999997</v>
      </c>
      <c r="Q3618" s="33">
        <v>8.8000000000000007</v>
      </c>
    </row>
    <row r="3619" spans="1:17" x14ac:dyDescent="0.25">
      <c r="A3619" s="22">
        <v>41970</v>
      </c>
      <c r="B3619" s="30" t="s">
        <v>9</v>
      </c>
      <c r="C3619" s="33">
        <v>4.2</v>
      </c>
      <c r="D3619" s="33">
        <v>5.5</v>
      </c>
      <c r="F3619" s="30" t="s">
        <v>9</v>
      </c>
      <c r="G3619" s="33">
        <v>2.8</v>
      </c>
      <c r="H3619" s="33">
        <v>1.1000000000000001</v>
      </c>
      <c r="I3619" s="33">
        <v>3.1</v>
      </c>
      <c r="J3619" s="33">
        <v>4</v>
      </c>
      <c r="K3619" s="30">
        <v>1.1000000000000001</v>
      </c>
      <c r="L3619" s="1">
        <v>3.302</v>
      </c>
      <c r="M3619" s="30" t="s">
        <v>9</v>
      </c>
      <c r="O3619" s="33">
        <f>0.15*25.4</f>
        <v>3.8099999999999996</v>
      </c>
      <c r="Q3619" s="33">
        <v>6.3</v>
      </c>
    </row>
    <row r="3620" spans="1:17" x14ac:dyDescent="0.25">
      <c r="A3620" s="22">
        <v>41971</v>
      </c>
      <c r="B3620" s="30" t="s">
        <v>9</v>
      </c>
      <c r="C3620" s="33">
        <v>4.3</v>
      </c>
      <c r="D3620" s="33">
        <v>6.4</v>
      </c>
      <c r="F3620" s="30">
        <v>18.5</v>
      </c>
      <c r="G3620" s="33">
        <v>3.8</v>
      </c>
      <c r="H3620" s="33">
        <v>1.2</v>
      </c>
      <c r="I3620" s="30" t="s">
        <v>9</v>
      </c>
      <c r="J3620" s="30">
        <v>2.5</v>
      </c>
      <c r="K3620" s="30" t="s">
        <v>9</v>
      </c>
      <c r="L3620" s="1">
        <v>5.3339999999999996</v>
      </c>
      <c r="M3620" s="33">
        <v>3</v>
      </c>
      <c r="O3620" s="33">
        <f>0.58*25.4</f>
        <v>14.731999999999998</v>
      </c>
      <c r="Q3620" s="33">
        <v>2.7</v>
      </c>
    </row>
    <row r="3621" spans="1:17" x14ac:dyDescent="0.25">
      <c r="A3621" s="22">
        <v>41972</v>
      </c>
      <c r="B3621" s="30">
        <v>17.100000000000001</v>
      </c>
      <c r="C3621" s="33">
        <v>4.5999999999999996</v>
      </c>
      <c r="D3621" s="33">
        <v>23.8</v>
      </c>
      <c r="F3621" s="30" t="s">
        <v>9</v>
      </c>
      <c r="G3621" s="30" t="s">
        <v>9</v>
      </c>
      <c r="H3621" s="33">
        <v>2.9</v>
      </c>
      <c r="I3621" s="33">
        <v>1.7</v>
      </c>
      <c r="J3621" s="30" t="s">
        <v>9</v>
      </c>
      <c r="K3621" s="30" t="s">
        <v>9</v>
      </c>
      <c r="L3621" s="1">
        <v>0.50800000000000001</v>
      </c>
      <c r="M3621" s="30">
        <v>3.1</v>
      </c>
      <c r="O3621" s="33">
        <f>0.1*25.4</f>
        <v>2.54</v>
      </c>
      <c r="Q3621" s="33">
        <v>21.2</v>
      </c>
    </row>
    <row r="3622" spans="1:17" x14ac:dyDescent="0.25">
      <c r="A3622" s="22">
        <v>41973</v>
      </c>
      <c r="B3622" s="30" t="s">
        <v>9</v>
      </c>
      <c r="C3622" s="33">
        <v>3.7</v>
      </c>
      <c r="D3622" s="33"/>
      <c r="F3622" s="30" t="s">
        <v>9</v>
      </c>
      <c r="G3622" s="30" t="s">
        <v>9</v>
      </c>
      <c r="H3622" s="33">
        <v>6</v>
      </c>
      <c r="I3622" s="30">
        <v>3.2</v>
      </c>
      <c r="J3622" s="30">
        <v>4.3</v>
      </c>
      <c r="K3622" s="30" t="s">
        <v>9</v>
      </c>
      <c r="L3622" s="1">
        <v>9.3979999999999997</v>
      </c>
      <c r="M3622" s="30">
        <v>6.1</v>
      </c>
      <c r="O3622" s="33">
        <f>0.63*25.4</f>
        <v>16.001999999999999</v>
      </c>
      <c r="Q3622" s="33">
        <v>6.5</v>
      </c>
    </row>
    <row r="3623" spans="1:17" x14ac:dyDescent="0.25">
      <c r="A3623" s="22">
        <v>41974</v>
      </c>
      <c r="B3623" s="30">
        <v>11.2</v>
      </c>
      <c r="C3623" s="33">
        <v>16.100000000000001</v>
      </c>
      <c r="D3623" s="33">
        <v>6.9</v>
      </c>
      <c r="F3623" s="30">
        <v>0</v>
      </c>
      <c r="G3623" s="33">
        <v>19.2</v>
      </c>
      <c r="H3623" s="33">
        <v>3.5</v>
      </c>
      <c r="I3623" s="30">
        <v>0</v>
      </c>
      <c r="J3623" s="30">
        <v>7.6</v>
      </c>
      <c r="K3623" s="30" t="s">
        <v>9</v>
      </c>
      <c r="L3623" s="1">
        <f>0.37*25.4</f>
        <v>9.3979999999999997</v>
      </c>
      <c r="M3623" s="30">
        <v>3.7</v>
      </c>
      <c r="O3623" s="33">
        <f>0.2*25.4</f>
        <v>5.08</v>
      </c>
      <c r="Q3623" s="33">
        <v>18.399999999999999</v>
      </c>
    </row>
    <row r="3624" spans="1:17" x14ac:dyDescent="0.25">
      <c r="A3624" s="22">
        <v>41975</v>
      </c>
      <c r="B3624" s="30" t="s">
        <v>9</v>
      </c>
      <c r="C3624" s="30">
        <v>10.3</v>
      </c>
      <c r="D3624" s="33">
        <v>19.3</v>
      </c>
      <c r="F3624" s="30">
        <v>0</v>
      </c>
      <c r="G3624" s="33">
        <v>20.5</v>
      </c>
      <c r="H3624" s="33">
        <v>18.2</v>
      </c>
      <c r="I3624" s="30">
        <v>14.7</v>
      </c>
      <c r="J3624" s="30">
        <v>23.3</v>
      </c>
      <c r="K3624" s="30">
        <v>37.4</v>
      </c>
      <c r="L3624" s="1">
        <f>0.97*25.4</f>
        <v>24.637999999999998</v>
      </c>
      <c r="M3624" s="30">
        <v>17.100000000000001</v>
      </c>
      <c r="O3624" s="33">
        <f>0.25*25.4</f>
        <v>6.35</v>
      </c>
      <c r="Q3624" s="33">
        <v>9.5</v>
      </c>
    </row>
    <row r="3625" spans="1:17" x14ac:dyDescent="0.25">
      <c r="A3625" s="22">
        <v>41976</v>
      </c>
      <c r="B3625" s="30" t="s">
        <v>9</v>
      </c>
      <c r="C3625" s="30">
        <v>3.7</v>
      </c>
      <c r="D3625" s="33">
        <v>9.5</v>
      </c>
      <c r="F3625" s="30">
        <v>0</v>
      </c>
      <c r="G3625" s="33">
        <v>5.0999999999999996</v>
      </c>
      <c r="H3625" s="33">
        <v>11</v>
      </c>
      <c r="I3625" s="30">
        <v>10.5</v>
      </c>
      <c r="J3625" s="30">
        <v>7.2</v>
      </c>
      <c r="K3625" s="30">
        <v>4.3</v>
      </c>
      <c r="L3625" s="1">
        <f>0.27*25.4</f>
        <v>6.8579999999999997</v>
      </c>
      <c r="M3625" s="30">
        <v>21.5</v>
      </c>
      <c r="O3625" s="33">
        <f>0.16*25.4</f>
        <v>4.0640000000000001</v>
      </c>
      <c r="Q3625" s="33">
        <v>8.1</v>
      </c>
    </row>
    <row r="3626" spans="1:17" x14ac:dyDescent="0.25">
      <c r="A3626" s="22">
        <v>41977</v>
      </c>
      <c r="B3626" s="30" t="s">
        <v>9</v>
      </c>
      <c r="C3626" s="30">
        <v>0.3</v>
      </c>
      <c r="D3626" s="33">
        <v>1</v>
      </c>
      <c r="F3626" s="30">
        <v>0</v>
      </c>
      <c r="G3626" s="33">
        <v>0</v>
      </c>
      <c r="H3626" s="33">
        <v>4.7</v>
      </c>
      <c r="I3626" s="30">
        <v>0</v>
      </c>
      <c r="J3626" s="33">
        <v>2.6</v>
      </c>
      <c r="K3626" s="30" t="s">
        <v>9</v>
      </c>
      <c r="L3626" s="1">
        <f>0.13*25.4</f>
        <v>3.302</v>
      </c>
      <c r="M3626" s="30">
        <v>8.1</v>
      </c>
      <c r="O3626" s="30">
        <f>0.15*25.4</f>
        <v>3.8099999999999996</v>
      </c>
      <c r="Q3626" s="33">
        <v>0</v>
      </c>
    </row>
    <row r="3627" spans="1:17" x14ac:dyDescent="0.25">
      <c r="A3627" s="22">
        <v>41978</v>
      </c>
      <c r="B3627" s="30" t="s">
        <v>9</v>
      </c>
      <c r="C3627" s="30">
        <v>0</v>
      </c>
      <c r="D3627" s="30" t="s">
        <v>9</v>
      </c>
      <c r="F3627" s="30">
        <v>0</v>
      </c>
      <c r="G3627" s="30">
        <v>0</v>
      </c>
      <c r="H3627" s="33">
        <v>0</v>
      </c>
      <c r="I3627" s="30">
        <v>6.8</v>
      </c>
      <c r="J3627" s="30" t="s">
        <v>9</v>
      </c>
      <c r="K3627" s="30" t="s">
        <v>9</v>
      </c>
      <c r="L3627" s="1">
        <f>0*25.4</f>
        <v>0</v>
      </c>
      <c r="M3627" s="30" t="s">
        <v>9</v>
      </c>
      <c r="O3627" s="33">
        <f>0.05*25.4</f>
        <v>1.27</v>
      </c>
      <c r="Q3627" s="33">
        <v>0</v>
      </c>
    </row>
    <row r="3628" spans="1:17" x14ac:dyDescent="0.25">
      <c r="A3628" s="22">
        <v>41979</v>
      </c>
      <c r="B3628" s="30" t="s">
        <v>9</v>
      </c>
      <c r="C3628" s="30">
        <v>0</v>
      </c>
      <c r="D3628" s="30" t="s">
        <v>9</v>
      </c>
      <c r="F3628" s="30">
        <v>0</v>
      </c>
      <c r="G3628" s="33">
        <v>0</v>
      </c>
      <c r="H3628" s="33">
        <v>0</v>
      </c>
      <c r="I3628" s="30">
        <v>0</v>
      </c>
      <c r="J3628" s="30" t="s">
        <v>9</v>
      </c>
      <c r="K3628" s="30" t="s">
        <v>9</v>
      </c>
      <c r="L3628" s="30" t="s">
        <v>9</v>
      </c>
      <c r="M3628" s="30">
        <v>0</v>
      </c>
      <c r="O3628" s="33">
        <v>0</v>
      </c>
      <c r="Q3628" s="33">
        <v>0</v>
      </c>
    </row>
    <row r="3629" spans="1:17" x14ac:dyDescent="0.25">
      <c r="A3629" s="22">
        <v>41980</v>
      </c>
      <c r="B3629" s="30" t="s">
        <v>9</v>
      </c>
      <c r="C3629" s="30">
        <v>0</v>
      </c>
      <c r="D3629" s="30" t="s">
        <v>9</v>
      </c>
      <c r="F3629" s="30">
        <v>0</v>
      </c>
      <c r="G3629" s="33">
        <v>0.5</v>
      </c>
      <c r="H3629" s="33">
        <v>0</v>
      </c>
      <c r="I3629" s="33">
        <v>0</v>
      </c>
      <c r="J3629" s="30">
        <v>0</v>
      </c>
      <c r="K3629" s="30">
        <v>3.2</v>
      </c>
      <c r="L3629" s="1">
        <f>0*25.4</f>
        <v>0</v>
      </c>
      <c r="M3629" s="33">
        <v>0</v>
      </c>
      <c r="O3629" s="33">
        <v>0</v>
      </c>
      <c r="Q3629" s="33">
        <v>2.6</v>
      </c>
    </row>
    <row r="3630" spans="1:17" x14ac:dyDescent="0.25">
      <c r="A3630" s="22">
        <v>41981</v>
      </c>
      <c r="B3630" s="30" t="s">
        <v>9</v>
      </c>
      <c r="C3630" s="33">
        <v>0</v>
      </c>
      <c r="D3630" s="33">
        <v>4.4000000000000004</v>
      </c>
      <c r="F3630" s="30">
        <v>0</v>
      </c>
      <c r="G3630" s="30">
        <v>0.6</v>
      </c>
      <c r="H3630" s="30" t="s">
        <v>9</v>
      </c>
      <c r="I3630" s="30">
        <v>0.7</v>
      </c>
      <c r="J3630" s="30">
        <v>5.3</v>
      </c>
      <c r="K3630" s="30" t="s">
        <v>9</v>
      </c>
      <c r="L3630" s="1">
        <f>0.39*25.4</f>
        <v>9.9060000000000006</v>
      </c>
      <c r="M3630" s="30" t="s">
        <v>9</v>
      </c>
      <c r="O3630" s="33">
        <f>0.68*25.4</f>
        <v>17.272000000000002</v>
      </c>
      <c r="Q3630" s="33">
        <v>11.5</v>
      </c>
    </row>
    <row r="3631" spans="1:17" x14ac:dyDescent="0.25">
      <c r="A3631" s="22">
        <v>41982</v>
      </c>
      <c r="B3631" s="30" t="s">
        <v>9</v>
      </c>
      <c r="C3631" s="30">
        <v>7.6</v>
      </c>
      <c r="D3631" s="33">
        <v>10.5</v>
      </c>
      <c r="F3631" s="30">
        <v>0</v>
      </c>
      <c r="G3631" s="33">
        <v>0.4</v>
      </c>
      <c r="H3631" s="30">
        <v>0</v>
      </c>
      <c r="I3631" s="30">
        <v>0</v>
      </c>
      <c r="J3631" s="30">
        <v>2.7</v>
      </c>
      <c r="K3631" s="30" t="s">
        <v>9</v>
      </c>
      <c r="L3631" s="2">
        <f>0.1*25.4</f>
        <v>2.54</v>
      </c>
      <c r="M3631" s="30">
        <v>0</v>
      </c>
      <c r="O3631" s="33">
        <f>0.2*25.4</f>
        <v>5.08</v>
      </c>
      <c r="Q3631" s="33">
        <v>3.5</v>
      </c>
    </row>
    <row r="3632" spans="1:17" x14ac:dyDescent="0.25">
      <c r="A3632" s="22">
        <v>41983</v>
      </c>
      <c r="B3632" s="30" t="s">
        <v>9</v>
      </c>
      <c r="C3632" s="30">
        <v>3.2</v>
      </c>
      <c r="D3632" s="33">
        <v>12</v>
      </c>
      <c r="F3632" s="30">
        <v>0</v>
      </c>
      <c r="G3632" s="33">
        <v>4</v>
      </c>
      <c r="H3632" s="30">
        <v>0</v>
      </c>
      <c r="I3632" s="30">
        <v>0.3</v>
      </c>
      <c r="J3632" s="30">
        <v>5.0999999999999996</v>
      </c>
      <c r="K3632" s="30">
        <v>8.1</v>
      </c>
      <c r="L3632" s="2">
        <f>0.31*25.4</f>
        <v>7.8739999999999997</v>
      </c>
      <c r="M3632" s="30">
        <v>0</v>
      </c>
      <c r="O3632" s="30">
        <f>0.23*25.4</f>
        <v>5.8419999999999996</v>
      </c>
      <c r="Q3632" s="33">
        <v>0.5</v>
      </c>
    </row>
    <row r="3633" spans="1:17" x14ac:dyDescent="0.25">
      <c r="A3633" s="22">
        <v>41984</v>
      </c>
      <c r="B3633" s="30" t="s">
        <v>9</v>
      </c>
      <c r="C3633" s="30" t="s">
        <v>9</v>
      </c>
      <c r="D3633" s="33">
        <v>2.5</v>
      </c>
      <c r="F3633" s="30">
        <v>0</v>
      </c>
      <c r="G3633" s="33">
        <v>9.9</v>
      </c>
      <c r="H3633" s="30">
        <v>1.1000000000000001</v>
      </c>
      <c r="I3633" s="30">
        <v>0.8</v>
      </c>
      <c r="J3633" s="30">
        <v>0.8</v>
      </c>
      <c r="K3633" s="30">
        <v>0.9</v>
      </c>
      <c r="L3633" s="1">
        <f>0*25.4</f>
        <v>0</v>
      </c>
      <c r="M3633" s="30">
        <v>0</v>
      </c>
      <c r="O3633" s="30">
        <v>0</v>
      </c>
      <c r="Q3633" s="33">
        <v>4.2</v>
      </c>
    </row>
    <row r="3634" spans="1:17" x14ac:dyDescent="0.25">
      <c r="A3634" s="22">
        <v>41985</v>
      </c>
      <c r="B3634" s="30" t="s">
        <v>9</v>
      </c>
      <c r="C3634" s="33">
        <v>6.6</v>
      </c>
      <c r="D3634" s="33">
        <v>9.5</v>
      </c>
      <c r="F3634" s="30">
        <v>0</v>
      </c>
      <c r="G3634" s="33">
        <v>28.1</v>
      </c>
      <c r="H3634" s="30">
        <v>0</v>
      </c>
      <c r="I3634" s="30">
        <v>0.6</v>
      </c>
      <c r="J3634" s="33">
        <v>7</v>
      </c>
      <c r="K3634" s="30" t="s">
        <v>9</v>
      </c>
      <c r="L3634" s="1">
        <f>0.05*25.4</f>
        <v>1.27</v>
      </c>
      <c r="M3634" s="33">
        <v>5.7</v>
      </c>
      <c r="O3634" s="33">
        <f>0.2*25.4</f>
        <v>5.08</v>
      </c>
      <c r="Q3634" s="33">
        <v>10.4</v>
      </c>
    </row>
    <row r="3635" spans="1:17" x14ac:dyDescent="0.25">
      <c r="A3635" s="22">
        <v>41986</v>
      </c>
      <c r="B3635" s="30">
        <v>17.3</v>
      </c>
      <c r="C3635" s="33">
        <v>20</v>
      </c>
      <c r="D3635" s="33">
        <v>16.399999999999999</v>
      </c>
      <c r="F3635" s="30">
        <v>0</v>
      </c>
      <c r="G3635" s="30">
        <v>2.8</v>
      </c>
      <c r="H3635" s="30">
        <v>8.3000000000000007</v>
      </c>
      <c r="I3635" s="30">
        <v>0</v>
      </c>
      <c r="J3635" s="30">
        <v>44.1</v>
      </c>
      <c r="K3635" s="30">
        <v>39.6</v>
      </c>
      <c r="L3635" s="1">
        <f>0.55*25.4</f>
        <v>13.97</v>
      </c>
      <c r="M3635" s="33">
        <v>13.3</v>
      </c>
      <c r="O3635" s="33">
        <f>0.21*25.4</f>
        <v>5.3339999999999996</v>
      </c>
      <c r="Q3635" s="33">
        <v>8.9</v>
      </c>
    </row>
    <row r="3636" spans="1:17" x14ac:dyDescent="0.25">
      <c r="A3636" s="22">
        <v>41987</v>
      </c>
      <c r="B3636" s="30" t="s">
        <v>9</v>
      </c>
      <c r="C3636" s="30">
        <v>6.2</v>
      </c>
      <c r="D3636" s="33">
        <v>7.5</v>
      </c>
      <c r="F3636" s="30">
        <v>0</v>
      </c>
      <c r="G3636" s="30">
        <v>0</v>
      </c>
      <c r="H3636" s="30">
        <v>14.3</v>
      </c>
      <c r="I3636" s="30">
        <v>37.6</v>
      </c>
      <c r="J3636" s="30">
        <v>15.7</v>
      </c>
      <c r="K3636" s="30" t="s">
        <v>9</v>
      </c>
      <c r="L3636" s="2">
        <f>0.12*25.4</f>
        <v>3.0479999999999996</v>
      </c>
      <c r="M3636" s="30">
        <v>12.8</v>
      </c>
      <c r="O3636" s="30">
        <f>0.11*25.4</f>
        <v>2.794</v>
      </c>
      <c r="Q3636" s="33">
        <v>0</v>
      </c>
    </row>
    <row r="3637" spans="1:17" x14ac:dyDescent="0.25">
      <c r="A3637" s="22">
        <v>41988</v>
      </c>
      <c r="B3637" s="30" t="s">
        <v>9</v>
      </c>
      <c r="C3637" s="30">
        <v>2.1</v>
      </c>
      <c r="D3637" s="33">
        <v>3.3</v>
      </c>
      <c r="F3637" s="30">
        <v>0</v>
      </c>
      <c r="G3637" s="30">
        <v>1.1000000000000001</v>
      </c>
      <c r="H3637" s="33">
        <v>4.8</v>
      </c>
      <c r="I3637" s="30" t="s">
        <v>9</v>
      </c>
      <c r="J3637" s="30" t="s">
        <v>9</v>
      </c>
      <c r="K3637" s="30">
        <v>21.2</v>
      </c>
      <c r="L3637" s="2">
        <f>0.47*25.4</f>
        <v>11.937999999999999</v>
      </c>
      <c r="M3637" s="33">
        <v>0</v>
      </c>
      <c r="O3637" s="30">
        <f>0.1*25.4</f>
        <v>2.54</v>
      </c>
      <c r="Q3637" s="33">
        <v>1.4</v>
      </c>
    </row>
    <row r="3638" spans="1:17" x14ac:dyDescent="0.25">
      <c r="A3638" s="22">
        <v>41989</v>
      </c>
      <c r="B3638" s="30" t="s">
        <v>9</v>
      </c>
      <c r="C3638" s="30" t="s">
        <v>9</v>
      </c>
      <c r="D3638" s="33">
        <v>1.6</v>
      </c>
      <c r="F3638" s="30">
        <v>0</v>
      </c>
      <c r="G3638" s="30">
        <v>0.7</v>
      </c>
      <c r="H3638" s="33">
        <v>0.8</v>
      </c>
      <c r="I3638" s="33">
        <v>0</v>
      </c>
      <c r="J3638" s="33">
        <v>4.0999999999999996</v>
      </c>
      <c r="K3638" s="30">
        <v>4.5999999999999996</v>
      </c>
      <c r="L3638" s="1">
        <f>0.05*25.4</f>
        <v>1.27</v>
      </c>
      <c r="M3638" s="30">
        <v>0</v>
      </c>
      <c r="O3638" s="33">
        <f>0.08*25.4</f>
        <v>2.032</v>
      </c>
      <c r="Q3638" s="33">
        <v>0.9</v>
      </c>
    </row>
    <row r="3639" spans="1:17" x14ac:dyDescent="0.25">
      <c r="A3639" s="22">
        <v>41990</v>
      </c>
      <c r="B3639" s="30" t="s">
        <v>9</v>
      </c>
      <c r="C3639" s="30" t="s">
        <v>9</v>
      </c>
      <c r="D3639" s="33">
        <v>5</v>
      </c>
      <c r="F3639" s="30">
        <v>0</v>
      </c>
      <c r="G3639" s="33">
        <v>18.100000000000001</v>
      </c>
      <c r="H3639" s="30">
        <v>3.9</v>
      </c>
      <c r="I3639" s="30">
        <v>6.1</v>
      </c>
      <c r="J3639" s="30">
        <v>13.3</v>
      </c>
      <c r="K3639" s="30">
        <v>6.3</v>
      </c>
      <c r="L3639" s="1">
        <f>0*25.4</f>
        <v>0</v>
      </c>
      <c r="M3639" s="30">
        <v>0</v>
      </c>
      <c r="O3639" s="30">
        <f>0.23*25.4</f>
        <v>5.8419999999999996</v>
      </c>
      <c r="Q3639" s="33">
        <v>0.8</v>
      </c>
    </row>
    <row r="3640" spans="1:17" x14ac:dyDescent="0.25">
      <c r="A3640" s="22">
        <v>41991</v>
      </c>
      <c r="B3640" s="30" t="s">
        <v>9</v>
      </c>
      <c r="C3640" s="33">
        <v>0</v>
      </c>
      <c r="D3640" s="30" t="s">
        <v>9</v>
      </c>
      <c r="F3640" s="30">
        <v>0</v>
      </c>
      <c r="G3640" s="33">
        <v>1.2</v>
      </c>
      <c r="H3640" s="30">
        <v>3.3</v>
      </c>
      <c r="I3640" s="30" t="s">
        <v>9</v>
      </c>
      <c r="J3640" s="30">
        <v>1.1000000000000001</v>
      </c>
      <c r="K3640" s="33">
        <v>0.6</v>
      </c>
      <c r="L3640" s="1">
        <f>0.25*25.4</f>
        <v>6.35</v>
      </c>
      <c r="M3640" s="33">
        <v>5.7</v>
      </c>
      <c r="O3640" s="33">
        <f>0.5*25.4</f>
        <v>12.7</v>
      </c>
      <c r="Q3640" s="33">
        <v>23.3</v>
      </c>
    </row>
    <row r="3641" spans="1:17" x14ac:dyDescent="0.25">
      <c r="A3641" s="22">
        <v>41992</v>
      </c>
      <c r="B3641" s="30" t="s">
        <v>9</v>
      </c>
      <c r="C3641" s="33">
        <v>15.7</v>
      </c>
      <c r="D3641" s="33">
        <v>12.5</v>
      </c>
      <c r="F3641" s="30" t="s">
        <v>9</v>
      </c>
      <c r="G3641" s="30">
        <v>7.1</v>
      </c>
      <c r="H3641" s="30">
        <v>11.5</v>
      </c>
      <c r="I3641" s="30">
        <v>16.7</v>
      </c>
      <c r="J3641" s="33">
        <v>13</v>
      </c>
      <c r="K3641" s="30">
        <v>28.2</v>
      </c>
      <c r="L3641" s="1">
        <f>0.15*25.4</f>
        <v>3.8099999999999996</v>
      </c>
      <c r="M3641" s="30" t="s">
        <v>9</v>
      </c>
      <c r="O3641" s="33">
        <f>1.3*25.4</f>
        <v>33.019999999999996</v>
      </c>
      <c r="Q3641" s="33">
        <v>1.4</v>
      </c>
    </row>
    <row r="3642" spans="1:17" x14ac:dyDescent="0.25">
      <c r="A3642" s="22">
        <v>41993</v>
      </c>
      <c r="B3642" s="30">
        <v>45.5</v>
      </c>
      <c r="C3642" s="30">
        <v>0</v>
      </c>
      <c r="D3642" s="33">
        <v>5</v>
      </c>
      <c r="F3642" s="30">
        <v>40</v>
      </c>
      <c r="G3642" s="30">
        <v>0</v>
      </c>
      <c r="H3642" s="33">
        <v>0</v>
      </c>
      <c r="I3642" s="30">
        <v>0.8</v>
      </c>
      <c r="J3642" s="33">
        <v>5</v>
      </c>
      <c r="K3642" s="33">
        <v>1</v>
      </c>
      <c r="L3642" s="1">
        <f>0.17*25.4</f>
        <v>4.3180000000000005</v>
      </c>
      <c r="M3642" s="30">
        <v>1</v>
      </c>
      <c r="O3642" s="33">
        <f>0.1*25.4</f>
        <v>2.54</v>
      </c>
      <c r="Q3642" s="33">
        <v>8.8000000000000007</v>
      </c>
    </row>
    <row r="3643" spans="1:17" x14ac:dyDescent="0.25">
      <c r="A3643" s="22">
        <v>41994</v>
      </c>
      <c r="B3643" s="30" t="s">
        <v>9</v>
      </c>
      <c r="C3643" s="30">
        <v>15.3</v>
      </c>
      <c r="D3643" s="33">
        <v>17.600000000000001</v>
      </c>
      <c r="F3643" s="30" t="s">
        <v>9</v>
      </c>
      <c r="G3643" s="33">
        <v>0</v>
      </c>
      <c r="H3643" s="33">
        <v>2.6</v>
      </c>
      <c r="I3643" s="30">
        <v>4</v>
      </c>
      <c r="J3643" s="30">
        <v>9.9</v>
      </c>
      <c r="K3643" s="33">
        <v>16.2</v>
      </c>
      <c r="L3643" s="1">
        <f>0.11*25.4</f>
        <v>2.794</v>
      </c>
      <c r="M3643" s="30" t="s">
        <v>9</v>
      </c>
      <c r="O3643" s="33">
        <f>0.45*25.4</f>
        <v>11.43</v>
      </c>
      <c r="Q3643" s="33">
        <v>0</v>
      </c>
    </row>
    <row r="3644" spans="1:17" x14ac:dyDescent="0.25">
      <c r="A3644" s="22">
        <v>41995</v>
      </c>
      <c r="B3644" s="30" t="s">
        <v>9</v>
      </c>
      <c r="C3644" s="30">
        <v>1.9</v>
      </c>
      <c r="D3644" s="30" t="s">
        <v>9</v>
      </c>
      <c r="F3644" s="30">
        <v>0</v>
      </c>
      <c r="G3644" s="33">
        <v>0</v>
      </c>
      <c r="H3644" s="30">
        <v>0</v>
      </c>
      <c r="I3644" s="30">
        <v>0</v>
      </c>
      <c r="J3644" s="30">
        <v>0</v>
      </c>
      <c r="K3644" s="33">
        <v>0.8</v>
      </c>
      <c r="L3644" s="30" t="s">
        <v>9</v>
      </c>
      <c r="M3644" s="30">
        <v>3.8</v>
      </c>
      <c r="O3644" s="33">
        <f>0*25.4</f>
        <v>0</v>
      </c>
      <c r="Q3644" s="33">
        <v>0</v>
      </c>
    </row>
    <row r="3645" spans="1:17" x14ac:dyDescent="0.25">
      <c r="A3645" s="22">
        <v>41996</v>
      </c>
      <c r="B3645" s="30">
        <v>23.1</v>
      </c>
      <c r="C3645" s="33">
        <v>0</v>
      </c>
      <c r="D3645" s="30" t="s">
        <v>9</v>
      </c>
      <c r="F3645" s="30">
        <v>0</v>
      </c>
      <c r="G3645" s="33">
        <v>0</v>
      </c>
      <c r="H3645" s="33">
        <v>0</v>
      </c>
      <c r="I3645" s="33">
        <v>0</v>
      </c>
      <c r="J3645" s="33">
        <v>0</v>
      </c>
      <c r="K3645" s="30" t="s">
        <v>9</v>
      </c>
      <c r="L3645" s="1">
        <f>0.03*25.4</f>
        <v>0.7619999999999999</v>
      </c>
      <c r="M3645" s="33">
        <v>0</v>
      </c>
      <c r="O3645" s="33">
        <v>0</v>
      </c>
      <c r="Q3645" s="33">
        <v>0</v>
      </c>
    </row>
    <row r="3646" spans="1:17" x14ac:dyDescent="0.25">
      <c r="A3646" s="22">
        <v>41997</v>
      </c>
      <c r="B3646" s="30" t="s">
        <v>9</v>
      </c>
      <c r="C3646" s="33">
        <v>0</v>
      </c>
      <c r="D3646" s="30" t="s">
        <v>9</v>
      </c>
      <c r="F3646" s="30">
        <v>0</v>
      </c>
      <c r="G3646" s="33">
        <v>4.2</v>
      </c>
      <c r="H3646" s="33">
        <v>0</v>
      </c>
      <c r="I3646" s="30">
        <v>3</v>
      </c>
      <c r="J3646" s="30" t="s">
        <v>9</v>
      </c>
      <c r="K3646" s="30">
        <v>2.1</v>
      </c>
      <c r="L3646" s="1">
        <f>0*25.4</f>
        <v>0</v>
      </c>
      <c r="M3646" s="33">
        <v>0</v>
      </c>
      <c r="O3646" s="33">
        <v>0</v>
      </c>
      <c r="Q3646" s="33">
        <v>0</v>
      </c>
    </row>
    <row r="3647" spans="1:17" x14ac:dyDescent="0.25">
      <c r="A3647" s="22">
        <v>41998</v>
      </c>
      <c r="B3647" s="30">
        <v>20.6</v>
      </c>
      <c r="C3647" s="33">
        <v>0</v>
      </c>
      <c r="D3647" s="30">
        <v>3.5</v>
      </c>
      <c r="F3647" s="30">
        <v>0</v>
      </c>
      <c r="G3647" s="33">
        <v>1.9</v>
      </c>
      <c r="H3647" s="33">
        <v>7.6</v>
      </c>
      <c r="I3647" s="33">
        <v>4.0999999999999996</v>
      </c>
      <c r="J3647" s="33">
        <v>5.6</v>
      </c>
      <c r="K3647" s="30">
        <v>3.6</v>
      </c>
      <c r="L3647" s="1">
        <f>0*25.4</f>
        <v>0</v>
      </c>
      <c r="M3647" s="30">
        <v>0</v>
      </c>
      <c r="O3647" s="33">
        <f>0.7*25.4</f>
        <v>17.779999999999998</v>
      </c>
      <c r="Q3647" s="33">
        <v>1.6</v>
      </c>
    </row>
    <row r="3648" spans="1:17" x14ac:dyDescent="0.25">
      <c r="A3648" s="22">
        <v>41999</v>
      </c>
      <c r="B3648" s="30" t="s">
        <v>9</v>
      </c>
      <c r="C3648" s="33">
        <v>0</v>
      </c>
      <c r="D3648" s="33">
        <v>5.5</v>
      </c>
      <c r="F3648" s="30">
        <v>11.4</v>
      </c>
      <c r="G3648" s="33">
        <v>0</v>
      </c>
      <c r="H3648" s="33">
        <v>0</v>
      </c>
      <c r="I3648" s="30" t="s">
        <v>9</v>
      </c>
      <c r="J3648" s="33">
        <v>3.2</v>
      </c>
      <c r="K3648" s="30">
        <v>2.8</v>
      </c>
      <c r="L3648" s="1">
        <f>0.12*25.4</f>
        <v>3.0479999999999996</v>
      </c>
      <c r="M3648" s="30">
        <v>0</v>
      </c>
      <c r="O3648" s="33">
        <f>0.1*25.4</f>
        <v>2.54</v>
      </c>
      <c r="Q3648" s="33">
        <v>16.399999999999999</v>
      </c>
    </row>
    <row r="3649" spans="1:28" x14ac:dyDescent="0.25">
      <c r="A3649" s="22">
        <v>42000</v>
      </c>
      <c r="B3649" s="30">
        <v>79.3</v>
      </c>
      <c r="C3649" s="33">
        <v>0</v>
      </c>
      <c r="D3649" s="33">
        <v>8.4</v>
      </c>
      <c r="F3649" s="30" t="s">
        <v>9</v>
      </c>
      <c r="G3649" s="33">
        <v>0</v>
      </c>
      <c r="H3649" s="33">
        <v>0</v>
      </c>
      <c r="I3649" s="33">
        <v>0</v>
      </c>
      <c r="J3649" s="33">
        <v>0</v>
      </c>
      <c r="K3649" s="30" t="s">
        <v>9</v>
      </c>
      <c r="L3649" s="1">
        <f>0.57*25.4</f>
        <v>14.477999999999998</v>
      </c>
      <c r="M3649" s="30">
        <v>5.8</v>
      </c>
      <c r="O3649" s="33">
        <f>0.21*25.4</f>
        <v>5.3339999999999996</v>
      </c>
      <c r="Q3649" s="33">
        <v>18.600000000000001</v>
      </c>
    </row>
    <row r="3650" spans="1:28" x14ac:dyDescent="0.25">
      <c r="A3650" s="22">
        <v>42001</v>
      </c>
      <c r="B3650" s="30">
        <v>11.2</v>
      </c>
      <c r="C3650" s="33"/>
      <c r="D3650" s="33">
        <v>2.2999999999999998</v>
      </c>
      <c r="F3650" s="30">
        <v>0</v>
      </c>
      <c r="G3650" s="33">
        <v>0.323931623931625</v>
      </c>
      <c r="H3650" s="33">
        <v>0</v>
      </c>
      <c r="I3650" s="30">
        <v>8.6340659340659407</v>
      </c>
      <c r="J3650" s="30">
        <v>2.4</v>
      </c>
      <c r="K3650" s="30" t="s">
        <v>9</v>
      </c>
      <c r="L3650" s="1">
        <f>0.37*25.4</f>
        <v>9.3979999999999997</v>
      </c>
      <c r="M3650" s="30">
        <v>17</v>
      </c>
      <c r="O3650" s="33">
        <f>0.2*25.4</f>
        <v>5.08</v>
      </c>
      <c r="Q3650" s="33">
        <v>6.6</v>
      </c>
    </row>
    <row r="3651" spans="1:28" x14ac:dyDescent="0.25">
      <c r="A3651" s="22">
        <v>42002</v>
      </c>
      <c r="B3651" s="30" t="s">
        <v>9</v>
      </c>
      <c r="C3651" s="33">
        <v>11.4</v>
      </c>
      <c r="D3651" s="33">
        <v>10.1</v>
      </c>
      <c r="F3651" s="30">
        <v>7.5</v>
      </c>
      <c r="G3651" s="30">
        <v>4.3</v>
      </c>
      <c r="H3651" s="33">
        <v>7.1</v>
      </c>
      <c r="I3651" s="33">
        <v>6.9</v>
      </c>
      <c r="J3651" s="30">
        <v>8.3000000000000007</v>
      </c>
      <c r="K3651" s="30" t="s">
        <v>9</v>
      </c>
      <c r="L3651" s="1">
        <f>0.3*25.4</f>
        <v>7.6199999999999992</v>
      </c>
      <c r="M3651" s="30">
        <v>2.1</v>
      </c>
      <c r="O3651" s="33">
        <f>0.55*25.4</f>
        <v>13.97</v>
      </c>
      <c r="Q3651" s="33">
        <v>0</v>
      </c>
    </row>
    <row r="3652" spans="1:28" x14ac:dyDescent="0.25">
      <c r="A3652" s="22">
        <v>42003</v>
      </c>
      <c r="B3652" s="30" t="s">
        <v>9</v>
      </c>
      <c r="C3652" s="30" t="s">
        <v>9</v>
      </c>
      <c r="D3652" s="33">
        <v>1</v>
      </c>
      <c r="F3652" s="30" t="s">
        <v>9</v>
      </c>
      <c r="G3652" s="30">
        <v>2.4</v>
      </c>
      <c r="H3652" s="33">
        <v>0</v>
      </c>
      <c r="I3652" s="30">
        <v>0</v>
      </c>
      <c r="J3652" s="30">
        <v>1.7</v>
      </c>
      <c r="K3652" s="30">
        <v>1.3</v>
      </c>
      <c r="L3652" s="1">
        <f>0*25.4</f>
        <v>0</v>
      </c>
      <c r="M3652" s="30">
        <v>6.2</v>
      </c>
      <c r="O3652" s="33">
        <f>0.5*25.4</f>
        <v>12.7</v>
      </c>
      <c r="Q3652" s="33">
        <v>2.5</v>
      </c>
    </row>
    <row r="3653" spans="1:28" x14ac:dyDescent="0.25">
      <c r="A3653" s="22">
        <v>42004</v>
      </c>
      <c r="B3653" s="30" t="s">
        <v>9</v>
      </c>
      <c r="C3653" s="33">
        <v>6.4</v>
      </c>
      <c r="D3653" s="33">
        <v>5.5</v>
      </c>
      <c r="F3653" s="30">
        <v>0</v>
      </c>
      <c r="G3653" s="30">
        <v>0.6</v>
      </c>
      <c r="H3653" s="33">
        <v>1</v>
      </c>
      <c r="I3653" s="30">
        <v>0</v>
      </c>
      <c r="J3653" s="30">
        <v>4.5</v>
      </c>
      <c r="K3653" s="30" t="s">
        <v>9</v>
      </c>
      <c r="L3653" s="1">
        <f>0.12*25.4</f>
        <v>3.0479999999999996</v>
      </c>
      <c r="M3653" s="30">
        <v>5.8</v>
      </c>
      <c r="O3653" s="33">
        <f>0.5*25.4</f>
        <v>12.7</v>
      </c>
      <c r="Q3653" s="33">
        <v>2.2999999999999998</v>
      </c>
    </row>
    <row r="3654" spans="1:28" x14ac:dyDescent="0.25">
      <c r="A3654" s="22">
        <v>42005</v>
      </c>
      <c r="B3654" s="33">
        <v>30.1</v>
      </c>
      <c r="C3654" s="33">
        <v>3.7</v>
      </c>
      <c r="D3654" s="33">
        <v>4.5</v>
      </c>
      <c r="F3654" s="30">
        <v>0</v>
      </c>
      <c r="G3654" s="33">
        <v>4.2</v>
      </c>
      <c r="H3654" s="33">
        <v>1.2</v>
      </c>
      <c r="I3654" s="30">
        <v>5.8</v>
      </c>
      <c r="J3654" s="30">
        <v>1.7</v>
      </c>
      <c r="K3654" s="30">
        <v>0</v>
      </c>
      <c r="L3654" s="38">
        <v>8.8899999999999988</v>
      </c>
      <c r="M3654" s="30">
        <v>1.4</v>
      </c>
      <c r="O3654" s="38">
        <v>5.8419999999999996</v>
      </c>
      <c r="P3654" s="24"/>
      <c r="Q3654" s="24"/>
      <c r="X3654" s="33"/>
      <c r="AB3654" s="24"/>
    </row>
    <row r="3655" spans="1:28" x14ac:dyDescent="0.25">
      <c r="A3655" s="22">
        <v>42006</v>
      </c>
      <c r="B3655" s="33">
        <v>7.2</v>
      </c>
      <c r="C3655" s="30" t="s">
        <v>9</v>
      </c>
      <c r="D3655" s="33">
        <v>3</v>
      </c>
      <c r="F3655" s="30">
        <v>0</v>
      </c>
      <c r="G3655" s="33">
        <v>11.2</v>
      </c>
      <c r="H3655" s="33">
        <v>0</v>
      </c>
      <c r="I3655" s="30">
        <v>1.1000000000000001</v>
      </c>
      <c r="J3655" s="30">
        <v>4.3</v>
      </c>
      <c r="K3655" s="30">
        <v>0</v>
      </c>
      <c r="L3655" s="38">
        <v>2.2859999999999996</v>
      </c>
      <c r="M3655" s="30">
        <v>1.3</v>
      </c>
      <c r="O3655" s="38">
        <v>5.3339999999999996</v>
      </c>
      <c r="P3655" s="24"/>
      <c r="Q3655" s="24"/>
      <c r="X3655" s="33"/>
      <c r="AB3655" s="24"/>
    </row>
    <row r="3656" spans="1:28" x14ac:dyDescent="0.25">
      <c r="A3656" s="22">
        <v>42007</v>
      </c>
      <c r="B3656" s="33"/>
      <c r="C3656" s="30">
        <v>0</v>
      </c>
      <c r="D3656" s="33">
        <v>1.3</v>
      </c>
      <c r="F3656" s="30">
        <v>0</v>
      </c>
      <c r="G3656" s="33">
        <v>4.0999999999999996</v>
      </c>
      <c r="H3656" s="33">
        <v>7.6</v>
      </c>
      <c r="I3656" s="30">
        <v>0</v>
      </c>
      <c r="J3656" s="30">
        <v>0</v>
      </c>
      <c r="K3656" s="30" t="s">
        <v>9</v>
      </c>
      <c r="L3656" s="38">
        <v>0</v>
      </c>
      <c r="M3656" s="30">
        <v>8.5</v>
      </c>
      <c r="O3656" s="38">
        <v>2.032</v>
      </c>
      <c r="P3656" s="24"/>
      <c r="Q3656" s="24"/>
      <c r="X3656" s="33"/>
      <c r="AB3656" s="24"/>
    </row>
    <row r="3657" spans="1:28" x14ac:dyDescent="0.25">
      <c r="A3657" s="22">
        <v>42008</v>
      </c>
      <c r="B3657" s="33"/>
      <c r="C3657" s="30">
        <v>4</v>
      </c>
      <c r="D3657" s="30" t="s">
        <v>9</v>
      </c>
      <c r="F3657" s="30">
        <v>0</v>
      </c>
      <c r="G3657" s="33">
        <v>6</v>
      </c>
      <c r="H3657" s="33">
        <v>0</v>
      </c>
      <c r="I3657" s="30">
        <v>10.9</v>
      </c>
      <c r="J3657" s="33">
        <v>8.5</v>
      </c>
      <c r="K3657" s="30">
        <v>27</v>
      </c>
      <c r="L3657" s="38">
        <v>3.302</v>
      </c>
      <c r="M3657" s="30">
        <v>3.8</v>
      </c>
      <c r="O3657" s="38">
        <v>6.35</v>
      </c>
      <c r="P3657" s="24"/>
      <c r="Q3657" s="24"/>
      <c r="X3657" s="33"/>
      <c r="AB3657" s="24"/>
    </row>
    <row r="3658" spans="1:28" x14ac:dyDescent="0.25">
      <c r="A3658" s="22">
        <v>42009</v>
      </c>
      <c r="B3658" s="33">
        <v>19.2</v>
      </c>
      <c r="C3658" s="30">
        <v>12.1</v>
      </c>
      <c r="D3658" s="30">
        <v>19</v>
      </c>
      <c r="F3658" s="30">
        <v>0</v>
      </c>
      <c r="G3658" s="30">
        <v>2</v>
      </c>
      <c r="H3658" s="33">
        <v>2.9</v>
      </c>
      <c r="I3658" s="30">
        <v>5.5</v>
      </c>
      <c r="J3658" s="33">
        <v>7.9</v>
      </c>
      <c r="K3658" s="30">
        <v>7.4</v>
      </c>
      <c r="L3658" s="38">
        <v>5.5880000000000001</v>
      </c>
      <c r="M3658" s="33">
        <v>4.4000000000000004</v>
      </c>
      <c r="O3658" s="38">
        <v>11.937999999999999</v>
      </c>
      <c r="P3658" s="24"/>
      <c r="Q3658" s="24"/>
      <c r="X3658" s="33"/>
      <c r="AB3658" s="24"/>
    </row>
    <row r="3659" spans="1:28" x14ac:dyDescent="0.25">
      <c r="A3659" s="22">
        <v>42010</v>
      </c>
      <c r="B3659" s="33">
        <v>40.700000000000003</v>
      </c>
      <c r="C3659" s="30">
        <v>0.7</v>
      </c>
      <c r="D3659" s="30">
        <v>4.3</v>
      </c>
      <c r="F3659" s="30">
        <v>0</v>
      </c>
      <c r="G3659" s="33">
        <v>9.8000000000000007</v>
      </c>
      <c r="H3659" s="33">
        <v>0</v>
      </c>
      <c r="I3659" s="30">
        <v>2.7</v>
      </c>
      <c r="J3659" s="30">
        <v>4.4000000000000004</v>
      </c>
      <c r="K3659" s="30" t="s">
        <v>9</v>
      </c>
      <c r="L3659" s="38">
        <v>0</v>
      </c>
      <c r="M3659" s="30">
        <v>0.6</v>
      </c>
      <c r="O3659" s="38">
        <v>4.3180000000000005</v>
      </c>
      <c r="P3659" s="24"/>
      <c r="Q3659" s="24"/>
      <c r="X3659" s="33"/>
      <c r="AB3659" s="24"/>
    </row>
    <row r="3660" spans="1:28" x14ac:dyDescent="0.25">
      <c r="A3660" s="22">
        <v>42011</v>
      </c>
      <c r="B3660" s="33">
        <v>35.200000000000003</v>
      </c>
      <c r="C3660" s="30">
        <v>14.9</v>
      </c>
      <c r="D3660" s="30">
        <v>26.5</v>
      </c>
      <c r="F3660" s="30">
        <v>0</v>
      </c>
      <c r="G3660" s="33">
        <v>2.2999999999999998</v>
      </c>
      <c r="H3660" s="33">
        <v>5</v>
      </c>
      <c r="I3660" s="33">
        <v>4.3</v>
      </c>
      <c r="J3660" s="30">
        <v>23.2</v>
      </c>
      <c r="K3660" s="30">
        <v>15.5</v>
      </c>
      <c r="L3660" s="38">
        <v>2.794</v>
      </c>
      <c r="M3660" s="33">
        <v>8</v>
      </c>
      <c r="O3660" s="38">
        <v>21.59</v>
      </c>
      <c r="P3660" s="24"/>
      <c r="Q3660" s="24"/>
      <c r="X3660" s="33"/>
      <c r="AB3660" s="24"/>
    </row>
    <row r="3661" spans="1:28" x14ac:dyDescent="0.25">
      <c r="A3661" s="22">
        <v>42012</v>
      </c>
      <c r="B3661" s="33">
        <v>50.9</v>
      </c>
      <c r="C3661" s="33">
        <v>3.5</v>
      </c>
      <c r="D3661" s="33">
        <v>8</v>
      </c>
      <c r="F3661" s="30">
        <v>19.100000000000001</v>
      </c>
      <c r="G3661" s="30">
        <v>1.5</v>
      </c>
      <c r="H3661" s="30">
        <v>6.2</v>
      </c>
      <c r="I3661" s="30">
        <v>1.1000000000000001</v>
      </c>
      <c r="J3661" s="30">
        <v>8</v>
      </c>
      <c r="K3661" s="30">
        <v>10.6</v>
      </c>
      <c r="L3661" s="38">
        <v>0.7619999999999999</v>
      </c>
      <c r="M3661" s="30">
        <v>5.8</v>
      </c>
      <c r="O3661" s="38">
        <v>7.6199999999999992</v>
      </c>
      <c r="P3661" s="24"/>
      <c r="Q3661" s="24"/>
      <c r="X3661" s="33"/>
      <c r="AB3661" s="25"/>
    </row>
    <row r="3662" spans="1:28" x14ac:dyDescent="0.25">
      <c r="A3662" s="22">
        <v>42013</v>
      </c>
      <c r="B3662" s="33">
        <v>8.3000000000000007</v>
      </c>
      <c r="C3662" s="30">
        <v>8.8000000000000007</v>
      </c>
      <c r="D3662" s="33">
        <v>9.3000000000000007</v>
      </c>
      <c r="F3662" s="30">
        <v>29.9</v>
      </c>
      <c r="G3662" s="33">
        <v>27.5</v>
      </c>
      <c r="H3662" s="30">
        <v>3.3</v>
      </c>
      <c r="I3662" s="30">
        <v>4.9000000000000004</v>
      </c>
      <c r="J3662" s="30">
        <v>12.2</v>
      </c>
      <c r="K3662" s="30">
        <v>13.9</v>
      </c>
      <c r="L3662" s="38">
        <v>0.50800000000000001</v>
      </c>
      <c r="M3662" s="30">
        <v>1.3</v>
      </c>
      <c r="O3662" s="38">
        <v>4.5719999999999992</v>
      </c>
      <c r="P3662" s="24"/>
      <c r="Q3662" s="24"/>
      <c r="X3662" s="33"/>
      <c r="AB3662" s="25"/>
    </row>
    <row r="3663" spans="1:28" x14ac:dyDescent="0.25">
      <c r="A3663" s="22">
        <v>42014</v>
      </c>
      <c r="B3663" s="33">
        <v>11.1</v>
      </c>
      <c r="C3663" s="30">
        <v>24.5</v>
      </c>
      <c r="D3663" s="33">
        <v>23.9</v>
      </c>
      <c r="F3663" s="30">
        <v>0</v>
      </c>
      <c r="G3663" s="33">
        <v>7.5</v>
      </c>
      <c r="H3663" s="30">
        <v>0</v>
      </c>
      <c r="I3663" s="30">
        <v>27</v>
      </c>
      <c r="J3663" s="30">
        <v>30.2</v>
      </c>
      <c r="K3663" s="30">
        <v>28</v>
      </c>
      <c r="L3663" s="38">
        <v>10.16</v>
      </c>
      <c r="M3663" s="30">
        <v>31.9</v>
      </c>
      <c r="O3663" s="38">
        <v>28.701999999999995</v>
      </c>
      <c r="P3663" s="24"/>
      <c r="Q3663" s="24"/>
      <c r="X3663" s="33"/>
      <c r="AB3663" s="25"/>
    </row>
    <row r="3664" spans="1:28" x14ac:dyDescent="0.25">
      <c r="A3664" s="22">
        <v>42015</v>
      </c>
      <c r="B3664" s="33">
        <v>67.8</v>
      </c>
      <c r="C3664" s="30">
        <v>11.8</v>
      </c>
      <c r="D3664" s="33">
        <v>7.5</v>
      </c>
      <c r="F3664" s="30">
        <v>0</v>
      </c>
      <c r="G3664" s="33">
        <v>61.7</v>
      </c>
      <c r="H3664" s="30">
        <v>1.9</v>
      </c>
      <c r="I3664" s="30">
        <v>3.8</v>
      </c>
      <c r="J3664" s="30">
        <v>7.8</v>
      </c>
      <c r="K3664" s="30">
        <v>1.9</v>
      </c>
      <c r="L3664" s="38">
        <v>14.477999999999998</v>
      </c>
      <c r="M3664" s="30">
        <v>12.3</v>
      </c>
      <c r="O3664" s="38">
        <v>8.8899999999999988</v>
      </c>
      <c r="P3664" s="24"/>
      <c r="Q3664" s="24"/>
      <c r="X3664" s="33"/>
      <c r="AB3664" s="25"/>
    </row>
    <row r="3665" spans="1:28" x14ac:dyDescent="0.25">
      <c r="A3665" s="22">
        <v>42016</v>
      </c>
      <c r="B3665" s="33">
        <v>41.2</v>
      </c>
      <c r="C3665" s="33">
        <v>59.8</v>
      </c>
      <c r="D3665" s="33">
        <v>90.2</v>
      </c>
      <c r="F3665" s="30">
        <v>25</v>
      </c>
      <c r="G3665" s="33">
        <v>120.8</v>
      </c>
      <c r="H3665" s="30">
        <v>60.7</v>
      </c>
      <c r="I3665" s="30">
        <v>55.7</v>
      </c>
      <c r="J3665" s="33">
        <v>81.5</v>
      </c>
      <c r="K3665" s="30">
        <v>74.900000000000006</v>
      </c>
      <c r="L3665" s="38">
        <v>71.11999999999999</v>
      </c>
      <c r="M3665" s="33">
        <v>63.2</v>
      </c>
      <c r="O3665" s="38">
        <v>52.069999999999993</v>
      </c>
      <c r="P3665" s="24"/>
      <c r="Q3665" s="24"/>
      <c r="X3665" s="33"/>
      <c r="AB3665" s="25"/>
    </row>
    <row r="3666" spans="1:28" x14ac:dyDescent="0.25">
      <c r="A3666" s="22">
        <v>42017</v>
      </c>
      <c r="B3666" s="33">
        <v>20.100000000000001</v>
      </c>
      <c r="C3666" s="33">
        <v>91</v>
      </c>
      <c r="D3666" s="33">
        <v>119.2</v>
      </c>
      <c r="F3666" s="30">
        <v>97</v>
      </c>
      <c r="G3666" s="30">
        <v>75.7</v>
      </c>
      <c r="H3666" s="30">
        <v>89.8</v>
      </c>
      <c r="I3666" s="30">
        <v>0</v>
      </c>
      <c r="J3666" s="30">
        <v>111.4</v>
      </c>
      <c r="K3666" s="30">
        <v>100</v>
      </c>
      <c r="L3666" s="38">
        <v>68.58</v>
      </c>
      <c r="M3666" s="33">
        <v>120.4</v>
      </c>
      <c r="O3666" s="38">
        <v>88.899999999999991</v>
      </c>
      <c r="P3666" s="24"/>
      <c r="Q3666" s="24"/>
      <c r="X3666" s="33"/>
      <c r="AB3666" s="25"/>
    </row>
    <row r="3667" spans="1:28" x14ac:dyDescent="0.25">
      <c r="A3667" s="22">
        <v>42018</v>
      </c>
      <c r="B3667" s="33">
        <v>80</v>
      </c>
      <c r="C3667" s="30">
        <v>36.5</v>
      </c>
      <c r="D3667" s="33">
        <v>40.200000000000003</v>
      </c>
      <c r="F3667" s="30">
        <v>71.8</v>
      </c>
      <c r="G3667" s="30">
        <v>11.4</v>
      </c>
      <c r="H3667" s="30">
        <v>41.9</v>
      </c>
      <c r="I3667" s="30">
        <v>84.5</v>
      </c>
      <c r="J3667" s="30">
        <v>66.5</v>
      </c>
      <c r="K3667" s="30">
        <v>86.9</v>
      </c>
      <c r="L3667" s="38">
        <v>53.593999999999994</v>
      </c>
      <c r="M3667" s="30">
        <v>48.3</v>
      </c>
      <c r="O3667" s="38">
        <v>16.509999999999998</v>
      </c>
      <c r="P3667" s="24"/>
      <c r="Q3667" s="24"/>
      <c r="X3667" s="33"/>
      <c r="AB3667" s="25"/>
    </row>
    <row r="3668" spans="1:28" x14ac:dyDescent="0.25">
      <c r="A3668" s="22">
        <v>42019</v>
      </c>
      <c r="B3668" s="33"/>
      <c r="C3668" s="30">
        <v>7.9</v>
      </c>
      <c r="D3668" s="33">
        <v>20.5</v>
      </c>
      <c r="F3668" s="30">
        <v>7.6</v>
      </c>
      <c r="G3668" s="30">
        <v>8.9</v>
      </c>
      <c r="H3668" s="33">
        <v>22.5</v>
      </c>
      <c r="I3668" s="30">
        <v>37.4</v>
      </c>
      <c r="J3668" s="30">
        <v>11</v>
      </c>
      <c r="K3668" s="30">
        <v>6.9</v>
      </c>
      <c r="L3668" s="38">
        <v>60.198</v>
      </c>
      <c r="M3668" s="33">
        <v>36.799999999999997</v>
      </c>
      <c r="O3668" s="38">
        <v>44.704000000000001</v>
      </c>
      <c r="P3668" s="24"/>
      <c r="Q3668" s="24"/>
      <c r="X3668" s="33"/>
      <c r="AB3668" s="24"/>
    </row>
    <row r="3669" spans="1:28" x14ac:dyDescent="0.25">
      <c r="A3669" s="22">
        <v>42020</v>
      </c>
      <c r="B3669" s="33"/>
      <c r="C3669" s="30">
        <v>16</v>
      </c>
      <c r="D3669" s="33">
        <v>21.7</v>
      </c>
      <c r="F3669" s="30">
        <v>0</v>
      </c>
      <c r="G3669" s="30">
        <v>1.9</v>
      </c>
      <c r="H3669" s="33">
        <v>4.3</v>
      </c>
      <c r="I3669" s="33">
        <v>84.4</v>
      </c>
      <c r="J3669" s="33"/>
      <c r="K3669" s="30">
        <v>18.100000000000001</v>
      </c>
      <c r="L3669" s="38">
        <v>8.8899999999999988</v>
      </c>
      <c r="M3669" s="30">
        <v>12.7</v>
      </c>
      <c r="O3669" s="38">
        <v>5.08</v>
      </c>
      <c r="P3669" s="24"/>
      <c r="Q3669" s="24"/>
      <c r="X3669" s="33"/>
      <c r="AB3669" s="24"/>
    </row>
    <row r="3670" spans="1:28" x14ac:dyDescent="0.25">
      <c r="A3670" s="22">
        <v>42021</v>
      </c>
      <c r="B3670" s="33"/>
      <c r="C3670" s="30">
        <v>2.6</v>
      </c>
      <c r="D3670" s="33">
        <v>6</v>
      </c>
      <c r="F3670" s="30">
        <v>0</v>
      </c>
      <c r="G3670" s="33">
        <v>16.2</v>
      </c>
      <c r="H3670" s="30">
        <v>1.1000000000000001</v>
      </c>
      <c r="I3670" s="30">
        <v>0.8</v>
      </c>
      <c r="J3670" s="30">
        <v>0.8</v>
      </c>
      <c r="K3670" s="30" t="s">
        <v>9</v>
      </c>
      <c r="L3670" s="38">
        <v>5.3339999999999996</v>
      </c>
      <c r="M3670" s="30">
        <v>1.5</v>
      </c>
      <c r="O3670" s="38">
        <v>1.27</v>
      </c>
      <c r="P3670" s="24"/>
      <c r="Q3670" s="24"/>
      <c r="X3670" s="33"/>
      <c r="AB3670" s="25"/>
    </row>
    <row r="3671" spans="1:28" x14ac:dyDescent="0.25">
      <c r="A3671" s="22">
        <v>42022</v>
      </c>
      <c r="B3671" s="33"/>
      <c r="C3671" s="33">
        <v>3.6</v>
      </c>
      <c r="D3671" s="30">
        <v>7.5</v>
      </c>
      <c r="F3671" s="30">
        <v>0</v>
      </c>
      <c r="G3671" s="33">
        <v>2.9</v>
      </c>
      <c r="H3671" s="30">
        <v>2.2999999999999998</v>
      </c>
      <c r="I3671" s="30" t="s">
        <v>9</v>
      </c>
      <c r="J3671" s="30">
        <v>15.9</v>
      </c>
      <c r="K3671" s="33">
        <v>23.6</v>
      </c>
      <c r="L3671" s="38">
        <v>3.302</v>
      </c>
      <c r="M3671" s="33">
        <v>14.4</v>
      </c>
      <c r="O3671" s="38">
        <v>7.6199999999999992</v>
      </c>
      <c r="P3671" s="24"/>
      <c r="Q3671" s="24"/>
      <c r="X3671" s="33"/>
      <c r="AB3671" s="25"/>
    </row>
    <row r="3672" spans="1:28" x14ac:dyDescent="0.25">
      <c r="A3672" s="22">
        <v>42023</v>
      </c>
      <c r="B3672" s="33"/>
      <c r="C3672" s="33">
        <v>0.6</v>
      </c>
      <c r="D3672" s="33">
        <v>3.8</v>
      </c>
      <c r="F3672" s="30">
        <v>0</v>
      </c>
      <c r="G3672" s="30">
        <v>1.7</v>
      </c>
      <c r="H3672" s="30">
        <v>0.7</v>
      </c>
      <c r="I3672" s="30">
        <v>11.05</v>
      </c>
      <c r="J3672" s="33">
        <v>3.6</v>
      </c>
      <c r="K3672" s="30">
        <v>1.6</v>
      </c>
      <c r="L3672" s="38">
        <v>0.7619999999999999</v>
      </c>
      <c r="M3672" s="33">
        <v>3.2</v>
      </c>
      <c r="O3672" s="38">
        <v>1.27</v>
      </c>
      <c r="P3672" s="24"/>
      <c r="Q3672" s="24"/>
      <c r="X3672" s="33"/>
      <c r="AB3672" s="25"/>
    </row>
    <row r="3673" spans="1:28" x14ac:dyDescent="0.25">
      <c r="A3673" s="22">
        <v>42024</v>
      </c>
      <c r="B3673" s="33"/>
      <c r="C3673" s="30" t="s">
        <v>9</v>
      </c>
      <c r="D3673" s="30" t="s">
        <v>9</v>
      </c>
      <c r="F3673" s="30">
        <v>9.9</v>
      </c>
      <c r="G3673" s="30">
        <v>0</v>
      </c>
      <c r="H3673" s="33">
        <v>1.6</v>
      </c>
      <c r="I3673" s="30">
        <v>1</v>
      </c>
      <c r="J3673" s="33">
        <v>1</v>
      </c>
      <c r="K3673" s="33">
        <v>0</v>
      </c>
      <c r="L3673" s="38">
        <v>1.016</v>
      </c>
      <c r="M3673" s="30">
        <v>2.9</v>
      </c>
      <c r="O3673" s="38">
        <v>0</v>
      </c>
      <c r="P3673" s="24"/>
      <c r="Q3673" s="24"/>
      <c r="X3673" s="33"/>
      <c r="AB3673" s="24"/>
    </row>
    <row r="3674" spans="1:28" x14ac:dyDescent="0.25">
      <c r="A3674" s="22">
        <v>42025</v>
      </c>
      <c r="B3674" s="33"/>
      <c r="C3674" s="30">
        <v>0</v>
      </c>
      <c r="D3674" s="30" t="s">
        <v>9</v>
      </c>
      <c r="F3674" s="30" t="s">
        <v>9</v>
      </c>
      <c r="G3674" s="33">
        <v>8.1</v>
      </c>
      <c r="H3674" s="33">
        <v>0</v>
      </c>
      <c r="I3674" s="30">
        <v>0</v>
      </c>
      <c r="J3674" s="30" t="s">
        <v>9</v>
      </c>
      <c r="K3674" s="33">
        <v>0.4</v>
      </c>
      <c r="L3674" s="38">
        <v>0</v>
      </c>
      <c r="M3674" s="30" t="s">
        <v>9</v>
      </c>
      <c r="O3674" s="38">
        <v>0</v>
      </c>
      <c r="P3674" s="24"/>
      <c r="Q3674" s="24"/>
      <c r="X3674" s="33"/>
      <c r="AB3674" s="24"/>
    </row>
    <row r="3675" spans="1:28" x14ac:dyDescent="0.25">
      <c r="A3675" s="22">
        <v>42026</v>
      </c>
      <c r="B3675" s="33"/>
      <c r="C3675" s="30" t="s">
        <v>9</v>
      </c>
      <c r="D3675" s="30">
        <v>3.3</v>
      </c>
      <c r="F3675" s="30" t="s">
        <v>9</v>
      </c>
      <c r="G3675" s="33">
        <v>7</v>
      </c>
      <c r="H3675" s="30">
        <v>2.2000000000000002</v>
      </c>
      <c r="I3675" s="30">
        <v>2.4</v>
      </c>
      <c r="J3675" s="30">
        <v>0.8</v>
      </c>
      <c r="K3675" s="33">
        <v>6</v>
      </c>
      <c r="L3675" s="38">
        <v>2.54</v>
      </c>
      <c r="M3675" s="30">
        <v>6.1</v>
      </c>
      <c r="O3675" s="38">
        <v>5.08</v>
      </c>
      <c r="P3675" s="24"/>
      <c r="Q3675" s="24"/>
      <c r="X3675" s="33"/>
      <c r="AB3675" s="25"/>
    </row>
    <row r="3676" spans="1:28" x14ac:dyDescent="0.25">
      <c r="A3676" s="22">
        <v>42027</v>
      </c>
      <c r="B3676" s="33"/>
      <c r="C3676" s="33">
        <v>2.2000000000000002</v>
      </c>
      <c r="D3676" s="30">
        <v>5.5</v>
      </c>
      <c r="F3676" s="30" t="s">
        <v>9</v>
      </c>
      <c r="G3676" s="33">
        <v>7.8</v>
      </c>
      <c r="H3676" s="33">
        <v>8.6999999999999993</v>
      </c>
      <c r="I3676" s="33">
        <v>2.2000000000000002</v>
      </c>
      <c r="J3676" s="33">
        <v>4.5</v>
      </c>
      <c r="K3676" s="33">
        <v>12</v>
      </c>
      <c r="L3676" s="38">
        <v>0</v>
      </c>
      <c r="M3676" s="33">
        <v>12.6</v>
      </c>
      <c r="O3676" s="38">
        <v>0.50800000000000001</v>
      </c>
      <c r="P3676" s="24"/>
      <c r="Q3676" s="24"/>
      <c r="X3676" s="33"/>
      <c r="AB3676" s="24"/>
    </row>
    <row r="3677" spans="1:28" x14ac:dyDescent="0.25">
      <c r="A3677" s="22">
        <v>42028</v>
      </c>
      <c r="B3677" s="33"/>
      <c r="C3677" s="33">
        <v>0</v>
      </c>
      <c r="D3677" s="30">
        <v>13.5</v>
      </c>
      <c r="F3677" s="30" t="s">
        <v>9</v>
      </c>
      <c r="G3677" s="33">
        <v>13.8</v>
      </c>
      <c r="H3677" s="33">
        <v>8.8000000000000007</v>
      </c>
      <c r="I3677" s="30">
        <v>15.1</v>
      </c>
      <c r="J3677" s="33">
        <v>10.199999999999999</v>
      </c>
      <c r="K3677" s="30">
        <v>0</v>
      </c>
      <c r="L3677" s="38">
        <v>2.2859999999999996</v>
      </c>
      <c r="M3677" s="33">
        <v>6.2</v>
      </c>
      <c r="O3677" s="38">
        <v>8.8899999999999988</v>
      </c>
      <c r="P3677" s="24"/>
      <c r="Q3677" s="24"/>
      <c r="X3677" s="33"/>
      <c r="AB3677" s="24"/>
    </row>
    <row r="3678" spans="1:28" x14ac:dyDescent="0.25">
      <c r="A3678" s="22">
        <v>42029</v>
      </c>
      <c r="B3678" s="33"/>
      <c r="C3678" s="33">
        <v>8.6</v>
      </c>
      <c r="D3678" s="30">
        <v>9.1999999999999993</v>
      </c>
      <c r="F3678" s="30">
        <v>11.3</v>
      </c>
      <c r="G3678" s="33">
        <v>1.7</v>
      </c>
      <c r="H3678" s="33">
        <v>5.5</v>
      </c>
      <c r="I3678" s="33">
        <v>6.5</v>
      </c>
      <c r="J3678" s="33">
        <v>9.1999999999999993</v>
      </c>
      <c r="K3678" s="30">
        <v>9</v>
      </c>
      <c r="L3678" s="38">
        <v>6.35</v>
      </c>
      <c r="M3678" s="30">
        <v>5.0999999999999996</v>
      </c>
      <c r="O3678" s="38">
        <v>8.8899999999999988</v>
      </c>
      <c r="P3678" s="24"/>
      <c r="Q3678" s="24"/>
      <c r="X3678" s="33"/>
      <c r="AB3678" s="24"/>
    </row>
    <row r="3679" spans="1:28" x14ac:dyDescent="0.25">
      <c r="A3679" s="22">
        <v>42030</v>
      </c>
      <c r="B3679" s="33"/>
      <c r="C3679" s="33">
        <v>8.6999999999999993</v>
      </c>
      <c r="D3679" s="33">
        <v>8.3000000000000007</v>
      </c>
      <c r="F3679" s="30">
        <v>4.3</v>
      </c>
      <c r="G3679" s="33">
        <v>8.6</v>
      </c>
      <c r="H3679" s="33">
        <v>0</v>
      </c>
      <c r="I3679" s="33">
        <v>0</v>
      </c>
      <c r="J3679" s="33">
        <v>1.9</v>
      </c>
      <c r="K3679" s="30">
        <v>16</v>
      </c>
      <c r="L3679" s="38">
        <v>5.8419999999999996</v>
      </c>
      <c r="M3679" s="30">
        <v>2.1</v>
      </c>
      <c r="O3679" s="38">
        <v>9.6519999999999992</v>
      </c>
      <c r="P3679" s="24"/>
      <c r="Q3679" s="24"/>
      <c r="X3679" s="33"/>
      <c r="AB3679" s="24"/>
    </row>
    <row r="3680" spans="1:28" x14ac:dyDescent="0.25">
      <c r="A3680" s="22">
        <v>42031</v>
      </c>
      <c r="B3680" s="33"/>
      <c r="C3680" s="33">
        <v>14.8</v>
      </c>
      <c r="D3680" s="33">
        <v>17</v>
      </c>
      <c r="F3680" s="30">
        <v>7.8</v>
      </c>
      <c r="G3680" s="33">
        <v>3.9</v>
      </c>
      <c r="H3680" s="33">
        <v>6.8</v>
      </c>
      <c r="I3680" s="33">
        <v>0</v>
      </c>
      <c r="J3680" s="33">
        <v>18</v>
      </c>
      <c r="K3680" s="33">
        <v>0</v>
      </c>
      <c r="L3680" s="38">
        <v>3.556</v>
      </c>
      <c r="M3680" s="30">
        <v>8.4</v>
      </c>
      <c r="O3680" s="38">
        <v>24.637999999999998</v>
      </c>
      <c r="P3680" s="24"/>
      <c r="Q3680" s="24"/>
      <c r="X3680" s="33"/>
      <c r="AB3680" s="24"/>
    </row>
    <row r="3681" spans="1:28" x14ac:dyDescent="0.25">
      <c r="A3681" s="22">
        <v>42032</v>
      </c>
      <c r="B3681" s="33"/>
      <c r="C3681" s="33">
        <v>3.1</v>
      </c>
      <c r="D3681" s="33">
        <v>5.5</v>
      </c>
      <c r="F3681" s="30" t="s">
        <v>9</v>
      </c>
      <c r="G3681" s="33">
        <v>1.8</v>
      </c>
      <c r="H3681" s="33">
        <v>1.6</v>
      </c>
      <c r="I3681" s="30">
        <v>0</v>
      </c>
      <c r="J3681" s="30">
        <v>1.6</v>
      </c>
      <c r="K3681" s="33">
        <v>2.9</v>
      </c>
      <c r="L3681" s="38">
        <v>5.3339999999999996</v>
      </c>
      <c r="M3681" s="33">
        <v>2.9</v>
      </c>
      <c r="O3681" s="38">
        <v>9.3979999999999997</v>
      </c>
      <c r="P3681" s="24"/>
      <c r="Q3681" s="24"/>
      <c r="X3681" s="33"/>
      <c r="AB3681" s="24"/>
    </row>
    <row r="3682" spans="1:28" x14ac:dyDescent="0.25">
      <c r="A3682" s="22">
        <v>42033</v>
      </c>
      <c r="B3682" s="33"/>
      <c r="C3682" s="33">
        <v>4.2</v>
      </c>
      <c r="D3682" s="33">
        <v>6</v>
      </c>
      <c r="F3682" s="30" t="s">
        <v>9</v>
      </c>
      <c r="G3682" s="30">
        <v>0</v>
      </c>
      <c r="H3682" s="33">
        <v>0</v>
      </c>
      <c r="I3682" s="33">
        <v>0</v>
      </c>
      <c r="J3682" s="30">
        <v>2.6</v>
      </c>
      <c r="K3682" s="33">
        <v>0.6</v>
      </c>
      <c r="L3682" s="38">
        <v>7.1120000000000001</v>
      </c>
      <c r="M3682" s="30">
        <v>1.9</v>
      </c>
      <c r="O3682" s="38">
        <v>6.35</v>
      </c>
      <c r="P3682" s="24"/>
      <c r="Q3682" s="24"/>
      <c r="X3682" s="33"/>
      <c r="AB3682" s="24"/>
    </row>
    <row r="3683" spans="1:28" x14ac:dyDescent="0.25">
      <c r="A3683" s="22">
        <v>42034</v>
      </c>
      <c r="B3683" s="33"/>
      <c r="C3683" s="33">
        <v>0</v>
      </c>
      <c r="D3683" s="30" t="s">
        <v>9</v>
      </c>
      <c r="F3683" s="30" t="s">
        <v>9</v>
      </c>
      <c r="G3683" s="30">
        <v>1.7</v>
      </c>
      <c r="H3683" s="33">
        <v>0</v>
      </c>
      <c r="I3683" s="30">
        <v>0</v>
      </c>
      <c r="J3683" s="30" t="s">
        <v>9</v>
      </c>
      <c r="K3683" s="30">
        <v>0</v>
      </c>
      <c r="L3683" s="38">
        <v>0</v>
      </c>
      <c r="M3683" s="30" t="s">
        <v>9</v>
      </c>
      <c r="O3683" s="38">
        <v>0</v>
      </c>
      <c r="P3683" s="24"/>
      <c r="Q3683" s="24"/>
      <c r="X3683" s="33"/>
      <c r="AB3683" s="24"/>
    </row>
    <row r="3684" spans="1:28" x14ac:dyDescent="0.25">
      <c r="A3684" s="22">
        <v>42035</v>
      </c>
      <c r="B3684" s="33"/>
      <c r="C3684" s="33">
        <v>0</v>
      </c>
      <c r="D3684" s="33">
        <v>2</v>
      </c>
      <c r="F3684" s="30" t="s">
        <v>9</v>
      </c>
      <c r="G3684" s="30">
        <v>6.8</v>
      </c>
      <c r="H3684" s="33">
        <v>0</v>
      </c>
      <c r="I3684" s="30">
        <v>0</v>
      </c>
      <c r="J3684" s="30">
        <v>2.4</v>
      </c>
      <c r="K3684" s="30">
        <v>0</v>
      </c>
      <c r="L3684" s="38">
        <v>1.27</v>
      </c>
      <c r="M3684" s="30">
        <v>6.5</v>
      </c>
      <c r="O3684" s="38">
        <v>0</v>
      </c>
      <c r="P3684" s="24"/>
      <c r="Q3684" s="24"/>
      <c r="X3684" s="33"/>
      <c r="AB3684" s="24"/>
    </row>
    <row r="3685" spans="1:28" x14ac:dyDescent="0.25">
      <c r="A3685" s="22">
        <v>42036</v>
      </c>
      <c r="B3685" s="33">
        <v>30.1</v>
      </c>
      <c r="C3685" s="33">
        <v>0</v>
      </c>
      <c r="D3685" s="33">
        <v>3.5</v>
      </c>
      <c r="F3685" s="30"/>
      <c r="G3685" s="33">
        <v>2.2999999999999998</v>
      </c>
      <c r="H3685" s="33">
        <v>5.2</v>
      </c>
      <c r="I3685" s="30">
        <v>13.2</v>
      </c>
      <c r="J3685" s="30">
        <v>1</v>
      </c>
      <c r="K3685" s="25">
        <v>3.3</v>
      </c>
      <c r="L3685" s="38">
        <v>0.50800000000000001</v>
      </c>
      <c r="M3685" s="30">
        <v>5.2</v>
      </c>
      <c r="O3685" s="38">
        <v>1.5239999999999998</v>
      </c>
      <c r="P3685" s="24"/>
      <c r="Q3685" s="33">
        <v>1.9</v>
      </c>
      <c r="X3685" s="33"/>
      <c r="AB3685" s="33">
        <v>3</v>
      </c>
    </row>
    <row r="3686" spans="1:28" x14ac:dyDescent="0.25">
      <c r="A3686" s="22">
        <v>42037</v>
      </c>
      <c r="B3686" s="33">
        <v>7.2</v>
      </c>
      <c r="C3686" s="30">
        <v>4</v>
      </c>
      <c r="D3686" s="33"/>
      <c r="F3686" s="30"/>
      <c r="G3686" s="33">
        <v>4.8</v>
      </c>
      <c r="H3686" s="33">
        <v>4</v>
      </c>
      <c r="I3686" s="30">
        <v>1</v>
      </c>
      <c r="J3686" s="30">
        <v>2.1</v>
      </c>
      <c r="K3686" s="25">
        <v>0</v>
      </c>
      <c r="L3686" s="38">
        <v>5.3339999999999996</v>
      </c>
      <c r="M3686" s="30">
        <v>4</v>
      </c>
      <c r="O3686" s="38">
        <v>2.2859999999999996</v>
      </c>
      <c r="P3686" s="24"/>
      <c r="Q3686" s="33">
        <v>0.3</v>
      </c>
      <c r="X3686" s="33"/>
      <c r="AB3686" s="33">
        <v>7.6</v>
      </c>
    </row>
    <row r="3687" spans="1:28" x14ac:dyDescent="0.25">
      <c r="A3687" s="22">
        <v>42038</v>
      </c>
      <c r="B3687" s="33">
        <v>0</v>
      </c>
      <c r="C3687" s="30">
        <v>0</v>
      </c>
      <c r="D3687" s="33">
        <v>3.4</v>
      </c>
      <c r="F3687" s="30"/>
      <c r="G3687" s="33">
        <v>0</v>
      </c>
      <c r="H3687" s="33">
        <v>2.9</v>
      </c>
      <c r="I3687" s="30">
        <v>5.7</v>
      </c>
      <c r="J3687" s="30">
        <v>2.2999999999999998</v>
      </c>
      <c r="K3687" s="25">
        <v>4.5999999999999996</v>
      </c>
      <c r="L3687" s="38">
        <v>2.794</v>
      </c>
      <c r="M3687" s="30">
        <v>2.9</v>
      </c>
      <c r="O3687" s="38">
        <v>4.0640000000000001</v>
      </c>
      <c r="P3687" s="24"/>
      <c r="Q3687" s="33">
        <v>0</v>
      </c>
      <c r="X3687" s="33"/>
      <c r="AB3687" s="33">
        <v>1.4</v>
      </c>
    </row>
    <row r="3688" spans="1:28" x14ac:dyDescent="0.25">
      <c r="A3688" s="22">
        <v>42039</v>
      </c>
      <c r="B3688" s="33">
        <v>0</v>
      </c>
      <c r="C3688" s="30">
        <v>0.5</v>
      </c>
      <c r="D3688" s="33">
        <v>6.1</v>
      </c>
      <c r="F3688" s="30"/>
      <c r="G3688" s="33">
        <v>0</v>
      </c>
      <c r="H3688" s="33">
        <v>2.9</v>
      </c>
      <c r="I3688" s="30">
        <v>0.5</v>
      </c>
      <c r="J3688" s="33">
        <v>2.7</v>
      </c>
      <c r="K3688" s="25">
        <v>2.1</v>
      </c>
      <c r="L3688" s="38">
        <v>0.254</v>
      </c>
      <c r="M3688" s="30">
        <v>2.9</v>
      </c>
      <c r="O3688" s="38">
        <v>2.032</v>
      </c>
      <c r="P3688" s="24"/>
      <c r="Q3688" s="33">
        <v>0</v>
      </c>
      <c r="X3688" s="33"/>
      <c r="AB3688" s="33">
        <v>0.4</v>
      </c>
    </row>
    <row r="3689" spans="1:28" x14ac:dyDescent="0.25">
      <c r="A3689" s="22">
        <v>42040</v>
      </c>
      <c r="B3689" s="33">
        <v>19.2</v>
      </c>
      <c r="C3689" s="30">
        <v>0</v>
      </c>
      <c r="D3689" s="30"/>
      <c r="F3689" s="30"/>
      <c r="G3689" s="30">
        <v>2.2999999999999998</v>
      </c>
      <c r="H3689" s="33">
        <v>2.4</v>
      </c>
      <c r="I3689" s="30">
        <v>0</v>
      </c>
      <c r="J3689" s="30" t="s">
        <v>9</v>
      </c>
      <c r="K3689" s="25">
        <v>0</v>
      </c>
      <c r="L3689" s="38">
        <v>0</v>
      </c>
      <c r="M3689" s="33">
        <v>2.4</v>
      </c>
      <c r="O3689" s="38">
        <v>2.54</v>
      </c>
      <c r="P3689" s="24"/>
      <c r="Q3689" s="33">
        <v>0.4</v>
      </c>
      <c r="X3689" s="33"/>
      <c r="AB3689" s="33">
        <v>0</v>
      </c>
    </row>
    <row r="3690" spans="1:28" x14ac:dyDescent="0.25">
      <c r="A3690" s="22">
        <v>42041</v>
      </c>
      <c r="B3690" s="33">
        <v>40.700000000000003</v>
      </c>
      <c r="C3690" s="30">
        <v>0</v>
      </c>
      <c r="D3690" s="30">
        <v>0.4</v>
      </c>
      <c r="F3690" s="30"/>
      <c r="G3690" s="33">
        <v>9.6999999999999993</v>
      </c>
      <c r="H3690" s="33">
        <v>2.1</v>
      </c>
      <c r="I3690" s="30">
        <v>0.9</v>
      </c>
      <c r="J3690" s="30" t="s">
        <v>9</v>
      </c>
      <c r="K3690" s="25">
        <v>5.3</v>
      </c>
      <c r="L3690" s="38">
        <v>0</v>
      </c>
      <c r="M3690" s="30">
        <v>2.1</v>
      </c>
      <c r="O3690" s="38">
        <v>0</v>
      </c>
      <c r="P3690" s="24"/>
      <c r="Q3690" s="33">
        <v>5.3</v>
      </c>
      <c r="X3690" s="33"/>
      <c r="AB3690" s="33"/>
    </row>
    <row r="3691" spans="1:28" x14ac:dyDescent="0.25">
      <c r="A3691" s="22">
        <v>42042</v>
      </c>
      <c r="B3691" s="33">
        <v>35.200000000000003</v>
      </c>
      <c r="C3691" s="30">
        <v>0</v>
      </c>
      <c r="D3691" s="30">
        <v>4.0999999999999996</v>
      </c>
      <c r="F3691" s="30">
        <v>14.6</v>
      </c>
      <c r="G3691" s="33">
        <v>0.1</v>
      </c>
      <c r="H3691" s="33">
        <v>3</v>
      </c>
      <c r="I3691" s="33">
        <v>4</v>
      </c>
      <c r="J3691" s="30">
        <v>7</v>
      </c>
      <c r="K3691" s="25"/>
      <c r="L3691" s="38">
        <v>3.0479999999999996</v>
      </c>
      <c r="M3691" s="33">
        <v>3</v>
      </c>
      <c r="O3691" s="38">
        <v>2.032</v>
      </c>
      <c r="P3691" s="24"/>
      <c r="Q3691" s="33">
        <v>0.2</v>
      </c>
      <c r="X3691" s="33"/>
      <c r="AB3691" s="33"/>
    </row>
    <row r="3692" spans="1:28" x14ac:dyDescent="0.25">
      <c r="A3692" s="22">
        <v>42043</v>
      </c>
      <c r="B3692" s="33">
        <v>50.9</v>
      </c>
      <c r="C3692" s="33">
        <v>2</v>
      </c>
      <c r="D3692" s="33">
        <v>2.2000000000000002</v>
      </c>
      <c r="F3692" s="30"/>
      <c r="G3692" s="30">
        <v>0</v>
      </c>
      <c r="H3692" s="30">
        <v>3.1</v>
      </c>
      <c r="I3692" s="30">
        <v>0</v>
      </c>
      <c r="J3692" s="30">
        <v>0.7</v>
      </c>
      <c r="K3692" s="25"/>
      <c r="L3692" s="38">
        <v>0</v>
      </c>
      <c r="M3692" s="30">
        <v>3.1</v>
      </c>
      <c r="O3692" s="38">
        <v>1.27</v>
      </c>
      <c r="P3692" s="24"/>
      <c r="Q3692" s="33">
        <v>0</v>
      </c>
      <c r="X3692" s="33"/>
      <c r="AB3692" s="30"/>
    </row>
    <row r="3693" spans="1:28" x14ac:dyDescent="0.25">
      <c r="A3693" s="22">
        <v>42044</v>
      </c>
      <c r="B3693" s="33">
        <v>8.3000000000000007</v>
      </c>
      <c r="C3693" s="30">
        <v>0</v>
      </c>
      <c r="D3693" s="33">
        <v>0</v>
      </c>
      <c r="F3693" s="30"/>
      <c r="G3693" s="33">
        <v>0</v>
      </c>
      <c r="H3693" s="30">
        <v>4.0999999999999996</v>
      </c>
      <c r="I3693" s="30">
        <v>0</v>
      </c>
      <c r="J3693" s="30" t="s">
        <v>9</v>
      </c>
      <c r="K3693" s="25"/>
      <c r="L3693" s="38">
        <v>0</v>
      </c>
      <c r="M3693" s="30">
        <v>4.0999999999999996</v>
      </c>
      <c r="O3693" s="38">
        <v>0</v>
      </c>
      <c r="P3693" s="24"/>
      <c r="Q3693" s="33">
        <v>0</v>
      </c>
      <c r="X3693" s="33"/>
      <c r="AB3693" s="30"/>
    </row>
    <row r="3694" spans="1:28" x14ac:dyDescent="0.25">
      <c r="A3694" s="22">
        <v>42045</v>
      </c>
      <c r="B3694" s="33">
        <v>11.1</v>
      </c>
      <c r="C3694" s="30">
        <v>0</v>
      </c>
      <c r="D3694" s="33">
        <v>0</v>
      </c>
      <c r="F3694" s="30"/>
      <c r="G3694" s="33">
        <v>0</v>
      </c>
      <c r="H3694" s="30">
        <v>0</v>
      </c>
      <c r="I3694" s="30">
        <v>0</v>
      </c>
      <c r="J3694" s="30" t="s">
        <v>9</v>
      </c>
      <c r="K3694" s="25"/>
      <c r="L3694" s="38">
        <v>0</v>
      </c>
      <c r="M3694" s="30">
        <v>0</v>
      </c>
      <c r="O3694" s="38">
        <v>0</v>
      </c>
      <c r="P3694" s="24"/>
      <c r="Q3694" s="33">
        <v>0</v>
      </c>
      <c r="X3694" s="33"/>
      <c r="AB3694" s="30"/>
    </row>
    <row r="3695" spans="1:28" x14ac:dyDescent="0.25">
      <c r="A3695" s="22">
        <v>42046</v>
      </c>
      <c r="B3695" s="33">
        <v>67.8</v>
      </c>
      <c r="C3695" s="30">
        <v>0</v>
      </c>
      <c r="D3695" s="33">
        <v>0</v>
      </c>
      <c r="F3695" s="30"/>
      <c r="G3695" s="33">
        <v>0</v>
      </c>
      <c r="H3695" s="30">
        <v>0</v>
      </c>
      <c r="I3695" s="30">
        <v>0</v>
      </c>
      <c r="J3695" s="30" t="s">
        <v>9</v>
      </c>
      <c r="K3695" s="25"/>
      <c r="L3695" s="38">
        <v>0</v>
      </c>
      <c r="M3695" s="30">
        <v>0</v>
      </c>
      <c r="O3695" s="38">
        <v>0</v>
      </c>
      <c r="P3695" s="24"/>
      <c r="Q3695" s="33">
        <v>0</v>
      </c>
      <c r="X3695" s="33"/>
      <c r="AB3695" s="30"/>
    </row>
    <row r="3696" spans="1:28" x14ac:dyDescent="0.25">
      <c r="A3696" s="22">
        <v>42047</v>
      </c>
      <c r="B3696" s="33">
        <v>41.2</v>
      </c>
      <c r="C3696" s="33">
        <v>0</v>
      </c>
      <c r="D3696" s="33">
        <v>0</v>
      </c>
      <c r="F3696" s="30"/>
      <c r="G3696" s="33">
        <v>0.5</v>
      </c>
      <c r="H3696" s="30">
        <v>0</v>
      </c>
      <c r="I3696" s="30">
        <v>0</v>
      </c>
      <c r="J3696" s="33">
        <v>0</v>
      </c>
      <c r="K3696" s="25"/>
      <c r="L3696" s="38">
        <v>0</v>
      </c>
      <c r="M3696" s="33">
        <v>0</v>
      </c>
      <c r="O3696" s="38">
        <v>0</v>
      </c>
      <c r="P3696" s="24"/>
      <c r="Q3696" s="33">
        <v>0.3</v>
      </c>
      <c r="X3696" s="33"/>
      <c r="AB3696" s="30"/>
    </row>
    <row r="3697" spans="1:28" x14ac:dyDescent="0.25">
      <c r="A3697" s="22">
        <v>42048</v>
      </c>
      <c r="B3697" s="33">
        <v>20.100000000000001</v>
      </c>
      <c r="C3697" s="33">
        <v>0</v>
      </c>
      <c r="D3697" s="33">
        <v>0</v>
      </c>
      <c r="F3697" s="30"/>
      <c r="G3697" s="30">
        <v>5</v>
      </c>
      <c r="H3697" s="30">
        <v>0</v>
      </c>
      <c r="I3697" s="30">
        <v>0</v>
      </c>
      <c r="J3697" s="30" t="s">
        <v>9</v>
      </c>
      <c r="K3697" s="25"/>
      <c r="L3697" s="38">
        <v>0</v>
      </c>
      <c r="M3697" s="33">
        <v>0</v>
      </c>
      <c r="O3697" s="38">
        <v>0</v>
      </c>
      <c r="P3697" s="24"/>
      <c r="Q3697" s="33">
        <v>0.3</v>
      </c>
      <c r="X3697" s="33"/>
      <c r="AB3697" s="30"/>
    </row>
    <row r="3698" spans="1:28" x14ac:dyDescent="0.25">
      <c r="A3698" s="22">
        <v>42049</v>
      </c>
      <c r="B3698" s="33">
        <v>80</v>
      </c>
      <c r="C3698" s="30">
        <v>0</v>
      </c>
      <c r="D3698" s="33">
        <v>1.5</v>
      </c>
      <c r="F3698" s="30"/>
      <c r="G3698" s="30">
        <v>5.3</v>
      </c>
      <c r="H3698" s="30">
        <v>1.1000000000000001</v>
      </c>
      <c r="I3698" s="30" t="s">
        <v>9</v>
      </c>
      <c r="J3698" s="30">
        <v>3.8</v>
      </c>
      <c r="K3698" s="25"/>
      <c r="L3698" s="38">
        <v>1.27</v>
      </c>
      <c r="M3698" s="30">
        <v>1.1000000000000001</v>
      </c>
      <c r="O3698" s="38">
        <v>1.27</v>
      </c>
      <c r="P3698" s="24"/>
      <c r="Q3698" s="33">
        <v>0</v>
      </c>
      <c r="X3698" s="33"/>
      <c r="AB3698" s="30"/>
    </row>
    <row r="3699" spans="1:28" x14ac:dyDescent="0.25">
      <c r="A3699" s="22">
        <v>42050</v>
      </c>
      <c r="B3699" s="33">
        <v>0</v>
      </c>
      <c r="C3699" s="30" t="s">
        <v>9</v>
      </c>
      <c r="D3699" s="33">
        <v>3.8</v>
      </c>
      <c r="F3699" s="30"/>
      <c r="G3699" s="30">
        <v>3.5</v>
      </c>
      <c r="H3699" s="33">
        <v>4.4000000000000004</v>
      </c>
      <c r="I3699" s="30">
        <v>5.8</v>
      </c>
      <c r="J3699" s="30">
        <v>0.9</v>
      </c>
      <c r="K3699" s="25">
        <v>3.7</v>
      </c>
      <c r="L3699" s="38">
        <v>0</v>
      </c>
      <c r="M3699" s="33">
        <v>4.4000000000000004</v>
      </c>
      <c r="O3699" s="38">
        <v>1.5239999999999998</v>
      </c>
      <c r="P3699" s="24"/>
      <c r="Q3699" s="33">
        <v>2.9</v>
      </c>
      <c r="X3699" s="33"/>
      <c r="AB3699" s="33"/>
    </row>
    <row r="3700" spans="1:28" x14ac:dyDescent="0.25">
      <c r="A3700" s="22">
        <v>42051</v>
      </c>
      <c r="B3700" s="33">
        <v>0</v>
      </c>
      <c r="C3700" s="30">
        <v>6.4</v>
      </c>
      <c r="D3700" s="33">
        <v>0.3</v>
      </c>
      <c r="F3700" s="30"/>
      <c r="G3700" s="30">
        <v>4.4000000000000004</v>
      </c>
      <c r="H3700" s="33">
        <v>5.2</v>
      </c>
      <c r="I3700" s="33">
        <v>2.2999999999999998</v>
      </c>
      <c r="J3700" s="33">
        <v>4.2</v>
      </c>
      <c r="K3700" s="25">
        <v>5</v>
      </c>
      <c r="L3700" s="38">
        <v>0.7619999999999999</v>
      </c>
      <c r="M3700" s="30">
        <v>5.2</v>
      </c>
      <c r="O3700" s="38">
        <v>2.54</v>
      </c>
      <c r="P3700" s="24"/>
      <c r="Q3700" s="33">
        <v>8.4</v>
      </c>
      <c r="X3700" s="33"/>
      <c r="AB3700" s="33"/>
    </row>
    <row r="3701" spans="1:28" x14ac:dyDescent="0.25">
      <c r="A3701" s="22">
        <v>42052</v>
      </c>
      <c r="B3701" s="33">
        <v>0</v>
      </c>
      <c r="C3701" s="30">
        <v>8</v>
      </c>
      <c r="D3701" s="33">
        <v>10.5</v>
      </c>
      <c r="F3701" s="30"/>
      <c r="G3701" s="33">
        <v>4.3</v>
      </c>
      <c r="H3701" s="30">
        <v>1.3</v>
      </c>
      <c r="I3701" s="30">
        <v>1.3</v>
      </c>
      <c r="J3701" s="30">
        <v>8</v>
      </c>
      <c r="K3701" s="25">
        <v>0</v>
      </c>
      <c r="L3701" s="38">
        <v>6.0959999999999992</v>
      </c>
      <c r="M3701" s="30">
        <v>1.3</v>
      </c>
      <c r="O3701" s="38">
        <v>5.8419999999999996</v>
      </c>
      <c r="P3701" s="24"/>
      <c r="Q3701" s="33">
        <v>5.8</v>
      </c>
      <c r="X3701" s="33"/>
      <c r="AB3701" s="30"/>
    </row>
    <row r="3702" spans="1:28" x14ac:dyDescent="0.25">
      <c r="A3702" s="22">
        <v>42053</v>
      </c>
      <c r="B3702" s="33">
        <v>0</v>
      </c>
      <c r="C3702" s="33">
        <v>3.5</v>
      </c>
      <c r="D3702" s="30">
        <v>7.6</v>
      </c>
      <c r="F3702" s="30"/>
      <c r="G3702" s="33">
        <v>5.0999999999999996</v>
      </c>
      <c r="H3702" s="30">
        <v>5.6</v>
      </c>
      <c r="I3702" s="30">
        <v>0</v>
      </c>
      <c r="J3702" s="30">
        <v>4.9000000000000004</v>
      </c>
      <c r="K3702" s="24">
        <v>4.5</v>
      </c>
      <c r="L3702" s="38">
        <v>3.302</v>
      </c>
      <c r="M3702" s="33">
        <v>5.6</v>
      </c>
      <c r="O3702" s="38">
        <v>12.191999999999998</v>
      </c>
      <c r="P3702" s="24"/>
      <c r="Q3702" s="33">
        <v>1.9</v>
      </c>
      <c r="X3702" s="33"/>
      <c r="AB3702" s="30"/>
    </row>
    <row r="3703" spans="1:28" x14ac:dyDescent="0.25">
      <c r="A3703" s="22">
        <v>42054</v>
      </c>
      <c r="B3703" s="33">
        <v>0</v>
      </c>
      <c r="C3703" s="33">
        <v>1.5</v>
      </c>
      <c r="D3703" s="33">
        <v>3.6</v>
      </c>
      <c r="F3703" s="30"/>
      <c r="G3703" s="30">
        <v>9.5</v>
      </c>
      <c r="H3703" s="30">
        <v>5.2</v>
      </c>
      <c r="I3703" s="30">
        <v>7.8</v>
      </c>
      <c r="J3703" s="33">
        <v>7.8</v>
      </c>
      <c r="K3703" s="25">
        <v>2.4</v>
      </c>
      <c r="L3703" s="38">
        <v>3.0479999999999996</v>
      </c>
      <c r="M3703" s="33">
        <v>5.2</v>
      </c>
      <c r="O3703" s="38">
        <v>10.16</v>
      </c>
      <c r="P3703" s="24"/>
      <c r="Q3703" s="33">
        <v>2.1</v>
      </c>
      <c r="X3703" s="33"/>
      <c r="AB3703" s="30"/>
    </row>
    <row r="3704" spans="1:28" x14ac:dyDescent="0.25">
      <c r="A3704" s="22">
        <v>42055</v>
      </c>
      <c r="B3704" s="33">
        <v>0</v>
      </c>
      <c r="C3704" s="30">
        <v>3.8</v>
      </c>
      <c r="D3704" s="33">
        <v>4.5999999999999996</v>
      </c>
      <c r="F3704" s="30"/>
      <c r="G3704" s="30">
        <v>8.8000000000000007</v>
      </c>
      <c r="H3704" s="33">
        <v>7.8</v>
      </c>
      <c r="I3704" s="30">
        <v>4.0999999999999996</v>
      </c>
      <c r="J3704" s="33">
        <v>9.5</v>
      </c>
      <c r="K3704" s="24">
        <v>5.0999999999999996</v>
      </c>
      <c r="L3704" s="38">
        <v>2.2859999999999996</v>
      </c>
      <c r="M3704" s="30">
        <v>7.8</v>
      </c>
      <c r="O3704" s="38">
        <v>6.35</v>
      </c>
      <c r="P3704" s="24"/>
      <c r="Q3704" s="33">
        <v>5.0999999999999996</v>
      </c>
      <c r="X3704" s="33"/>
      <c r="AB3704" s="33"/>
    </row>
    <row r="3705" spans="1:28" x14ac:dyDescent="0.25">
      <c r="A3705" s="22">
        <v>42056</v>
      </c>
      <c r="B3705" s="33">
        <v>66.3</v>
      </c>
      <c r="C3705" s="30">
        <v>8.1</v>
      </c>
      <c r="D3705" s="33">
        <v>4.5999999999999996</v>
      </c>
      <c r="F3705" s="30">
        <v>22.9</v>
      </c>
      <c r="G3705" s="33">
        <v>2.9</v>
      </c>
      <c r="H3705" s="33">
        <v>4.2</v>
      </c>
      <c r="I3705" s="30">
        <v>6.9</v>
      </c>
      <c r="J3705" s="30">
        <v>9.5</v>
      </c>
      <c r="K3705" s="24">
        <v>0.1</v>
      </c>
      <c r="L3705" s="38">
        <v>9.1439999999999984</v>
      </c>
      <c r="M3705" s="30">
        <v>4.2</v>
      </c>
      <c r="O3705" s="38">
        <v>3.302</v>
      </c>
      <c r="P3705" s="24"/>
      <c r="Q3705" s="33">
        <v>2.8</v>
      </c>
      <c r="X3705" s="33"/>
      <c r="AB3705" s="33"/>
    </row>
    <row r="3706" spans="1:28" x14ac:dyDescent="0.25">
      <c r="A3706" s="22">
        <v>42057</v>
      </c>
      <c r="B3706" s="33">
        <v>0</v>
      </c>
      <c r="C3706" s="30">
        <v>7</v>
      </c>
      <c r="D3706" s="30">
        <v>10.5</v>
      </c>
      <c r="F3706" s="30"/>
      <c r="G3706" s="33">
        <v>4.4000000000000004</v>
      </c>
      <c r="H3706" s="30">
        <v>2.9</v>
      </c>
      <c r="I3706" s="30">
        <v>2.9</v>
      </c>
      <c r="J3706" s="30">
        <v>2.5</v>
      </c>
      <c r="K3706" s="24">
        <v>0</v>
      </c>
      <c r="L3706" s="38">
        <v>0</v>
      </c>
      <c r="M3706" s="30">
        <v>2.9</v>
      </c>
      <c r="O3706" s="38">
        <v>1.778</v>
      </c>
      <c r="P3706" s="24"/>
      <c r="Q3706" s="33">
        <v>8.8000000000000007</v>
      </c>
      <c r="X3706" s="33"/>
      <c r="AB3706" s="30"/>
    </row>
    <row r="3707" spans="1:28" x14ac:dyDescent="0.25">
      <c r="A3707" s="22">
        <v>42058</v>
      </c>
      <c r="B3707" s="33">
        <v>6</v>
      </c>
      <c r="C3707" s="33">
        <v>5.0999999999999996</v>
      </c>
      <c r="D3707" s="30">
        <v>11</v>
      </c>
      <c r="F3707" s="30"/>
      <c r="G3707" s="33">
        <v>0.6</v>
      </c>
      <c r="H3707" s="33">
        <v>1.7</v>
      </c>
      <c r="I3707" s="33">
        <v>2.2000000000000002</v>
      </c>
      <c r="J3707" s="33">
        <v>7.9</v>
      </c>
      <c r="K3707" s="24">
        <v>12.1</v>
      </c>
      <c r="L3707" s="38">
        <v>18.541999999999998</v>
      </c>
      <c r="M3707" s="33">
        <v>1.7</v>
      </c>
      <c r="O3707" s="38">
        <v>4.5719999999999992</v>
      </c>
      <c r="P3707" s="24"/>
      <c r="Q3707" s="33">
        <v>1.2</v>
      </c>
      <c r="X3707" s="33"/>
      <c r="AB3707" s="33"/>
    </row>
    <row r="3708" spans="1:28" x14ac:dyDescent="0.25">
      <c r="A3708" s="22">
        <v>42059</v>
      </c>
      <c r="B3708" s="33">
        <v>6.3</v>
      </c>
      <c r="C3708" s="33">
        <v>6.2</v>
      </c>
      <c r="D3708" s="30">
        <v>5.8</v>
      </c>
      <c r="F3708" s="30"/>
      <c r="G3708" s="33">
        <v>1.4</v>
      </c>
      <c r="H3708" s="33">
        <v>1.1000000000000001</v>
      </c>
      <c r="I3708" s="30">
        <v>0</v>
      </c>
      <c r="J3708" s="33">
        <v>0.8</v>
      </c>
      <c r="K3708" s="25">
        <v>0.9</v>
      </c>
      <c r="L3708" s="38">
        <v>4.5719999999999992</v>
      </c>
      <c r="M3708" s="33">
        <v>1.1000000000000001</v>
      </c>
      <c r="O3708" s="38">
        <v>2.032</v>
      </c>
      <c r="P3708" s="24"/>
      <c r="Q3708" s="33">
        <v>4.0999999999999996</v>
      </c>
      <c r="X3708" s="33"/>
      <c r="AB3708" s="33"/>
    </row>
    <row r="3709" spans="1:28" x14ac:dyDescent="0.25">
      <c r="A3709" s="22">
        <v>42060</v>
      </c>
      <c r="B3709" s="33">
        <v>0</v>
      </c>
      <c r="C3709" s="33">
        <v>1.5</v>
      </c>
      <c r="D3709" s="30">
        <v>1</v>
      </c>
      <c r="F3709" s="30"/>
      <c r="G3709" s="33">
        <v>1.1000000000000001</v>
      </c>
      <c r="H3709" s="33">
        <v>1.1000000000000001</v>
      </c>
      <c r="I3709" s="33">
        <v>1.1000000000000001</v>
      </c>
      <c r="J3709" s="33">
        <v>1.7</v>
      </c>
      <c r="K3709" s="25">
        <v>0</v>
      </c>
      <c r="L3709" s="38">
        <v>0</v>
      </c>
      <c r="M3709" s="30">
        <v>1.1000000000000001</v>
      </c>
      <c r="O3709" s="38">
        <v>0</v>
      </c>
      <c r="P3709" s="24"/>
      <c r="Q3709" s="33">
        <v>1.1000000000000001</v>
      </c>
      <c r="X3709" s="33"/>
      <c r="AB3709" s="33"/>
    </row>
    <row r="3710" spans="1:28" x14ac:dyDescent="0.25">
      <c r="A3710" s="22">
        <v>42061</v>
      </c>
      <c r="B3710" s="33">
        <v>0</v>
      </c>
      <c r="C3710" s="33">
        <v>5.3</v>
      </c>
      <c r="D3710" s="33">
        <v>4.3</v>
      </c>
      <c r="F3710" s="30"/>
      <c r="G3710" s="33">
        <v>0.6</v>
      </c>
      <c r="H3710" s="33">
        <v>0</v>
      </c>
      <c r="I3710" s="33">
        <v>0</v>
      </c>
      <c r="J3710" s="33">
        <v>5.0999999999999996</v>
      </c>
      <c r="K3710" s="25">
        <v>0</v>
      </c>
      <c r="L3710" s="38">
        <v>0.7619999999999999</v>
      </c>
      <c r="M3710" s="30">
        <v>0</v>
      </c>
      <c r="O3710" s="38">
        <v>1.27</v>
      </c>
      <c r="P3710" s="24"/>
      <c r="Q3710" s="33">
        <v>1.2</v>
      </c>
      <c r="X3710" s="33"/>
      <c r="AB3710" s="33"/>
    </row>
    <row r="3711" spans="1:28" x14ac:dyDescent="0.25">
      <c r="A3711" s="22">
        <v>42062</v>
      </c>
      <c r="B3711" s="33">
        <v>0</v>
      </c>
      <c r="C3711" s="33">
        <v>1.5</v>
      </c>
      <c r="D3711" s="33">
        <v>7</v>
      </c>
      <c r="F3711" s="30"/>
      <c r="G3711" s="33">
        <v>2.5</v>
      </c>
      <c r="H3711" s="33">
        <v>0.7</v>
      </c>
      <c r="I3711" s="33">
        <v>0</v>
      </c>
      <c r="J3711" s="33">
        <v>2.1</v>
      </c>
      <c r="K3711" s="24">
        <v>0</v>
      </c>
      <c r="L3711" s="38">
        <v>1.27</v>
      </c>
      <c r="M3711" s="30">
        <v>0.7</v>
      </c>
      <c r="O3711" s="38">
        <v>5.08</v>
      </c>
      <c r="P3711" s="24"/>
      <c r="Q3711" s="33">
        <v>0</v>
      </c>
      <c r="X3711" s="33"/>
      <c r="AB3711" s="33"/>
    </row>
    <row r="3712" spans="1:28" x14ac:dyDescent="0.25">
      <c r="A3712" s="22">
        <v>42063</v>
      </c>
      <c r="B3712" s="33">
        <v>21.5</v>
      </c>
      <c r="C3712" s="33">
        <v>0.7</v>
      </c>
      <c r="D3712" s="33">
        <v>11.2</v>
      </c>
      <c r="F3712" s="30"/>
      <c r="G3712" s="33">
        <v>19.2</v>
      </c>
      <c r="H3712" s="33">
        <v>0</v>
      </c>
      <c r="I3712" s="30">
        <v>0</v>
      </c>
      <c r="J3712" s="30">
        <v>4.8</v>
      </c>
      <c r="K3712" s="24">
        <v>0</v>
      </c>
      <c r="L3712" s="38">
        <v>0</v>
      </c>
      <c r="M3712" s="33"/>
      <c r="O3712" s="38">
        <v>0</v>
      </c>
      <c r="P3712" s="24"/>
      <c r="Q3712" s="33">
        <v>0.7</v>
      </c>
      <c r="X3712" s="33"/>
      <c r="AB3712" s="33"/>
    </row>
    <row r="3713" spans="1:28" x14ac:dyDescent="0.25">
      <c r="A3713" s="22">
        <v>42064</v>
      </c>
      <c r="B3713" s="33"/>
      <c r="C3713" s="33">
        <v>11.3</v>
      </c>
      <c r="D3713" s="33">
        <v>5.8</v>
      </c>
      <c r="F3713" s="30"/>
      <c r="G3713" s="33">
        <v>2</v>
      </c>
      <c r="H3713" s="33"/>
      <c r="I3713" s="30">
        <v>14.2</v>
      </c>
      <c r="J3713" s="30">
        <v>27.5</v>
      </c>
      <c r="K3713" s="30"/>
      <c r="L3713" s="38">
        <v>3.0479999999999996</v>
      </c>
      <c r="M3713" s="30">
        <v>7.8</v>
      </c>
      <c r="P3713" s="33">
        <v>0</v>
      </c>
      <c r="Q3713" s="33">
        <v>0.6</v>
      </c>
      <c r="X3713" s="33"/>
      <c r="AB3713" s="33">
        <v>10.199999999999999</v>
      </c>
    </row>
    <row r="3714" spans="1:28" x14ac:dyDescent="0.25">
      <c r="A3714" s="22">
        <v>42065</v>
      </c>
      <c r="B3714" s="33"/>
      <c r="C3714" s="30">
        <v>2.5</v>
      </c>
      <c r="D3714" s="33">
        <v>4</v>
      </c>
      <c r="F3714" s="30">
        <v>10</v>
      </c>
      <c r="G3714" s="33">
        <v>5.7</v>
      </c>
      <c r="H3714" s="33"/>
      <c r="I3714" s="30">
        <v>6.2</v>
      </c>
      <c r="J3714" s="30">
        <v>3</v>
      </c>
      <c r="K3714" s="30">
        <v>2.6</v>
      </c>
      <c r="L3714" s="38">
        <v>0</v>
      </c>
      <c r="M3714" s="30">
        <v>6.3</v>
      </c>
      <c r="P3714" s="33"/>
      <c r="Q3714" s="33">
        <v>2</v>
      </c>
      <c r="X3714" s="33"/>
      <c r="AB3714" s="33">
        <v>4.4000000000000004</v>
      </c>
    </row>
    <row r="3715" spans="1:28" x14ac:dyDescent="0.25">
      <c r="A3715" s="22">
        <v>42066</v>
      </c>
      <c r="B3715" s="33"/>
      <c r="C3715" s="30" t="s">
        <v>9</v>
      </c>
      <c r="D3715" s="33">
        <v>2</v>
      </c>
      <c r="F3715" s="30">
        <v>0.6</v>
      </c>
      <c r="G3715" s="33">
        <v>8.5</v>
      </c>
      <c r="H3715" s="33"/>
      <c r="I3715" s="30">
        <v>3.9</v>
      </c>
      <c r="J3715" s="30">
        <v>2</v>
      </c>
      <c r="K3715" s="30"/>
      <c r="L3715" s="38">
        <v>1.27</v>
      </c>
      <c r="M3715" s="30">
        <v>6.3</v>
      </c>
      <c r="P3715" s="33"/>
      <c r="Q3715" s="33">
        <v>3.7</v>
      </c>
      <c r="X3715" s="33"/>
      <c r="AB3715" s="33">
        <v>1.8</v>
      </c>
    </row>
    <row r="3716" spans="1:28" x14ac:dyDescent="0.25">
      <c r="A3716" s="22">
        <v>42067</v>
      </c>
      <c r="B3716" s="33"/>
      <c r="C3716" s="30">
        <v>8</v>
      </c>
      <c r="D3716" s="33">
        <v>14.7</v>
      </c>
      <c r="F3716" s="30">
        <v>6.1</v>
      </c>
      <c r="G3716" s="33">
        <v>2.6</v>
      </c>
      <c r="H3716" s="33"/>
      <c r="I3716" s="30"/>
      <c r="J3716" s="33">
        <v>4.2</v>
      </c>
      <c r="K3716" s="30"/>
      <c r="L3716" s="38">
        <v>1.016</v>
      </c>
      <c r="M3716" s="30">
        <v>2</v>
      </c>
      <c r="P3716" s="33"/>
      <c r="Q3716" s="33">
        <v>0.3</v>
      </c>
      <c r="X3716" s="33"/>
      <c r="AB3716" s="33">
        <v>11</v>
      </c>
    </row>
    <row r="3717" spans="1:28" x14ac:dyDescent="0.25">
      <c r="A3717" s="22">
        <v>42068</v>
      </c>
      <c r="B3717" s="33"/>
      <c r="C3717" s="30">
        <v>0</v>
      </c>
      <c r="D3717" s="30">
        <v>0</v>
      </c>
      <c r="F3717" s="30">
        <v>0</v>
      </c>
      <c r="G3717" s="30">
        <v>1.8</v>
      </c>
      <c r="H3717" s="33">
        <v>0.5</v>
      </c>
      <c r="I3717" s="30"/>
      <c r="J3717" s="30">
        <v>1.3</v>
      </c>
      <c r="K3717" s="30">
        <v>9.6999999999999993</v>
      </c>
      <c r="L3717" s="38">
        <v>0</v>
      </c>
      <c r="M3717" s="33">
        <v>1.2</v>
      </c>
      <c r="P3717" s="33"/>
      <c r="Q3717" s="33">
        <v>0.7</v>
      </c>
      <c r="X3717" s="33"/>
      <c r="AB3717" s="33">
        <v>0.6</v>
      </c>
    </row>
    <row r="3718" spans="1:28" x14ac:dyDescent="0.25">
      <c r="A3718" s="22">
        <v>42069</v>
      </c>
      <c r="B3718" s="33"/>
      <c r="C3718" s="30" t="s">
        <v>9</v>
      </c>
      <c r="D3718" s="30">
        <v>2</v>
      </c>
      <c r="F3718" s="30">
        <v>0</v>
      </c>
      <c r="G3718" s="33">
        <v>6.5</v>
      </c>
      <c r="H3718" s="33"/>
      <c r="I3718" s="30"/>
      <c r="J3718" s="30">
        <v>1.7</v>
      </c>
      <c r="K3718" s="30">
        <v>0.9</v>
      </c>
      <c r="L3718" s="38">
        <v>0</v>
      </c>
      <c r="M3718" s="30"/>
      <c r="P3718" s="33"/>
      <c r="Q3718" s="33">
        <v>11.7</v>
      </c>
      <c r="X3718" s="33"/>
      <c r="AB3718" s="33">
        <v>0.8</v>
      </c>
    </row>
    <row r="3719" spans="1:28" x14ac:dyDescent="0.25">
      <c r="A3719" s="22">
        <v>42070</v>
      </c>
      <c r="B3719" s="33"/>
      <c r="C3719" s="30">
        <v>12.9</v>
      </c>
      <c r="D3719" s="30">
        <v>6.3</v>
      </c>
      <c r="F3719" s="30">
        <v>3.8</v>
      </c>
      <c r="G3719" s="33">
        <v>3.4</v>
      </c>
      <c r="H3719" s="33">
        <v>4.7</v>
      </c>
      <c r="I3719" s="33">
        <v>8</v>
      </c>
      <c r="J3719" s="30">
        <v>1.7</v>
      </c>
      <c r="K3719" s="30"/>
      <c r="L3719" s="38">
        <v>8.3819999999999997</v>
      </c>
      <c r="M3719" s="33">
        <v>7.7</v>
      </c>
      <c r="P3719" s="33"/>
      <c r="Q3719" s="33">
        <v>1.6</v>
      </c>
      <c r="X3719" s="33"/>
      <c r="AB3719" s="33">
        <v>12.4</v>
      </c>
    </row>
    <row r="3720" spans="1:28" x14ac:dyDescent="0.25">
      <c r="A3720" s="22">
        <v>42071</v>
      </c>
      <c r="B3720" s="33"/>
      <c r="C3720" s="30" t="s">
        <v>9</v>
      </c>
      <c r="D3720" s="33">
        <v>4.0999999999999996</v>
      </c>
      <c r="F3720" s="30">
        <v>3.8</v>
      </c>
      <c r="G3720" s="30">
        <v>0</v>
      </c>
      <c r="H3720" s="30"/>
      <c r="I3720" s="30">
        <v>1.3</v>
      </c>
      <c r="J3720" s="30">
        <v>3</v>
      </c>
      <c r="K3720" s="30">
        <v>12.5</v>
      </c>
      <c r="L3720" s="38">
        <v>0</v>
      </c>
      <c r="M3720" s="30">
        <v>2.2999999999999998</v>
      </c>
      <c r="P3720" s="33"/>
      <c r="Q3720" s="33">
        <v>0</v>
      </c>
      <c r="X3720" s="33"/>
      <c r="AB3720" s="30">
        <v>1.8</v>
      </c>
    </row>
    <row r="3721" spans="1:28" x14ac:dyDescent="0.25">
      <c r="A3721" s="22">
        <v>42072</v>
      </c>
      <c r="B3721" s="33"/>
      <c r="C3721" s="30">
        <v>0</v>
      </c>
      <c r="D3721" s="33">
        <v>1.6</v>
      </c>
      <c r="F3721" s="30" t="s">
        <v>9</v>
      </c>
      <c r="G3721" s="33">
        <v>21.7</v>
      </c>
      <c r="H3721" s="30"/>
      <c r="I3721" s="30"/>
      <c r="J3721" s="30">
        <v>0.4</v>
      </c>
      <c r="K3721" s="30">
        <v>1</v>
      </c>
      <c r="L3721" s="38">
        <v>5.3339999999999996</v>
      </c>
      <c r="M3721" s="30">
        <v>1.3</v>
      </c>
      <c r="P3721" s="33"/>
      <c r="Q3721" s="33">
        <v>5.3</v>
      </c>
      <c r="X3721" s="33"/>
      <c r="AB3721" s="30">
        <v>0</v>
      </c>
    </row>
    <row r="3722" spans="1:28" x14ac:dyDescent="0.25">
      <c r="A3722" s="22">
        <v>42073</v>
      </c>
      <c r="B3722" s="33">
        <v>6.7</v>
      </c>
      <c r="C3722" s="30">
        <v>11.6</v>
      </c>
      <c r="D3722" s="33">
        <v>24.3</v>
      </c>
      <c r="F3722" s="30" t="s">
        <v>9</v>
      </c>
      <c r="G3722" s="33">
        <v>0</v>
      </c>
      <c r="H3722" s="30">
        <v>9</v>
      </c>
      <c r="I3722" s="30">
        <v>8.8000000000000007</v>
      </c>
      <c r="J3722" s="30">
        <v>23.3</v>
      </c>
      <c r="K3722" s="30">
        <v>22</v>
      </c>
      <c r="L3722" s="38">
        <v>1.5239999999999998</v>
      </c>
      <c r="M3722" s="30">
        <v>6.9</v>
      </c>
      <c r="P3722" s="33"/>
      <c r="Q3722" s="33">
        <v>4</v>
      </c>
      <c r="X3722" s="33"/>
      <c r="AB3722" s="30">
        <v>5.4</v>
      </c>
    </row>
    <row r="3723" spans="1:28" x14ac:dyDescent="0.25">
      <c r="A3723" s="22">
        <v>42074</v>
      </c>
      <c r="B3723" s="33"/>
      <c r="C3723" s="30">
        <v>0.9</v>
      </c>
      <c r="D3723" s="33">
        <v>4.0999999999999996</v>
      </c>
      <c r="F3723" s="30">
        <v>12.9</v>
      </c>
      <c r="G3723" s="33">
        <v>0</v>
      </c>
      <c r="H3723" s="30"/>
      <c r="I3723" s="30">
        <v>4</v>
      </c>
      <c r="J3723" s="30">
        <v>2.6</v>
      </c>
      <c r="K3723" s="30">
        <v>3</v>
      </c>
      <c r="L3723" s="38">
        <v>3.302</v>
      </c>
      <c r="M3723" s="30"/>
      <c r="P3723" s="33"/>
      <c r="Q3723" s="33">
        <v>0.3</v>
      </c>
      <c r="X3723" s="33"/>
      <c r="AB3723" s="30">
        <v>4.4000000000000004</v>
      </c>
    </row>
    <row r="3724" spans="1:28" x14ac:dyDescent="0.25">
      <c r="A3724" s="22">
        <v>42075</v>
      </c>
      <c r="B3724" s="33"/>
      <c r="C3724" s="33">
        <v>0.5</v>
      </c>
      <c r="D3724" s="33">
        <v>1</v>
      </c>
      <c r="F3724" s="30" t="s">
        <v>9</v>
      </c>
      <c r="G3724" s="33">
        <v>0</v>
      </c>
      <c r="H3724" s="30">
        <v>2.2999999999999998</v>
      </c>
      <c r="I3724" s="30"/>
      <c r="J3724" s="33">
        <v>3</v>
      </c>
      <c r="K3724" s="30">
        <v>3</v>
      </c>
      <c r="L3724" s="38">
        <v>0.7619999999999999</v>
      </c>
      <c r="M3724" s="33"/>
      <c r="P3724" s="33"/>
      <c r="Q3724" s="33">
        <v>6.7</v>
      </c>
      <c r="X3724" s="33"/>
      <c r="AB3724" s="30">
        <v>1.6</v>
      </c>
    </row>
    <row r="3725" spans="1:28" x14ac:dyDescent="0.25">
      <c r="A3725" s="22">
        <v>42076</v>
      </c>
      <c r="B3725" s="33"/>
      <c r="C3725" s="33">
        <v>3.6</v>
      </c>
      <c r="D3725" s="33">
        <v>5.7</v>
      </c>
      <c r="F3725" s="30" t="s">
        <v>9</v>
      </c>
      <c r="G3725" s="30">
        <v>0</v>
      </c>
      <c r="H3725" s="30"/>
      <c r="I3725" s="30"/>
      <c r="J3725" s="30">
        <v>0.8</v>
      </c>
      <c r="K3725" s="30">
        <v>0.7</v>
      </c>
      <c r="L3725" s="38">
        <v>0</v>
      </c>
      <c r="M3725" s="33"/>
      <c r="P3725" s="33"/>
      <c r="Q3725" s="33">
        <v>1.3</v>
      </c>
      <c r="X3725" s="33"/>
      <c r="AB3725" s="30">
        <v>6.6</v>
      </c>
    </row>
    <row r="3726" spans="1:28" x14ac:dyDescent="0.25">
      <c r="A3726" s="22">
        <v>42077</v>
      </c>
      <c r="B3726" s="33"/>
      <c r="C3726" s="30">
        <v>4</v>
      </c>
      <c r="D3726" s="33">
        <v>3.2</v>
      </c>
      <c r="F3726" s="30" t="s">
        <v>9</v>
      </c>
      <c r="G3726" s="30">
        <v>0</v>
      </c>
      <c r="H3726" s="30">
        <v>1.8</v>
      </c>
      <c r="I3726" s="30"/>
      <c r="J3726" s="30">
        <v>6.3</v>
      </c>
      <c r="K3726" s="30">
        <v>4.5999999999999996</v>
      </c>
      <c r="L3726" s="38">
        <v>6.8579999999999997</v>
      </c>
      <c r="M3726" s="30"/>
      <c r="P3726" s="33"/>
      <c r="Q3726" s="33">
        <v>0</v>
      </c>
      <c r="X3726" s="33"/>
      <c r="AB3726" s="30">
        <v>5.2</v>
      </c>
    </row>
    <row r="3727" spans="1:28" x14ac:dyDescent="0.25">
      <c r="A3727" s="22">
        <v>42078</v>
      </c>
      <c r="B3727" s="33"/>
      <c r="C3727" s="30" t="s">
        <v>9</v>
      </c>
      <c r="D3727" s="33">
        <v>1.4</v>
      </c>
      <c r="F3727" s="30" t="s">
        <v>9</v>
      </c>
      <c r="G3727" s="30">
        <v>8.1999999999999993</v>
      </c>
      <c r="H3727" s="33"/>
      <c r="I3727" s="30"/>
      <c r="J3727" s="30">
        <v>0.7</v>
      </c>
      <c r="K3727" s="30"/>
      <c r="L3727" s="38">
        <v>0</v>
      </c>
      <c r="M3727" s="33">
        <v>6.3</v>
      </c>
      <c r="P3727" s="33">
        <v>0</v>
      </c>
      <c r="Q3727" s="33">
        <v>0</v>
      </c>
      <c r="X3727" s="33"/>
      <c r="AB3727" s="33">
        <v>0.6</v>
      </c>
    </row>
    <row r="3728" spans="1:28" x14ac:dyDescent="0.25">
      <c r="A3728" s="22">
        <v>42079</v>
      </c>
      <c r="B3728" s="33"/>
      <c r="C3728" s="30" t="s">
        <v>9</v>
      </c>
      <c r="D3728" s="33">
        <v>0.9</v>
      </c>
      <c r="F3728" s="30"/>
      <c r="G3728" s="30">
        <v>0</v>
      </c>
      <c r="H3728" s="33"/>
      <c r="I3728" s="33">
        <v>0.4</v>
      </c>
      <c r="J3728" s="33">
        <v>2.9</v>
      </c>
      <c r="K3728" s="30">
        <v>2.1</v>
      </c>
      <c r="L3728" s="38">
        <v>0</v>
      </c>
      <c r="M3728" s="30"/>
      <c r="P3728" s="33">
        <v>0</v>
      </c>
      <c r="Q3728" s="33">
        <v>0</v>
      </c>
      <c r="X3728" s="33"/>
      <c r="AB3728" s="33">
        <v>0.2</v>
      </c>
    </row>
    <row r="3729" spans="1:28" x14ac:dyDescent="0.25">
      <c r="A3729" s="22">
        <v>42080</v>
      </c>
      <c r="B3729" s="33"/>
      <c r="C3729" s="30">
        <v>0</v>
      </c>
      <c r="D3729" s="33">
        <v>0</v>
      </c>
      <c r="F3729" s="30"/>
      <c r="G3729" s="33">
        <v>0</v>
      </c>
      <c r="H3729" s="30"/>
      <c r="I3729" s="30"/>
      <c r="J3729" s="30" t="s">
        <v>9</v>
      </c>
      <c r="K3729" s="30">
        <v>0</v>
      </c>
      <c r="L3729" s="38">
        <v>0</v>
      </c>
      <c r="M3729" s="30"/>
      <c r="P3729" s="33">
        <v>12.2</v>
      </c>
      <c r="Q3729" s="33">
        <v>0</v>
      </c>
      <c r="X3729" s="33"/>
      <c r="AB3729" s="30">
        <v>0</v>
      </c>
    </row>
    <row r="3730" spans="1:28" x14ac:dyDescent="0.25">
      <c r="A3730" s="22">
        <v>42081</v>
      </c>
      <c r="B3730" s="33"/>
      <c r="C3730" s="33">
        <v>0</v>
      </c>
      <c r="D3730" s="30">
        <v>0</v>
      </c>
      <c r="F3730" s="30"/>
      <c r="G3730" s="33">
        <v>1.5</v>
      </c>
      <c r="H3730" s="30"/>
      <c r="I3730" s="30"/>
      <c r="J3730" s="30" t="s">
        <v>9</v>
      </c>
      <c r="K3730" s="33">
        <v>0</v>
      </c>
      <c r="L3730" s="38">
        <v>0</v>
      </c>
      <c r="M3730" s="33"/>
      <c r="P3730" s="33">
        <v>3</v>
      </c>
      <c r="Q3730" s="33">
        <v>2.2000000000000002</v>
      </c>
      <c r="X3730" s="33"/>
      <c r="AB3730" s="30">
        <v>0</v>
      </c>
    </row>
    <row r="3731" spans="1:28" x14ac:dyDescent="0.25">
      <c r="A3731" s="22">
        <v>42082</v>
      </c>
      <c r="B3731" s="33"/>
      <c r="C3731" s="33">
        <v>16.5</v>
      </c>
      <c r="D3731" s="33">
        <v>8.4</v>
      </c>
      <c r="F3731" s="30">
        <v>19.2</v>
      </c>
      <c r="G3731" s="30">
        <v>34.1</v>
      </c>
      <c r="H3731" s="30">
        <v>1.8</v>
      </c>
      <c r="I3731" s="30"/>
      <c r="J3731" s="33">
        <v>12.5</v>
      </c>
      <c r="K3731" s="30">
        <v>25.8</v>
      </c>
      <c r="L3731" s="38">
        <v>6.0959999999999992</v>
      </c>
      <c r="M3731" s="33">
        <v>28.3</v>
      </c>
      <c r="P3731" s="33">
        <v>10.6</v>
      </c>
      <c r="Q3731" s="33">
        <v>40</v>
      </c>
      <c r="X3731" s="33"/>
      <c r="AB3731" s="30">
        <v>7.4</v>
      </c>
    </row>
    <row r="3732" spans="1:28" x14ac:dyDescent="0.25">
      <c r="A3732" s="22">
        <v>42083</v>
      </c>
      <c r="B3732" s="33"/>
      <c r="C3732" s="30">
        <v>28.1</v>
      </c>
      <c r="D3732" s="33">
        <v>33.200000000000003</v>
      </c>
      <c r="F3732" s="30">
        <v>24.3</v>
      </c>
      <c r="G3732" s="30">
        <v>21.4</v>
      </c>
      <c r="H3732" s="33">
        <v>55</v>
      </c>
      <c r="I3732" s="30"/>
      <c r="J3732" s="33"/>
      <c r="K3732" s="33">
        <v>14</v>
      </c>
      <c r="L3732" s="38">
        <v>38.099999999999994</v>
      </c>
      <c r="M3732" s="30">
        <v>20.5</v>
      </c>
      <c r="P3732" s="33">
        <v>1.1000000000000001</v>
      </c>
      <c r="Q3732" s="33">
        <v>7.7</v>
      </c>
      <c r="X3732" s="33"/>
      <c r="AB3732" s="33">
        <v>62.6</v>
      </c>
    </row>
    <row r="3733" spans="1:28" x14ac:dyDescent="0.25">
      <c r="A3733" s="22">
        <v>42084</v>
      </c>
      <c r="B3733" s="33"/>
      <c r="C3733" s="30">
        <v>0</v>
      </c>
      <c r="D3733" s="33">
        <v>17.100000000000001</v>
      </c>
      <c r="F3733" s="30">
        <v>13.1</v>
      </c>
      <c r="G3733" s="33">
        <v>16.2</v>
      </c>
      <c r="H3733" s="33">
        <v>18.399999999999999</v>
      </c>
      <c r="I3733" s="30">
        <v>43.7</v>
      </c>
      <c r="J3733" s="30">
        <v>49.4</v>
      </c>
      <c r="K3733" s="33">
        <v>26.5</v>
      </c>
      <c r="L3733" s="38">
        <v>3.8099999999999996</v>
      </c>
      <c r="M3733" s="30">
        <v>18.5</v>
      </c>
      <c r="P3733" s="33">
        <v>0</v>
      </c>
      <c r="Q3733" s="33">
        <v>1.2</v>
      </c>
      <c r="X3733" s="33"/>
      <c r="AB3733" s="33">
        <v>9</v>
      </c>
    </row>
    <row r="3734" spans="1:28" x14ac:dyDescent="0.25">
      <c r="A3734" s="22">
        <v>42085</v>
      </c>
      <c r="B3734" s="33"/>
      <c r="C3734" s="30">
        <v>23.5</v>
      </c>
      <c r="D3734" s="30">
        <v>16.7</v>
      </c>
      <c r="F3734" s="30">
        <v>2</v>
      </c>
      <c r="G3734" s="33">
        <v>6.3</v>
      </c>
      <c r="H3734" s="30"/>
      <c r="I3734" s="30">
        <v>7.5</v>
      </c>
      <c r="J3734" s="30">
        <v>6.7</v>
      </c>
      <c r="K3734" s="33">
        <v>4.9000000000000004</v>
      </c>
      <c r="L3734" s="38">
        <v>4.5719999999999992</v>
      </c>
      <c r="M3734" s="30">
        <v>6.1</v>
      </c>
      <c r="P3734" s="33">
        <v>0</v>
      </c>
      <c r="Q3734" s="33">
        <v>0.2</v>
      </c>
      <c r="X3734" s="33"/>
      <c r="AB3734" s="30">
        <v>9.8000000000000007</v>
      </c>
    </row>
    <row r="3735" spans="1:28" x14ac:dyDescent="0.25">
      <c r="A3735" s="22">
        <v>42086</v>
      </c>
      <c r="B3735" s="33"/>
      <c r="C3735" s="30" t="s">
        <v>9</v>
      </c>
      <c r="D3735" s="30">
        <v>0</v>
      </c>
      <c r="F3735" s="30"/>
      <c r="G3735" s="33">
        <v>0.7</v>
      </c>
      <c r="H3735" s="33">
        <v>2.5</v>
      </c>
      <c r="I3735" s="33"/>
      <c r="J3735" s="33">
        <v>0.9</v>
      </c>
      <c r="K3735" s="33">
        <v>0.5</v>
      </c>
      <c r="L3735" s="38">
        <v>4.8259999999999996</v>
      </c>
      <c r="M3735" s="33">
        <v>4.0999999999999996</v>
      </c>
      <c r="P3735" s="33">
        <v>0</v>
      </c>
      <c r="Q3735" s="33">
        <v>1.2</v>
      </c>
      <c r="X3735" s="33"/>
      <c r="AB3735" s="33">
        <v>15</v>
      </c>
    </row>
    <row r="3736" spans="1:28" x14ac:dyDescent="0.25">
      <c r="A3736" s="22">
        <v>42087</v>
      </c>
      <c r="B3736" s="33"/>
      <c r="C3736" s="30" t="s">
        <v>9</v>
      </c>
      <c r="D3736" s="30">
        <v>0</v>
      </c>
      <c r="F3736" s="30"/>
      <c r="G3736" s="33">
        <v>2.5</v>
      </c>
      <c r="H3736" s="33"/>
      <c r="I3736" s="30"/>
      <c r="J3736" s="33">
        <v>2</v>
      </c>
      <c r="K3736" s="30">
        <v>0</v>
      </c>
      <c r="L3736" s="38">
        <v>0</v>
      </c>
      <c r="M3736" s="33"/>
      <c r="P3736" s="33">
        <v>0</v>
      </c>
      <c r="Q3736" s="33">
        <v>1</v>
      </c>
      <c r="X3736" s="33"/>
      <c r="AB3736" s="33">
        <v>0.8</v>
      </c>
    </row>
    <row r="3737" spans="1:28" x14ac:dyDescent="0.25">
      <c r="A3737" s="22">
        <v>42088</v>
      </c>
      <c r="B3737" s="33"/>
      <c r="C3737" s="33">
        <v>1.6</v>
      </c>
      <c r="D3737" s="30">
        <v>5.5</v>
      </c>
      <c r="F3737" s="30"/>
      <c r="G3737" s="33">
        <v>10.199999999999999</v>
      </c>
      <c r="H3737" s="33"/>
      <c r="I3737" s="33"/>
      <c r="J3737" s="33">
        <v>6.8</v>
      </c>
      <c r="K3737" s="30">
        <v>0</v>
      </c>
      <c r="L3737" s="38">
        <v>5.8419999999999996</v>
      </c>
      <c r="M3737" s="30"/>
      <c r="P3737" s="33">
        <v>0.5</v>
      </c>
      <c r="Q3737" s="33">
        <v>2.1</v>
      </c>
      <c r="X3737" s="33"/>
      <c r="AB3737" s="33">
        <v>2.8</v>
      </c>
    </row>
    <row r="3738" spans="1:28" x14ac:dyDescent="0.25">
      <c r="A3738" s="22">
        <v>42089</v>
      </c>
      <c r="B3738" s="33"/>
      <c r="C3738" s="33">
        <v>4</v>
      </c>
      <c r="D3738" s="33">
        <v>5.3</v>
      </c>
      <c r="F3738" s="30">
        <v>14.5</v>
      </c>
      <c r="G3738" s="33">
        <v>21.8</v>
      </c>
      <c r="H3738" s="33">
        <v>3.3</v>
      </c>
      <c r="I3738" s="33"/>
      <c r="J3738" s="33">
        <v>16.899999999999999</v>
      </c>
      <c r="K3738" s="30">
        <v>10</v>
      </c>
      <c r="L3738" s="38">
        <v>4.3180000000000005</v>
      </c>
      <c r="M3738" s="30">
        <v>12.4</v>
      </c>
      <c r="P3738" s="33">
        <v>0</v>
      </c>
      <c r="Q3738" s="33">
        <v>18.600000000000001</v>
      </c>
      <c r="X3738" s="33"/>
      <c r="AB3738" s="33">
        <v>8.6</v>
      </c>
    </row>
    <row r="3739" spans="1:28" x14ac:dyDescent="0.25">
      <c r="A3739" s="22">
        <v>42090</v>
      </c>
      <c r="B3739" s="33">
        <v>48.2</v>
      </c>
      <c r="C3739" s="33">
        <v>14</v>
      </c>
      <c r="D3739" s="33">
        <v>14</v>
      </c>
      <c r="F3739" s="30"/>
      <c r="G3739" s="33">
        <v>8.5</v>
      </c>
      <c r="H3739" s="33">
        <v>20.5</v>
      </c>
      <c r="I3739" s="33"/>
      <c r="J3739" s="33">
        <v>17.3</v>
      </c>
      <c r="K3739" s="33">
        <v>16.3</v>
      </c>
      <c r="L3739" s="38">
        <v>34.036000000000001</v>
      </c>
      <c r="M3739" s="30">
        <v>22.3</v>
      </c>
      <c r="P3739" s="33">
        <v>25.4</v>
      </c>
      <c r="Q3739" s="33">
        <v>0.2</v>
      </c>
      <c r="X3739" s="33"/>
      <c r="AB3739" s="33">
        <v>39</v>
      </c>
    </row>
    <row r="3740" spans="1:28" x14ac:dyDescent="0.25">
      <c r="A3740" s="22">
        <v>42091</v>
      </c>
      <c r="B3740" s="33"/>
      <c r="C3740" s="33">
        <v>9.6999999999999993</v>
      </c>
      <c r="D3740" s="33">
        <v>7</v>
      </c>
      <c r="F3740" s="30">
        <v>17</v>
      </c>
      <c r="G3740" s="33">
        <v>7.3</v>
      </c>
      <c r="H3740" s="33">
        <v>3.2</v>
      </c>
      <c r="I3740" s="30"/>
      <c r="J3740" s="30">
        <v>4.8</v>
      </c>
      <c r="K3740" s="33">
        <v>3.5</v>
      </c>
      <c r="L3740" s="38">
        <v>1.27</v>
      </c>
      <c r="M3740" s="33">
        <v>4.2</v>
      </c>
      <c r="P3740" s="33">
        <v>0.5</v>
      </c>
      <c r="Q3740" s="33">
        <v>7.8</v>
      </c>
      <c r="X3740" s="33"/>
      <c r="AB3740" s="33">
        <v>3.8</v>
      </c>
    </row>
    <row r="3741" spans="1:28" x14ac:dyDescent="0.25">
      <c r="A3741" s="22">
        <v>42092</v>
      </c>
      <c r="B3741" s="33"/>
      <c r="C3741" s="33">
        <v>6.2</v>
      </c>
      <c r="D3741" s="33">
        <v>0</v>
      </c>
      <c r="F3741" s="30"/>
      <c r="G3741" s="33">
        <v>1</v>
      </c>
      <c r="H3741" s="33"/>
      <c r="I3741" s="30">
        <v>41</v>
      </c>
      <c r="J3741" s="30">
        <v>17.3</v>
      </c>
      <c r="K3741" s="33">
        <v>13.1</v>
      </c>
      <c r="L3741" s="38">
        <v>7.1120000000000001</v>
      </c>
      <c r="M3741" s="33">
        <v>7.8</v>
      </c>
      <c r="P3741" s="33">
        <v>2.8</v>
      </c>
      <c r="Q3741" s="33">
        <v>0.2</v>
      </c>
      <c r="X3741" s="33"/>
      <c r="AB3741" s="33">
        <v>19.2</v>
      </c>
    </row>
    <row r="3742" spans="1:28" x14ac:dyDescent="0.25">
      <c r="A3742" s="22">
        <v>42093</v>
      </c>
      <c r="B3742" s="33">
        <v>16.600000000000001</v>
      </c>
      <c r="C3742" s="33"/>
      <c r="D3742" s="33">
        <v>0</v>
      </c>
      <c r="F3742" s="30"/>
      <c r="G3742" s="33">
        <v>1</v>
      </c>
      <c r="H3742" s="33"/>
      <c r="I3742" s="30">
        <v>0.3</v>
      </c>
      <c r="J3742" s="30">
        <v>1.1000000000000001</v>
      </c>
      <c r="K3742" s="33">
        <v>2.8</v>
      </c>
      <c r="L3742" s="38">
        <v>1.27</v>
      </c>
      <c r="M3742" s="33"/>
      <c r="P3742" s="33">
        <v>2.1</v>
      </c>
      <c r="Q3742" s="33">
        <v>0.4</v>
      </c>
      <c r="X3742" s="33"/>
      <c r="AB3742" s="33">
        <v>0.4</v>
      </c>
    </row>
    <row r="3743" spans="1:28" x14ac:dyDescent="0.25">
      <c r="A3743" s="22">
        <v>42094</v>
      </c>
      <c r="B3743" s="33"/>
      <c r="C3743" s="33"/>
      <c r="D3743" s="33">
        <v>8</v>
      </c>
      <c r="F3743" s="30"/>
      <c r="G3743" s="33">
        <v>0</v>
      </c>
      <c r="H3743" s="33"/>
      <c r="I3743" s="30">
        <v>0</v>
      </c>
      <c r="J3743" s="30">
        <v>1.2</v>
      </c>
      <c r="K3743" s="33">
        <v>0.3</v>
      </c>
      <c r="M3743" s="33"/>
      <c r="P3743" s="33">
        <v>0</v>
      </c>
      <c r="Q3743" s="33">
        <v>0</v>
      </c>
      <c r="X3743" s="33"/>
      <c r="AB3743" s="33">
        <v>2.6</v>
      </c>
    </row>
    <row r="3744" spans="1:28" x14ac:dyDescent="0.25">
      <c r="A3744" s="22">
        <v>42095</v>
      </c>
      <c r="B3744" s="33"/>
      <c r="C3744" s="33">
        <v>0</v>
      </c>
      <c r="D3744" s="33">
        <v>0</v>
      </c>
      <c r="F3744" s="30" t="s">
        <v>9</v>
      </c>
      <c r="G3744" s="33">
        <v>0</v>
      </c>
      <c r="H3744" s="33">
        <v>0</v>
      </c>
      <c r="I3744" s="30">
        <v>0</v>
      </c>
      <c r="J3744" s="30" t="s">
        <v>9</v>
      </c>
      <c r="K3744" s="30">
        <v>0</v>
      </c>
      <c r="L3744" s="38">
        <v>0</v>
      </c>
      <c r="M3744" s="30">
        <v>0</v>
      </c>
      <c r="O3744" s="38">
        <v>2.54</v>
      </c>
      <c r="P3744" s="33">
        <v>0</v>
      </c>
      <c r="Q3744" s="33">
        <v>0</v>
      </c>
      <c r="X3744" s="33"/>
      <c r="AB3744" s="33">
        <v>0</v>
      </c>
    </row>
    <row r="3745" spans="1:28" x14ac:dyDescent="0.25">
      <c r="A3745" s="22">
        <v>42096</v>
      </c>
      <c r="B3745" s="33"/>
      <c r="C3745" s="30">
        <v>1.6</v>
      </c>
      <c r="D3745" s="33">
        <v>0</v>
      </c>
      <c r="F3745" s="30" t="s">
        <v>9</v>
      </c>
      <c r="G3745" s="33">
        <v>1.1000000000000001</v>
      </c>
      <c r="H3745" s="33">
        <v>0</v>
      </c>
      <c r="I3745" s="30">
        <v>0</v>
      </c>
      <c r="J3745" s="30" t="s">
        <v>9</v>
      </c>
      <c r="K3745" s="30">
        <v>0</v>
      </c>
      <c r="L3745" s="38">
        <v>0</v>
      </c>
      <c r="M3745" s="30">
        <v>3.2</v>
      </c>
      <c r="O3745" s="38">
        <v>0</v>
      </c>
      <c r="P3745" s="33">
        <v>0</v>
      </c>
      <c r="Q3745" s="33">
        <v>0.5</v>
      </c>
      <c r="X3745" s="33"/>
      <c r="AB3745" s="33">
        <v>0</v>
      </c>
    </row>
    <row r="3746" spans="1:28" x14ac:dyDescent="0.25">
      <c r="A3746" s="22">
        <v>42097</v>
      </c>
      <c r="B3746" s="33"/>
      <c r="C3746" s="30">
        <v>12.4</v>
      </c>
      <c r="D3746" s="33">
        <v>0</v>
      </c>
      <c r="F3746" s="30">
        <v>8.9</v>
      </c>
      <c r="G3746" s="33">
        <v>1</v>
      </c>
      <c r="H3746" s="33">
        <v>0</v>
      </c>
      <c r="I3746" s="30">
        <v>0.9</v>
      </c>
      <c r="J3746" s="30">
        <v>3</v>
      </c>
      <c r="K3746" s="30">
        <v>2.8</v>
      </c>
      <c r="L3746" s="38">
        <v>3.0479999999999996</v>
      </c>
      <c r="M3746" s="30">
        <v>4.0999999999999996</v>
      </c>
      <c r="O3746" s="38">
        <v>8.3819999999999997</v>
      </c>
      <c r="P3746" s="33">
        <v>4.0999999999999996</v>
      </c>
      <c r="Q3746" s="33">
        <v>5.7</v>
      </c>
      <c r="X3746" s="33"/>
      <c r="AB3746" s="33">
        <v>2</v>
      </c>
    </row>
    <row r="3747" spans="1:28" x14ac:dyDescent="0.25">
      <c r="A3747" s="22">
        <v>42098</v>
      </c>
      <c r="B3747" s="33"/>
      <c r="C3747" s="30">
        <v>14.8</v>
      </c>
      <c r="D3747" s="33">
        <v>10.5</v>
      </c>
      <c r="F3747" s="30">
        <v>0</v>
      </c>
      <c r="G3747" s="33">
        <v>3</v>
      </c>
      <c r="H3747" s="33">
        <v>3.6</v>
      </c>
      <c r="I3747" s="30">
        <v>0</v>
      </c>
      <c r="J3747" s="33">
        <v>19</v>
      </c>
      <c r="K3747" s="30">
        <v>24</v>
      </c>
      <c r="L3747" s="38">
        <v>7.8739999999999997</v>
      </c>
      <c r="M3747" s="30">
        <v>7.8</v>
      </c>
      <c r="O3747" s="38">
        <v>1.5239999999999998</v>
      </c>
      <c r="P3747" s="33">
        <v>2.6</v>
      </c>
      <c r="Q3747" s="33">
        <v>35.200000000000003</v>
      </c>
      <c r="X3747" s="33"/>
      <c r="AB3747" s="33">
        <v>10</v>
      </c>
    </row>
    <row r="3748" spans="1:28" x14ac:dyDescent="0.25">
      <c r="A3748" s="22">
        <v>42099</v>
      </c>
      <c r="B3748" s="33"/>
      <c r="C3748" s="30">
        <v>1</v>
      </c>
      <c r="D3748" s="30">
        <v>15.1</v>
      </c>
      <c r="F3748" s="30">
        <v>0</v>
      </c>
      <c r="G3748" s="30">
        <v>6.1</v>
      </c>
      <c r="H3748" s="33">
        <v>0</v>
      </c>
      <c r="I3748" s="30">
        <v>2.2999999999999998</v>
      </c>
      <c r="J3748" s="30">
        <v>5.9</v>
      </c>
      <c r="K3748" s="30">
        <v>2.4</v>
      </c>
      <c r="L3748" s="38">
        <v>5.8419999999999996</v>
      </c>
      <c r="M3748" s="33">
        <v>1.1000000000000001</v>
      </c>
      <c r="O3748" s="38">
        <v>5.08</v>
      </c>
      <c r="P3748" s="33">
        <v>1.1000000000000001</v>
      </c>
      <c r="Q3748" s="33">
        <v>2.2999999999999998</v>
      </c>
      <c r="X3748" s="33"/>
      <c r="AB3748" s="33">
        <v>24.4</v>
      </c>
    </row>
    <row r="3749" spans="1:28" x14ac:dyDescent="0.25">
      <c r="A3749" s="22">
        <v>42100</v>
      </c>
      <c r="B3749" s="33"/>
      <c r="C3749" s="30">
        <v>0.5</v>
      </c>
      <c r="D3749" s="30">
        <v>5.2</v>
      </c>
      <c r="F3749" s="30">
        <v>0</v>
      </c>
      <c r="G3749" s="33">
        <v>7.7</v>
      </c>
      <c r="H3749" s="33">
        <v>1.6</v>
      </c>
      <c r="I3749" s="30">
        <v>0</v>
      </c>
      <c r="J3749" s="30">
        <v>7.1</v>
      </c>
      <c r="K3749" s="30">
        <v>1.6</v>
      </c>
      <c r="L3749" s="38">
        <v>4.5719999999999992</v>
      </c>
      <c r="M3749" s="30">
        <v>2.2999999999999998</v>
      </c>
      <c r="O3749" s="38">
        <v>2.54</v>
      </c>
      <c r="P3749" s="33">
        <v>3</v>
      </c>
      <c r="Q3749" s="33">
        <v>8.6999999999999993</v>
      </c>
      <c r="X3749" s="33"/>
      <c r="AB3749" s="33">
        <v>3.2</v>
      </c>
    </row>
    <row r="3750" spans="1:28" x14ac:dyDescent="0.25">
      <c r="A3750" s="22">
        <v>42101</v>
      </c>
      <c r="B3750" s="33"/>
      <c r="C3750" s="30">
        <v>1.6</v>
      </c>
      <c r="D3750" s="30">
        <v>3</v>
      </c>
      <c r="F3750" s="30">
        <v>0</v>
      </c>
      <c r="G3750" s="33">
        <v>2.5</v>
      </c>
      <c r="H3750" s="33">
        <v>10</v>
      </c>
      <c r="I3750" s="33">
        <v>0</v>
      </c>
      <c r="J3750" s="30">
        <v>6</v>
      </c>
      <c r="K3750" s="30">
        <v>5.5</v>
      </c>
      <c r="L3750" s="38">
        <v>1.27</v>
      </c>
      <c r="M3750" s="33">
        <v>1.2</v>
      </c>
      <c r="O3750" s="38">
        <v>3.8099999999999996</v>
      </c>
      <c r="P3750" s="33">
        <v>0.5</v>
      </c>
      <c r="Q3750" s="33">
        <v>2.2999999999999998</v>
      </c>
      <c r="X3750" s="33"/>
      <c r="AB3750" s="33">
        <v>6.2</v>
      </c>
    </row>
    <row r="3751" spans="1:28" x14ac:dyDescent="0.25">
      <c r="A3751" s="22">
        <v>42102</v>
      </c>
      <c r="B3751" s="33"/>
      <c r="C3751" s="33">
        <v>2.4</v>
      </c>
      <c r="D3751" s="33">
        <v>4.3</v>
      </c>
      <c r="F3751" s="30">
        <v>10.4</v>
      </c>
      <c r="G3751" s="30">
        <v>6.8</v>
      </c>
      <c r="H3751" s="30">
        <v>2.4</v>
      </c>
      <c r="I3751" s="30">
        <v>12.1</v>
      </c>
      <c r="J3751" s="30">
        <v>3.8</v>
      </c>
      <c r="K3751" s="30">
        <v>0</v>
      </c>
      <c r="L3751" s="38">
        <v>2.794</v>
      </c>
      <c r="M3751" s="30">
        <v>4.5999999999999996</v>
      </c>
      <c r="O3751" s="38">
        <v>0</v>
      </c>
      <c r="P3751" s="33">
        <v>2.1</v>
      </c>
      <c r="Q3751" s="33">
        <v>4</v>
      </c>
      <c r="X3751" s="33"/>
      <c r="AB3751" s="33">
        <v>2</v>
      </c>
    </row>
    <row r="3752" spans="1:28" x14ac:dyDescent="0.25">
      <c r="A3752" s="22">
        <v>42103</v>
      </c>
      <c r="B3752" s="33"/>
      <c r="C3752" s="30">
        <v>6.2</v>
      </c>
      <c r="D3752" s="33">
        <v>7.2</v>
      </c>
      <c r="F3752" s="30">
        <v>2.2000000000000002</v>
      </c>
      <c r="G3752" s="33">
        <v>6</v>
      </c>
      <c r="H3752" s="30">
        <v>9.3000000000000007</v>
      </c>
      <c r="I3752" s="30">
        <v>1.4</v>
      </c>
      <c r="J3752" s="30">
        <v>5.6</v>
      </c>
      <c r="K3752" s="30">
        <v>0</v>
      </c>
      <c r="L3752" s="38">
        <v>0</v>
      </c>
      <c r="M3752" s="30">
        <v>8.9</v>
      </c>
      <c r="O3752" s="38">
        <v>5.08</v>
      </c>
      <c r="P3752" s="33">
        <v>4.4000000000000004</v>
      </c>
      <c r="Q3752" s="33">
        <v>5.5</v>
      </c>
      <c r="X3752" s="33"/>
      <c r="AB3752" s="33">
        <v>7.2</v>
      </c>
    </row>
    <row r="3753" spans="1:28" x14ac:dyDescent="0.25">
      <c r="A3753" s="22">
        <v>42104</v>
      </c>
      <c r="B3753" s="33"/>
      <c r="C3753" s="30">
        <v>8.5</v>
      </c>
      <c r="D3753" s="33">
        <v>8.3000000000000007</v>
      </c>
      <c r="F3753" s="30">
        <v>9.6999999999999993</v>
      </c>
      <c r="G3753" s="33">
        <v>1.5</v>
      </c>
      <c r="H3753" s="30">
        <v>6.8</v>
      </c>
      <c r="I3753" s="30">
        <v>0</v>
      </c>
      <c r="J3753" s="30">
        <v>4</v>
      </c>
      <c r="K3753" s="30">
        <v>21.3</v>
      </c>
      <c r="L3753" s="38">
        <v>4.8259999999999996</v>
      </c>
      <c r="M3753" s="30">
        <v>8.4</v>
      </c>
      <c r="O3753" s="38">
        <v>5.08</v>
      </c>
      <c r="P3753" s="33">
        <v>0.9</v>
      </c>
      <c r="Q3753" s="33">
        <v>0</v>
      </c>
      <c r="X3753" s="33"/>
      <c r="AB3753" s="33">
        <v>8.8000000000000007</v>
      </c>
    </row>
    <row r="3754" spans="1:28" x14ac:dyDescent="0.25">
      <c r="A3754" s="22">
        <v>42105</v>
      </c>
      <c r="B3754" s="33"/>
      <c r="C3754" s="30">
        <v>2</v>
      </c>
      <c r="D3754" s="33">
        <v>0</v>
      </c>
      <c r="F3754" s="30">
        <v>0</v>
      </c>
      <c r="G3754" s="33">
        <v>0</v>
      </c>
      <c r="H3754" s="30">
        <v>0</v>
      </c>
      <c r="I3754" s="30">
        <v>8.8000000000000007</v>
      </c>
      <c r="J3754" s="30">
        <v>1.8</v>
      </c>
      <c r="K3754" s="30">
        <v>0</v>
      </c>
      <c r="L3754" s="38">
        <v>2.032</v>
      </c>
      <c r="M3754" s="30">
        <v>0.9</v>
      </c>
      <c r="O3754" s="38">
        <v>5.08</v>
      </c>
      <c r="P3754" s="33">
        <v>0.7</v>
      </c>
      <c r="Q3754" s="33">
        <v>0.3</v>
      </c>
      <c r="X3754" s="33"/>
      <c r="AB3754" s="33">
        <v>2.6</v>
      </c>
    </row>
    <row r="3755" spans="1:28" x14ac:dyDescent="0.25">
      <c r="A3755" s="22">
        <v>42106</v>
      </c>
      <c r="B3755" s="33"/>
      <c r="C3755" s="33">
        <v>0</v>
      </c>
      <c r="D3755" s="33">
        <v>0</v>
      </c>
      <c r="F3755" s="30">
        <v>0</v>
      </c>
      <c r="G3755" s="33">
        <v>0</v>
      </c>
      <c r="H3755" s="30">
        <v>0</v>
      </c>
      <c r="I3755" s="30">
        <v>0</v>
      </c>
      <c r="J3755" s="33">
        <v>1.1000000000000001</v>
      </c>
      <c r="K3755" s="30">
        <v>6.3</v>
      </c>
      <c r="L3755" s="38">
        <v>0</v>
      </c>
      <c r="M3755" s="33">
        <v>0</v>
      </c>
      <c r="O3755" s="38">
        <v>0.50800000000000001</v>
      </c>
      <c r="P3755" s="33">
        <v>0</v>
      </c>
      <c r="Q3755" s="33">
        <v>0</v>
      </c>
      <c r="X3755" s="33"/>
      <c r="AB3755" s="33">
        <v>0.2</v>
      </c>
    </row>
    <row r="3756" spans="1:28" x14ac:dyDescent="0.25">
      <c r="A3756" s="22">
        <v>42107</v>
      </c>
      <c r="B3756" s="33"/>
      <c r="C3756" s="33">
        <v>0</v>
      </c>
      <c r="D3756" s="33">
        <v>0</v>
      </c>
      <c r="F3756" s="30">
        <v>0</v>
      </c>
      <c r="G3756" s="30">
        <v>0</v>
      </c>
      <c r="H3756" s="30">
        <v>0</v>
      </c>
      <c r="I3756" s="30">
        <v>0</v>
      </c>
      <c r="J3756" s="30" t="s">
        <v>9</v>
      </c>
      <c r="K3756" s="30">
        <v>0</v>
      </c>
      <c r="L3756" s="38">
        <v>0</v>
      </c>
      <c r="M3756" s="33">
        <v>0</v>
      </c>
      <c r="O3756" s="38">
        <v>0</v>
      </c>
      <c r="P3756" s="33">
        <v>0</v>
      </c>
      <c r="Q3756" s="33">
        <v>0</v>
      </c>
      <c r="X3756" s="33"/>
      <c r="AB3756" s="33">
        <v>0</v>
      </c>
    </row>
    <row r="3757" spans="1:28" x14ac:dyDescent="0.25">
      <c r="A3757" s="22">
        <v>42108</v>
      </c>
      <c r="B3757" s="33"/>
      <c r="C3757" s="30">
        <v>0</v>
      </c>
      <c r="D3757" s="33">
        <v>0</v>
      </c>
      <c r="F3757" s="30">
        <v>0</v>
      </c>
      <c r="G3757" s="30">
        <v>1</v>
      </c>
      <c r="H3757" s="30">
        <v>0</v>
      </c>
      <c r="I3757" s="30">
        <v>0</v>
      </c>
      <c r="J3757" s="30">
        <v>0.2</v>
      </c>
      <c r="K3757" s="30">
        <v>1.4</v>
      </c>
      <c r="L3757" s="38">
        <v>0</v>
      </c>
      <c r="M3757" s="30">
        <v>0</v>
      </c>
      <c r="O3757" s="38">
        <v>0</v>
      </c>
      <c r="P3757" s="33">
        <v>0</v>
      </c>
      <c r="Q3757" s="33">
        <v>0.5</v>
      </c>
      <c r="X3757" s="33"/>
      <c r="AB3757" s="33">
        <v>0</v>
      </c>
    </row>
    <row r="3758" spans="1:28" x14ac:dyDescent="0.25">
      <c r="A3758" s="22">
        <v>42109</v>
      </c>
      <c r="B3758" s="33"/>
      <c r="C3758" s="30">
        <v>0</v>
      </c>
      <c r="D3758" s="33">
        <v>1.5</v>
      </c>
      <c r="F3758" s="30">
        <v>0</v>
      </c>
      <c r="G3758" s="30">
        <v>0</v>
      </c>
      <c r="H3758" s="33">
        <v>0</v>
      </c>
      <c r="I3758" s="30">
        <v>0</v>
      </c>
      <c r="J3758" s="30">
        <v>0.3</v>
      </c>
      <c r="K3758" s="30">
        <v>0</v>
      </c>
      <c r="L3758" s="38">
        <v>0.7619999999999999</v>
      </c>
      <c r="M3758" s="33">
        <v>0</v>
      </c>
      <c r="O3758" s="38">
        <v>1.27</v>
      </c>
      <c r="P3758" s="33">
        <v>0</v>
      </c>
      <c r="Q3758" s="33">
        <v>0</v>
      </c>
      <c r="X3758" s="33"/>
      <c r="AB3758" s="33">
        <v>0.6</v>
      </c>
    </row>
    <row r="3759" spans="1:28" x14ac:dyDescent="0.25">
      <c r="A3759" s="22">
        <v>42110</v>
      </c>
      <c r="B3759" s="33"/>
      <c r="C3759" s="30">
        <v>1.2</v>
      </c>
      <c r="D3759" s="33">
        <v>5.3</v>
      </c>
      <c r="F3759" s="30">
        <v>0</v>
      </c>
      <c r="G3759" s="30">
        <v>0</v>
      </c>
      <c r="H3759" s="33">
        <v>0</v>
      </c>
      <c r="I3759" s="33">
        <v>0</v>
      </c>
      <c r="J3759" s="30" t="s">
        <v>9</v>
      </c>
      <c r="K3759" s="30">
        <v>0</v>
      </c>
      <c r="L3759" s="38">
        <v>0</v>
      </c>
      <c r="M3759" s="30">
        <v>0</v>
      </c>
      <c r="O3759" s="38">
        <v>4.0640000000000001</v>
      </c>
      <c r="P3759" s="33">
        <v>0</v>
      </c>
      <c r="Q3759" s="33">
        <v>0</v>
      </c>
      <c r="X3759" s="33"/>
      <c r="AB3759" s="33">
        <v>0.2</v>
      </c>
    </row>
    <row r="3760" spans="1:28" x14ac:dyDescent="0.25">
      <c r="A3760" s="22">
        <v>42111</v>
      </c>
      <c r="B3760" s="33"/>
      <c r="C3760" s="30">
        <v>0</v>
      </c>
      <c r="D3760" s="33">
        <v>0</v>
      </c>
      <c r="F3760" s="30">
        <v>0</v>
      </c>
      <c r="G3760" s="33">
        <v>1.1000000000000001</v>
      </c>
      <c r="H3760" s="30">
        <v>0</v>
      </c>
      <c r="I3760" s="30">
        <v>0.5</v>
      </c>
      <c r="J3760" s="30">
        <v>0</v>
      </c>
      <c r="K3760" s="30">
        <v>0</v>
      </c>
      <c r="L3760" s="38">
        <v>0</v>
      </c>
      <c r="M3760" s="30">
        <v>1.3</v>
      </c>
      <c r="O3760" s="38">
        <v>0</v>
      </c>
      <c r="P3760" s="33">
        <v>0</v>
      </c>
      <c r="Q3760" s="33">
        <v>1.2</v>
      </c>
      <c r="X3760" s="33"/>
      <c r="AB3760" s="33">
        <v>0.2</v>
      </c>
    </row>
    <row r="3761" spans="1:28" x14ac:dyDescent="0.25">
      <c r="A3761" s="22">
        <v>42112</v>
      </c>
      <c r="B3761" s="33"/>
      <c r="C3761" s="33">
        <v>0</v>
      </c>
      <c r="D3761" s="30">
        <v>7.1</v>
      </c>
      <c r="F3761" s="30">
        <v>0</v>
      </c>
      <c r="G3761" s="33">
        <v>1.2</v>
      </c>
      <c r="H3761" s="30">
        <v>0</v>
      </c>
      <c r="I3761" s="30">
        <v>0</v>
      </c>
      <c r="J3761" s="30">
        <v>2.1</v>
      </c>
      <c r="K3761" s="33">
        <v>1.2</v>
      </c>
      <c r="L3761" s="38">
        <v>0</v>
      </c>
      <c r="M3761" s="33">
        <v>1.1000000000000001</v>
      </c>
      <c r="O3761" s="38">
        <v>6.8579999999999997</v>
      </c>
      <c r="P3761" s="33">
        <v>0</v>
      </c>
      <c r="Q3761" s="33">
        <v>0</v>
      </c>
      <c r="X3761" s="33"/>
      <c r="AB3761" s="33">
        <v>1</v>
      </c>
    </row>
    <row r="3762" spans="1:28" x14ac:dyDescent="0.25">
      <c r="A3762" s="22">
        <v>42113</v>
      </c>
      <c r="B3762" s="33"/>
      <c r="C3762" s="30" t="s">
        <v>9</v>
      </c>
      <c r="D3762" s="33">
        <v>0</v>
      </c>
      <c r="F3762" s="30">
        <v>19.2</v>
      </c>
      <c r="G3762" s="30">
        <v>1.2</v>
      </c>
      <c r="H3762" s="30">
        <v>0</v>
      </c>
      <c r="I3762" s="30">
        <v>2.2000000000000002</v>
      </c>
      <c r="J3762" s="30" t="s">
        <v>9</v>
      </c>
      <c r="K3762" s="30">
        <v>20.2</v>
      </c>
      <c r="L3762" s="38">
        <v>0</v>
      </c>
      <c r="M3762" s="33">
        <v>2.9</v>
      </c>
      <c r="O3762" s="38">
        <v>2.54</v>
      </c>
      <c r="P3762" s="33">
        <v>0</v>
      </c>
      <c r="Q3762" s="33">
        <v>0.6</v>
      </c>
      <c r="X3762" s="33"/>
      <c r="AB3762" s="33">
        <v>0</v>
      </c>
    </row>
    <row r="3763" spans="1:28" x14ac:dyDescent="0.25">
      <c r="A3763" s="22">
        <v>42114</v>
      </c>
      <c r="B3763" s="33"/>
      <c r="C3763" s="30">
        <v>1</v>
      </c>
      <c r="D3763" s="33">
        <v>0</v>
      </c>
      <c r="F3763" s="30">
        <v>24.3</v>
      </c>
      <c r="G3763" s="30">
        <v>1.1000000000000001</v>
      </c>
      <c r="H3763" s="33">
        <v>0</v>
      </c>
      <c r="I3763" s="30">
        <v>0</v>
      </c>
      <c r="J3763" s="33">
        <v>1.7</v>
      </c>
      <c r="K3763" s="33">
        <v>4.0999999999999996</v>
      </c>
      <c r="L3763" s="38">
        <v>0</v>
      </c>
      <c r="M3763" s="30">
        <v>1.2</v>
      </c>
      <c r="O3763" s="38">
        <v>3.302</v>
      </c>
      <c r="P3763" s="33">
        <v>0</v>
      </c>
      <c r="Q3763" s="33">
        <v>4</v>
      </c>
      <c r="X3763" s="33"/>
      <c r="AB3763" s="33">
        <v>4.5999999999999996</v>
      </c>
    </row>
    <row r="3764" spans="1:28" x14ac:dyDescent="0.25">
      <c r="A3764" s="22">
        <v>42115</v>
      </c>
      <c r="B3764" s="33"/>
      <c r="C3764" s="30">
        <v>0</v>
      </c>
      <c r="D3764" s="33">
        <v>2.4</v>
      </c>
      <c r="F3764" s="30">
        <v>12.4</v>
      </c>
      <c r="G3764" s="33">
        <v>10.5</v>
      </c>
      <c r="H3764" s="33">
        <v>2</v>
      </c>
      <c r="I3764" s="30">
        <v>0</v>
      </c>
      <c r="J3764" s="30">
        <v>6</v>
      </c>
      <c r="K3764" s="33">
        <v>5.7</v>
      </c>
      <c r="L3764" s="38">
        <v>1.27</v>
      </c>
      <c r="M3764" s="30">
        <v>3.1</v>
      </c>
      <c r="O3764" s="38">
        <v>1.27</v>
      </c>
      <c r="P3764" s="33">
        <v>0</v>
      </c>
      <c r="Q3764" s="33">
        <v>2.1</v>
      </c>
      <c r="X3764" s="33"/>
      <c r="AB3764" s="33">
        <v>3.8</v>
      </c>
    </row>
    <row r="3765" spans="1:28" x14ac:dyDescent="0.25">
      <c r="A3765" s="22">
        <v>42116</v>
      </c>
      <c r="B3765" s="33"/>
      <c r="C3765" s="30">
        <v>0</v>
      </c>
      <c r="D3765" s="30">
        <v>1.2</v>
      </c>
      <c r="F3765" s="30">
        <v>9.6</v>
      </c>
      <c r="G3765" s="33">
        <v>7.6</v>
      </c>
      <c r="H3765" s="30">
        <v>10.8</v>
      </c>
      <c r="I3765" s="30">
        <v>5.2</v>
      </c>
      <c r="J3765" s="30">
        <v>6</v>
      </c>
      <c r="K3765" s="33">
        <v>5.6</v>
      </c>
      <c r="L3765" s="38">
        <v>3.0479999999999996</v>
      </c>
      <c r="M3765" s="30">
        <v>10.199999999999999</v>
      </c>
      <c r="O3765" s="38">
        <v>2.54</v>
      </c>
      <c r="P3765" s="33">
        <v>0</v>
      </c>
      <c r="Q3765" s="33">
        <v>2.1</v>
      </c>
      <c r="X3765" s="33"/>
      <c r="AB3765" s="33">
        <v>3</v>
      </c>
    </row>
    <row r="3766" spans="1:28" x14ac:dyDescent="0.25">
      <c r="A3766" s="22">
        <v>42117</v>
      </c>
      <c r="B3766" s="33"/>
      <c r="C3766" s="33">
        <v>2.5</v>
      </c>
      <c r="D3766" s="30">
        <v>5</v>
      </c>
      <c r="F3766" s="30">
        <v>4.5</v>
      </c>
      <c r="G3766" s="33">
        <v>0</v>
      </c>
      <c r="H3766" s="33">
        <v>10.5</v>
      </c>
      <c r="I3766" s="33">
        <v>5.0999999999999996</v>
      </c>
      <c r="J3766" s="33">
        <v>4.9000000000000004</v>
      </c>
      <c r="K3766" s="33">
        <v>3.4</v>
      </c>
      <c r="L3766" s="38">
        <v>0</v>
      </c>
      <c r="M3766" s="33">
        <v>9.1999999999999993</v>
      </c>
      <c r="O3766" s="38">
        <v>2.54</v>
      </c>
      <c r="P3766" s="33">
        <v>4.5999999999999996</v>
      </c>
      <c r="Q3766" s="33">
        <v>0</v>
      </c>
      <c r="X3766" s="33"/>
      <c r="AB3766" s="33">
        <v>4.5999999999999996</v>
      </c>
    </row>
    <row r="3767" spans="1:28" x14ac:dyDescent="0.25">
      <c r="A3767" s="22">
        <v>42118</v>
      </c>
      <c r="B3767" s="33"/>
      <c r="C3767" s="33">
        <v>0</v>
      </c>
      <c r="D3767" s="30">
        <v>0</v>
      </c>
      <c r="F3767" s="30">
        <v>0</v>
      </c>
      <c r="G3767" s="33">
        <v>0</v>
      </c>
      <c r="H3767" s="33">
        <v>0</v>
      </c>
      <c r="I3767" s="30">
        <v>0</v>
      </c>
      <c r="J3767" s="30">
        <v>0</v>
      </c>
      <c r="K3767" s="30">
        <v>0</v>
      </c>
      <c r="L3767" s="38">
        <v>0</v>
      </c>
      <c r="M3767" s="33">
        <v>0</v>
      </c>
      <c r="O3767" s="38">
        <v>0</v>
      </c>
      <c r="P3767" s="33">
        <v>0</v>
      </c>
      <c r="Q3767" s="33">
        <v>0</v>
      </c>
      <c r="X3767" s="33"/>
      <c r="AB3767" s="33">
        <v>0</v>
      </c>
    </row>
    <row r="3768" spans="1:28" x14ac:dyDescent="0.25">
      <c r="A3768" s="22">
        <v>42119</v>
      </c>
      <c r="B3768" s="33"/>
      <c r="C3768" s="33">
        <v>0</v>
      </c>
      <c r="D3768" s="30">
        <v>0</v>
      </c>
      <c r="F3768" s="30">
        <v>0</v>
      </c>
      <c r="G3768" s="33">
        <v>0</v>
      </c>
      <c r="H3768" s="33">
        <v>0</v>
      </c>
      <c r="I3768" s="33">
        <v>0</v>
      </c>
      <c r="J3768" s="30">
        <v>0</v>
      </c>
      <c r="K3768" s="30">
        <v>0</v>
      </c>
      <c r="L3768" s="38">
        <v>0</v>
      </c>
      <c r="M3768" s="33">
        <v>0</v>
      </c>
      <c r="O3768" s="38">
        <v>0</v>
      </c>
      <c r="P3768" s="33">
        <v>0</v>
      </c>
      <c r="Q3768" s="33">
        <v>0</v>
      </c>
      <c r="X3768" s="33"/>
      <c r="AB3768" s="33">
        <v>0</v>
      </c>
    </row>
    <row r="3769" spans="1:28" x14ac:dyDescent="0.25">
      <c r="A3769" s="22">
        <v>42120</v>
      </c>
      <c r="B3769" s="33"/>
      <c r="C3769" s="33">
        <v>0</v>
      </c>
      <c r="D3769" s="33">
        <v>0</v>
      </c>
      <c r="F3769" s="30">
        <v>0</v>
      </c>
      <c r="G3769" s="33">
        <v>0</v>
      </c>
      <c r="H3769" s="33">
        <v>0</v>
      </c>
      <c r="I3769" s="33">
        <v>0</v>
      </c>
      <c r="J3769" s="30">
        <v>0</v>
      </c>
      <c r="K3769" s="30">
        <v>0</v>
      </c>
      <c r="L3769" s="38">
        <v>0</v>
      </c>
      <c r="M3769" s="33">
        <v>0</v>
      </c>
      <c r="O3769" s="38">
        <v>0</v>
      </c>
      <c r="P3769" s="33">
        <v>0</v>
      </c>
      <c r="Q3769" s="33">
        <v>0</v>
      </c>
      <c r="X3769" s="33"/>
      <c r="AB3769" s="33">
        <v>0</v>
      </c>
    </row>
    <row r="3770" spans="1:28" x14ac:dyDescent="0.25">
      <c r="A3770" s="22">
        <v>42121</v>
      </c>
      <c r="B3770" s="33"/>
      <c r="C3770" s="33">
        <v>0</v>
      </c>
      <c r="D3770" s="33">
        <v>0</v>
      </c>
      <c r="F3770" s="30">
        <v>0</v>
      </c>
      <c r="G3770" s="33">
        <v>0</v>
      </c>
      <c r="H3770" s="33">
        <v>0</v>
      </c>
      <c r="I3770" s="33">
        <v>0</v>
      </c>
      <c r="J3770" s="33">
        <v>0</v>
      </c>
      <c r="K3770" s="33">
        <v>0</v>
      </c>
      <c r="L3770" s="38">
        <v>0</v>
      </c>
      <c r="M3770" s="33">
        <v>0</v>
      </c>
      <c r="O3770" s="38">
        <v>0</v>
      </c>
      <c r="P3770" s="33">
        <v>0</v>
      </c>
      <c r="Q3770" s="33">
        <v>0</v>
      </c>
      <c r="X3770" s="33"/>
      <c r="AB3770" s="33">
        <v>0</v>
      </c>
    </row>
    <row r="3771" spans="1:28" x14ac:dyDescent="0.25">
      <c r="A3771" s="22">
        <v>42122</v>
      </c>
      <c r="B3771" s="33"/>
      <c r="C3771" s="33">
        <v>0</v>
      </c>
      <c r="D3771" s="33">
        <v>0</v>
      </c>
      <c r="F3771" s="30">
        <v>0</v>
      </c>
      <c r="G3771" s="33">
        <v>0</v>
      </c>
      <c r="H3771" s="33">
        <v>0</v>
      </c>
      <c r="I3771" s="30">
        <v>0</v>
      </c>
      <c r="J3771" s="30">
        <v>0</v>
      </c>
      <c r="K3771" s="33">
        <v>0</v>
      </c>
      <c r="L3771" s="38">
        <v>0</v>
      </c>
      <c r="M3771" s="33">
        <v>0</v>
      </c>
      <c r="O3771" s="38">
        <v>0</v>
      </c>
      <c r="P3771" s="33">
        <v>0</v>
      </c>
      <c r="Q3771" s="33">
        <v>0</v>
      </c>
      <c r="X3771" s="33"/>
      <c r="AB3771" s="33">
        <v>0</v>
      </c>
    </row>
    <row r="3772" spans="1:28" x14ac:dyDescent="0.25">
      <c r="A3772" s="22">
        <v>42123</v>
      </c>
      <c r="B3772" s="33"/>
      <c r="C3772" s="33">
        <v>0</v>
      </c>
      <c r="D3772" s="33">
        <v>0</v>
      </c>
      <c r="F3772" s="30">
        <v>0</v>
      </c>
      <c r="G3772" s="33">
        <v>0</v>
      </c>
      <c r="H3772" s="33">
        <v>0</v>
      </c>
      <c r="I3772" s="30">
        <v>0</v>
      </c>
      <c r="J3772" s="30">
        <v>0</v>
      </c>
      <c r="K3772" s="33">
        <v>0</v>
      </c>
      <c r="L3772" s="38">
        <v>0</v>
      </c>
      <c r="M3772" s="33">
        <v>0</v>
      </c>
      <c r="O3772" s="38">
        <v>0</v>
      </c>
      <c r="P3772" s="33">
        <v>0</v>
      </c>
      <c r="Q3772" s="33">
        <v>0</v>
      </c>
      <c r="X3772" s="33"/>
      <c r="AB3772" s="33">
        <v>0</v>
      </c>
    </row>
    <row r="3773" spans="1:28" x14ac:dyDescent="0.25">
      <c r="A3773" s="22">
        <v>42124</v>
      </c>
      <c r="B3773" s="33">
        <v>26.6</v>
      </c>
      <c r="C3773" s="33">
        <v>0</v>
      </c>
      <c r="D3773" s="33">
        <v>0</v>
      </c>
      <c r="F3773" s="30">
        <v>0</v>
      </c>
      <c r="G3773" s="33">
        <v>8.5</v>
      </c>
      <c r="H3773" s="33">
        <v>0</v>
      </c>
      <c r="I3773" s="30">
        <v>0</v>
      </c>
      <c r="J3773" s="30">
        <v>0</v>
      </c>
      <c r="K3773" s="33">
        <v>0</v>
      </c>
      <c r="L3773" s="38">
        <v>0</v>
      </c>
      <c r="M3773" s="33">
        <v>0</v>
      </c>
      <c r="O3773" s="38">
        <v>0</v>
      </c>
      <c r="P3773" s="33">
        <v>0</v>
      </c>
      <c r="Q3773" s="33">
        <v>0</v>
      </c>
      <c r="X3773" s="33"/>
      <c r="AB3773" s="33">
        <v>0</v>
      </c>
    </row>
    <row r="3774" spans="1:28" x14ac:dyDescent="0.25">
      <c r="A3774" s="22">
        <v>42125</v>
      </c>
      <c r="B3774" s="33"/>
      <c r="C3774" s="33">
        <v>1.3</v>
      </c>
      <c r="D3774" s="33">
        <v>0</v>
      </c>
      <c r="F3774" s="30" t="s">
        <v>9</v>
      </c>
      <c r="G3774" s="33">
        <v>0</v>
      </c>
      <c r="H3774" s="33">
        <v>6.4</v>
      </c>
      <c r="I3774" s="30">
        <v>3.9</v>
      </c>
      <c r="J3774" s="33">
        <v>5.2</v>
      </c>
      <c r="K3774" s="30">
        <v>5</v>
      </c>
      <c r="L3774" s="38">
        <v>3.8099999999999996</v>
      </c>
      <c r="M3774" s="30">
        <v>8.5</v>
      </c>
      <c r="O3774" s="38">
        <v>4.5719999999999992</v>
      </c>
      <c r="P3774" s="33">
        <v>9.1</v>
      </c>
      <c r="Q3774" s="33">
        <v>0</v>
      </c>
      <c r="X3774" s="33"/>
      <c r="AB3774" s="33">
        <v>5.6</v>
      </c>
    </row>
    <row r="3775" spans="1:28" x14ac:dyDescent="0.25">
      <c r="A3775" s="22">
        <v>42126</v>
      </c>
      <c r="B3775" s="33"/>
      <c r="C3775" s="30">
        <v>0</v>
      </c>
      <c r="D3775" s="33">
        <v>0</v>
      </c>
      <c r="F3775" s="30" t="s">
        <v>9</v>
      </c>
      <c r="G3775" s="33">
        <v>0</v>
      </c>
      <c r="H3775" s="33">
        <v>0</v>
      </c>
      <c r="I3775" s="30">
        <v>0</v>
      </c>
      <c r="J3775" s="30" t="s">
        <v>9</v>
      </c>
      <c r="K3775" s="30">
        <v>0</v>
      </c>
      <c r="L3775" s="38">
        <v>0</v>
      </c>
      <c r="M3775" s="30"/>
      <c r="O3775" s="38">
        <v>0.50800000000000001</v>
      </c>
      <c r="P3775" s="33">
        <v>0.8</v>
      </c>
      <c r="Q3775" s="33">
        <v>0</v>
      </c>
      <c r="X3775" s="33"/>
      <c r="AB3775" s="33">
        <v>1.4</v>
      </c>
    </row>
    <row r="3776" spans="1:28" x14ac:dyDescent="0.25">
      <c r="A3776" s="22">
        <v>42127</v>
      </c>
      <c r="B3776" s="33"/>
      <c r="C3776" s="30">
        <v>0</v>
      </c>
      <c r="D3776" s="33">
        <v>0</v>
      </c>
      <c r="F3776" s="30" t="s">
        <v>9</v>
      </c>
      <c r="G3776" s="33">
        <v>0</v>
      </c>
      <c r="H3776" s="33">
        <v>0</v>
      </c>
      <c r="I3776" s="30">
        <v>0</v>
      </c>
      <c r="J3776" s="30" t="s">
        <v>9</v>
      </c>
      <c r="K3776" s="30">
        <v>0</v>
      </c>
      <c r="L3776" s="38">
        <v>0</v>
      </c>
      <c r="M3776" s="30"/>
      <c r="O3776" s="38">
        <v>0</v>
      </c>
      <c r="P3776" s="33">
        <v>0</v>
      </c>
      <c r="Q3776" s="33">
        <v>0</v>
      </c>
      <c r="X3776" s="33"/>
      <c r="AB3776" s="33">
        <v>0.2</v>
      </c>
    </row>
    <row r="3777" spans="1:28" x14ac:dyDescent="0.25">
      <c r="A3777" s="22">
        <v>42128</v>
      </c>
      <c r="B3777" s="33"/>
      <c r="C3777" s="30">
        <v>0</v>
      </c>
      <c r="D3777" s="33">
        <v>3.4</v>
      </c>
      <c r="F3777" s="30" t="s">
        <v>9</v>
      </c>
      <c r="G3777" s="33">
        <v>0</v>
      </c>
      <c r="H3777" s="33">
        <v>0</v>
      </c>
      <c r="I3777" s="30">
        <v>0</v>
      </c>
      <c r="J3777" s="33">
        <v>3</v>
      </c>
      <c r="K3777" s="30">
        <v>2.2000000000000002</v>
      </c>
      <c r="L3777" s="38">
        <v>0</v>
      </c>
      <c r="M3777" s="30"/>
      <c r="O3777" s="38">
        <v>0.50800000000000001</v>
      </c>
      <c r="P3777" s="33">
        <v>0</v>
      </c>
      <c r="Q3777" s="33">
        <v>0</v>
      </c>
      <c r="X3777" s="33"/>
      <c r="AB3777" s="33">
        <v>0</v>
      </c>
    </row>
    <row r="3778" spans="1:28" x14ac:dyDescent="0.25">
      <c r="A3778" s="22">
        <v>42129</v>
      </c>
      <c r="B3778" s="33"/>
      <c r="C3778" s="30">
        <v>0</v>
      </c>
      <c r="D3778" s="30">
        <v>0</v>
      </c>
      <c r="F3778" s="30">
        <v>0</v>
      </c>
      <c r="G3778" s="33">
        <v>0</v>
      </c>
      <c r="H3778" s="33">
        <v>0</v>
      </c>
      <c r="I3778" s="30">
        <v>0</v>
      </c>
      <c r="J3778" s="30" t="s">
        <v>9</v>
      </c>
      <c r="K3778" s="30">
        <v>0</v>
      </c>
      <c r="L3778" s="38">
        <v>0</v>
      </c>
      <c r="M3778" s="33"/>
      <c r="O3778" s="38">
        <v>0</v>
      </c>
      <c r="P3778" s="33">
        <v>0</v>
      </c>
      <c r="Q3778" s="33">
        <v>0</v>
      </c>
      <c r="X3778" s="33"/>
      <c r="AB3778" s="33">
        <v>0</v>
      </c>
    </row>
    <row r="3779" spans="1:28" x14ac:dyDescent="0.25">
      <c r="A3779" s="22">
        <v>42130</v>
      </c>
      <c r="B3779" s="33"/>
      <c r="C3779" s="30">
        <v>0</v>
      </c>
      <c r="D3779" s="30">
        <v>0</v>
      </c>
      <c r="F3779" s="30">
        <v>0</v>
      </c>
      <c r="G3779" s="33">
        <v>0</v>
      </c>
      <c r="H3779" s="33">
        <v>0</v>
      </c>
      <c r="I3779" s="30">
        <v>0</v>
      </c>
      <c r="J3779" s="30" t="s">
        <v>9</v>
      </c>
      <c r="K3779" s="30">
        <v>0</v>
      </c>
      <c r="L3779" s="38">
        <v>0</v>
      </c>
      <c r="M3779" s="30"/>
      <c r="O3779" s="38">
        <v>0</v>
      </c>
      <c r="P3779" s="33">
        <v>0</v>
      </c>
      <c r="Q3779" s="33">
        <v>0</v>
      </c>
      <c r="X3779" s="33"/>
      <c r="AB3779" s="33">
        <v>0</v>
      </c>
    </row>
    <row r="3780" spans="1:28" x14ac:dyDescent="0.25">
      <c r="A3780" s="22">
        <v>42131</v>
      </c>
      <c r="B3780" s="33"/>
      <c r="C3780" s="30">
        <v>0</v>
      </c>
      <c r="D3780" s="30">
        <v>0</v>
      </c>
      <c r="F3780" s="30">
        <v>0</v>
      </c>
      <c r="G3780" s="33">
        <v>0</v>
      </c>
      <c r="H3780" s="33">
        <v>0</v>
      </c>
      <c r="I3780" s="33">
        <v>0</v>
      </c>
      <c r="J3780" s="30" t="s">
        <v>9</v>
      </c>
      <c r="K3780" s="30">
        <v>0</v>
      </c>
      <c r="L3780" s="38">
        <v>0</v>
      </c>
      <c r="M3780" s="33"/>
      <c r="O3780" s="38">
        <v>0</v>
      </c>
      <c r="P3780" s="33">
        <v>0</v>
      </c>
      <c r="Q3780" s="33">
        <v>0</v>
      </c>
      <c r="X3780" s="33"/>
      <c r="AB3780" s="33">
        <v>0</v>
      </c>
    </row>
    <row r="3781" spans="1:28" x14ac:dyDescent="0.25">
      <c r="A3781" s="22">
        <v>42132</v>
      </c>
      <c r="B3781" s="33"/>
      <c r="C3781" s="30">
        <v>0</v>
      </c>
      <c r="D3781" s="33">
        <v>0</v>
      </c>
      <c r="F3781" s="30">
        <v>0</v>
      </c>
      <c r="G3781" s="33">
        <v>0</v>
      </c>
      <c r="H3781" s="33">
        <v>0</v>
      </c>
      <c r="I3781" s="30">
        <v>0</v>
      </c>
      <c r="J3781" s="30" t="s">
        <v>9</v>
      </c>
      <c r="K3781" s="30">
        <v>0</v>
      </c>
      <c r="L3781" s="38">
        <v>2.794</v>
      </c>
      <c r="M3781" s="30"/>
      <c r="O3781" s="38">
        <v>0.7619999999999999</v>
      </c>
      <c r="P3781" s="33">
        <v>0</v>
      </c>
      <c r="Q3781" s="33">
        <v>0</v>
      </c>
      <c r="X3781" s="33"/>
      <c r="AB3781" s="33">
        <v>0</v>
      </c>
    </row>
    <row r="3782" spans="1:28" x14ac:dyDescent="0.25">
      <c r="A3782" s="22">
        <v>42133</v>
      </c>
      <c r="B3782" s="33"/>
      <c r="C3782" s="30">
        <v>0</v>
      </c>
      <c r="D3782" s="33">
        <v>0</v>
      </c>
      <c r="F3782" s="30">
        <v>0</v>
      </c>
      <c r="G3782" s="33">
        <v>0</v>
      </c>
      <c r="H3782" s="33">
        <v>0</v>
      </c>
      <c r="I3782" s="30">
        <v>0</v>
      </c>
      <c r="J3782" s="30" t="s">
        <v>9</v>
      </c>
      <c r="K3782" s="30">
        <v>0</v>
      </c>
      <c r="L3782" s="38">
        <v>0</v>
      </c>
      <c r="M3782" s="30"/>
      <c r="O3782" s="38">
        <v>0</v>
      </c>
      <c r="P3782" s="33">
        <v>0</v>
      </c>
      <c r="Q3782" s="33">
        <v>0</v>
      </c>
      <c r="X3782" s="33"/>
      <c r="AB3782" s="33">
        <v>0</v>
      </c>
    </row>
    <row r="3783" spans="1:28" x14ac:dyDescent="0.25">
      <c r="A3783" s="22">
        <v>42134</v>
      </c>
      <c r="B3783" s="33"/>
      <c r="C3783" s="30">
        <v>0</v>
      </c>
      <c r="D3783" s="33">
        <v>0</v>
      </c>
      <c r="F3783" s="30">
        <v>0</v>
      </c>
      <c r="G3783" s="33">
        <v>0</v>
      </c>
      <c r="H3783" s="33">
        <v>0</v>
      </c>
      <c r="I3783" s="30">
        <v>0</v>
      </c>
      <c r="J3783" s="30" t="s">
        <v>9</v>
      </c>
      <c r="K3783" s="30">
        <v>0</v>
      </c>
      <c r="L3783" s="38">
        <v>0</v>
      </c>
      <c r="M3783" s="30"/>
      <c r="O3783" s="38">
        <v>0</v>
      </c>
      <c r="P3783" s="33">
        <v>0</v>
      </c>
      <c r="Q3783" s="33">
        <v>0</v>
      </c>
      <c r="X3783" s="33"/>
      <c r="AB3783" s="33">
        <v>0</v>
      </c>
    </row>
    <row r="3784" spans="1:28" x14ac:dyDescent="0.25">
      <c r="A3784" s="22">
        <v>42135</v>
      </c>
      <c r="B3784" s="33"/>
      <c r="C3784" s="30">
        <v>0</v>
      </c>
      <c r="D3784" s="33">
        <v>0</v>
      </c>
      <c r="F3784" s="30">
        <v>0</v>
      </c>
      <c r="G3784" s="33">
        <v>1.5</v>
      </c>
      <c r="H3784" s="33">
        <v>0</v>
      </c>
      <c r="I3784" s="30">
        <v>0</v>
      </c>
      <c r="J3784" s="30" t="s">
        <v>9</v>
      </c>
      <c r="K3784" s="30">
        <v>0</v>
      </c>
      <c r="L3784" s="38">
        <v>0</v>
      </c>
      <c r="M3784" s="30"/>
      <c r="O3784" s="38">
        <v>1.27</v>
      </c>
      <c r="P3784" s="33">
        <v>0</v>
      </c>
      <c r="Q3784" s="33">
        <v>4.3</v>
      </c>
      <c r="X3784" s="33"/>
      <c r="AB3784" s="33">
        <v>0.2</v>
      </c>
    </row>
    <row r="3785" spans="1:28" x14ac:dyDescent="0.25">
      <c r="A3785" s="22">
        <v>42136</v>
      </c>
      <c r="B3785" s="33"/>
      <c r="C3785" s="33">
        <v>5.0999999999999996</v>
      </c>
      <c r="D3785" s="33">
        <v>8</v>
      </c>
      <c r="F3785" s="30">
        <v>0</v>
      </c>
      <c r="G3785" s="33">
        <v>1</v>
      </c>
      <c r="H3785" s="30">
        <v>0</v>
      </c>
      <c r="I3785" s="30">
        <v>2.1</v>
      </c>
      <c r="J3785" s="33">
        <v>4.2</v>
      </c>
      <c r="K3785" s="30">
        <v>4.8</v>
      </c>
      <c r="L3785" s="38">
        <v>0</v>
      </c>
      <c r="M3785" s="33"/>
      <c r="O3785" s="38">
        <v>1.778</v>
      </c>
      <c r="P3785" s="33">
        <v>0</v>
      </c>
      <c r="Q3785" s="33">
        <v>0.4</v>
      </c>
      <c r="X3785" s="33"/>
      <c r="AB3785" s="33">
        <v>4.5999999999999996</v>
      </c>
    </row>
    <row r="3786" spans="1:28" x14ac:dyDescent="0.25">
      <c r="A3786" s="22">
        <v>42137</v>
      </c>
      <c r="B3786" s="33"/>
      <c r="C3786" s="33">
        <v>2.2000000000000002</v>
      </c>
      <c r="D3786" s="33">
        <v>2.2999999999999998</v>
      </c>
      <c r="F3786" s="30">
        <v>8.9</v>
      </c>
      <c r="G3786" s="30">
        <v>4.5</v>
      </c>
      <c r="H3786" s="30">
        <v>2</v>
      </c>
      <c r="I3786" s="30">
        <v>0.7</v>
      </c>
      <c r="J3786" s="33">
        <v>1.8</v>
      </c>
      <c r="K3786" s="30">
        <v>2.1</v>
      </c>
      <c r="L3786" s="38">
        <v>5.8419999999999996</v>
      </c>
      <c r="M3786" s="33"/>
      <c r="O3786" s="38">
        <v>1.27</v>
      </c>
      <c r="P3786" s="33">
        <v>2.6</v>
      </c>
      <c r="Q3786" s="33">
        <v>0.9</v>
      </c>
      <c r="X3786" s="33"/>
      <c r="AB3786" s="33">
        <v>2</v>
      </c>
    </row>
    <row r="3787" spans="1:28" x14ac:dyDescent="0.25">
      <c r="A3787" s="22">
        <v>42138</v>
      </c>
      <c r="B3787" s="33"/>
      <c r="C3787" s="30">
        <v>2.5</v>
      </c>
      <c r="D3787" s="33">
        <v>4</v>
      </c>
      <c r="F3787" s="30">
        <v>3.1</v>
      </c>
      <c r="G3787" s="30">
        <v>0</v>
      </c>
      <c r="H3787" s="30">
        <v>4</v>
      </c>
      <c r="I3787" s="30">
        <v>5.5</v>
      </c>
      <c r="J3787" s="33">
        <v>3.6</v>
      </c>
      <c r="K3787" s="30">
        <v>3</v>
      </c>
      <c r="L3787" s="38">
        <v>1.5239999999999998</v>
      </c>
      <c r="M3787" s="30"/>
      <c r="O3787" s="38">
        <v>1.27</v>
      </c>
      <c r="P3787" s="33">
        <v>1.8</v>
      </c>
      <c r="Q3787" s="33">
        <v>0</v>
      </c>
      <c r="X3787" s="33"/>
      <c r="AB3787" s="33">
        <v>2.2000000000000002</v>
      </c>
    </row>
    <row r="3788" spans="1:28" x14ac:dyDescent="0.25">
      <c r="A3788" s="22">
        <v>42139</v>
      </c>
      <c r="B3788" s="33">
        <v>13.1</v>
      </c>
      <c r="C3788" s="30">
        <v>1.1000000000000001</v>
      </c>
      <c r="D3788" s="33">
        <v>0</v>
      </c>
      <c r="F3788" s="30">
        <v>0</v>
      </c>
      <c r="G3788" s="30">
        <v>0</v>
      </c>
      <c r="H3788" s="33">
        <v>0</v>
      </c>
      <c r="I3788" s="30">
        <v>0</v>
      </c>
      <c r="J3788" s="30" t="s">
        <v>9</v>
      </c>
      <c r="K3788" s="30">
        <v>0</v>
      </c>
      <c r="L3788" s="38">
        <v>0</v>
      </c>
      <c r="M3788" s="33"/>
      <c r="O3788" s="38">
        <v>0</v>
      </c>
      <c r="P3788" s="33">
        <v>1</v>
      </c>
      <c r="Q3788" s="33">
        <v>0</v>
      </c>
      <c r="X3788" s="33"/>
      <c r="AB3788" s="33">
        <v>0.2</v>
      </c>
    </row>
    <row r="3789" spans="1:28" x14ac:dyDescent="0.25">
      <c r="A3789" s="22">
        <v>42140</v>
      </c>
      <c r="B3789" s="33"/>
      <c r="C3789" s="30" t="s">
        <v>9</v>
      </c>
      <c r="D3789" s="33">
        <v>0</v>
      </c>
      <c r="F3789" s="30">
        <v>0</v>
      </c>
      <c r="G3789" s="30">
        <v>0</v>
      </c>
      <c r="H3789" s="33">
        <v>0</v>
      </c>
      <c r="I3789" s="33">
        <v>0</v>
      </c>
      <c r="J3789" s="30" t="s">
        <v>9</v>
      </c>
      <c r="K3789" s="30">
        <v>0</v>
      </c>
      <c r="L3789" s="38">
        <v>0</v>
      </c>
      <c r="M3789" s="30"/>
      <c r="O3789" s="38">
        <v>0</v>
      </c>
      <c r="P3789" s="33">
        <v>1.9</v>
      </c>
      <c r="Q3789" s="33">
        <v>0</v>
      </c>
      <c r="X3789" s="33"/>
      <c r="AB3789" s="33">
        <v>0.2</v>
      </c>
    </row>
    <row r="3790" spans="1:28" x14ac:dyDescent="0.25">
      <c r="A3790" s="22">
        <v>42141</v>
      </c>
      <c r="B3790" s="33"/>
      <c r="C3790" s="30">
        <v>0</v>
      </c>
      <c r="D3790" s="33">
        <v>0</v>
      </c>
      <c r="F3790" s="30">
        <v>0</v>
      </c>
      <c r="G3790" s="33">
        <v>2.9</v>
      </c>
      <c r="H3790" s="30">
        <v>0</v>
      </c>
      <c r="I3790" s="30">
        <v>0</v>
      </c>
      <c r="J3790" s="30" t="s">
        <v>9</v>
      </c>
      <c r="K3790" s="30">
        <v>0.4</v>
      </c>
      <c r="L3790" s="38">
        <v>0</v>
      </c>
      <c r="M3790" s="30"/>
      <c r="O3790" s="38">
        <v>0</v>
      </c>
      <c r="P3790" s="33">
        <v>0</v>
      </c>
      <c r="Q3790" s="33">
        <v>0</v>
      </c>
      <c r="X3790" s="33"/>
      <c r="AB3790" s="33">
        <v>0</v>
      </c>
    </row>
    <row r="3791" spans="1:28" x14ac:dyDescent="0.25">
      <c r="A3791" s="22">
        <v>42142</v>
      </c>
      <c r="B3791" s="33"/>
      <c r="C3791" s="33">
        <v>0</v>
      </c>
      <c r="D3791" s="30">
        <v>0</v>
      </c>
      <c r="F3791" s="30">
        <v>0</v>
      </c>
      <c r="G3791" s="33">
        <v>0</v>
      </c>
      <c r="H3791" s="30">
        <v>0</v>
      </c>
      <c r="I3791" s="30">
        <v>0</v>
      </c>
      <c r="J3791" s="33">
        <v>0.5</v>
      </c>
      <c r="K3791" s="33">
        <v>0</v>
      </c>
      <c r="L3791" s="38">
        <v>0</v>
      </c>
      <c r="M3791" s="33"/>
      <c r="O3791" s="38">
        <v>0</v>
      </c>
      <c r="P3791" s="33">
        <v>0.7</v>
      </c>
      <c r="Q3791" s="33">
        <v>2.4</v>
      </c>
      <c r="X3791" s="33"/>
      <c r="AB3791" s="33">
        <v>0</v>
      </c>
    </row>
    <row r="3792" spans="1:28" x14ac:dyDescent="0.25">
      <c r="A3792" s="22">
        <v>42143</v>
      </c>
      <c r="B3792" s="33"/>
      <c r="C3792" s="30">
        <v>0.7</v>
      </c>
      <c r="D3792" s="33">
        <v>2</v>
      </c>
      <c r="F3792" s="30">
        <v>0.9</v>
      </c>
      <c r="G3792" s="33">
        <v>0</v>
      </c>
      <c r="H3792" s="30">
        <v>1.8</v>
      </c>
      <c r="I3792" s="30">
        <v>0</v>
      </c>
      <c r="J3792" s="33">
        <v>1</v>
      </c>
      <c r="K3792" s="30">
        <v>0</v>
      </c>
      <c r="L3792" s="38">
        <v>0</v>
      </c>
      <c r="M3792" s="33"/>
      <c r="O3792" s="38">
        <v>1.27</v>
      </c>
      <c r="P3792" s="33">
        <v>0</v>
      </c>
      <c r="Q3792" s="33">
        <v>0</v>
      </c>
      <c r="X3792" s="33"/>
      <c r="AB3792" s="33">
        <v>3.4</v>
      </c>
    </row>
    <row r="3793" spans="1:28" x14ac:dyDescent="0.25">
      <c r="A3793" s="22">
        <v>42144</v>
      </c>
      <c r="B3793" s="33"/>
      <c r="C3793" s="30">
        <v>0</v>
      </c>
      <c r="D3793" s="33">
        <v>0</v>
      </c>
      <c r="F3793" s="30">
        <v>0</v>
      </c>
      <c r="G3793" s="33">
        <v>0</v>
      </c>
      <c r="H3793" s="33">
        <v>0</v>
      </c>
      <c r="I3793" s="30">
        <v>0</v>
      </c>
      <c r="J3793" s="30" t="s">
        <v>9</v>
      </c>
      <c r="K3793" s="33">
        <v>0</v>
      </c>
      <c r="L3793" s="38">
        <v>0</v>
      </c>
      <c r="M3793" s="30"/>
      <c r="O3793" s="38">
        <v>0</v>
      </c>
      <c r="P3793" s="33">
        <v>0</v>
      </c>
      <c r="Q3793" s="33">
        <v>0</v>
      </c>
      <c r="X3793" s="33"/>
      <c r="AB3793" s="33">
        <v>0</v>
      </c>
    </row>
    <row r="3794" spans="1:28" x14ac:dyDescent="0.25">
      <c r="A3794" s="22">
        <v>42145</v>
      </c>
      <c r="B3794" s="33"/>
      <c r="C3794" s="30">
        <v>0</v>
      </c>
      <c r="D3794" s="33">
        <v>0</v>
      </c>
      <c r="F3794" s="30">
        <v>0</v>
      </c>
      <c r="G3794" s="33">
        <v>0</v>
      </c>
      <c r="H3794" s="33">
        <v>0</v>
      </c>
      <c r="I3794" s="30">
        <v>0</v>
      </c>
      <c r="J3794" s="33">
        <v>1.2</v>
      </c>
      <c r="K3794" s="33">
        <v>1.1000000000000001</v>
      </c>
      <c r="L3794" s="38">
        <v>0</v>
      </c>
      <c r="M3794" s="30"/>
      <c r="O3794" s="38">
        <v>0</v>
      </c>
      <c r="P3794" s="33">
        <v>0</v>
      </c>
      <c r="Q3794" s="33">
        <v>0</v>
      </c>
      <c r="X3794" s="33"/>
      <c r="AB3794" s="33">
        <v>0</v>
      </c>
    </row>
    <row r="3795" spans="1:28" x14ac:dyDescent="0.25">
      <c r="A3795" s="22">
        <v>42146</v>
      </c>
      <c r="B3795" s="33"/>
      <c r="C3795" s="30">
        <v>0</v>
      </c>
      <c r="D3795" s="30">
        <v>0</v>
      </c>
      <c r="F3795" s="30">
        <v>1.4</v>
      </c>
      <c r="G3795" s="33">
        <v>0</v>
      </c>
      <c r="H3795" s="30">
        <v>0</v>
      </c>
      <c r="I3795" s="30">
        <v>0</v>
      </c>
      <c r="J3795" s="33">
        <v>0.1</v>
      </c>
      <c r="K3795" s="33">
        <v>0</v>
      </c>
      <c r="L3795" s="38">
        <v>0</v>
      </c>
      <c r="M3795" s="30"/>
      <c r="O3795" s="38">
        <v>0</v>
      </c>
      <c r="P3795" s="33">
        <v>0</v>
      </c>
      <c r="Q3795" s="33">
        <v>0.8</v>
      </c>
      <c r="X3795" s="33"/>
      <c r="AB3795" s="33">
        <v>0</v>
      </c>
    </row>
    <row r="3796" spans="1:28" x14ac:dyDescent="0.25">
      <c r="A3796" s="22">
        <v>42147</v>
      </c>
      <c r="B3796" s="33"/>
      <c r="C3796" s="33">
        <v>0</v>
      </c>
      <c r="D3796" s="30">
        <v>2.7</v>
      </c>
      <c r="F3796" s="30">
        <v>0</v>
      </c>
      <c r="G3796" s="33">
        <v>0</v>
      </c>
      <c r="H3796" s="33">
        <v>0</v>
      </c>
      <c r="I3796" s="33">
        <v>0</v>
      </c>
      <c r="J3796" s="33">
        <v>0.06</v>
      </c>
      <c r="K3796" s="33">
        <v>0</v>
      </c>
      <c r="L3796" s="38">
        <v>0</v>
      </c>
      <c r="M3796" s="33"/>
      <c r="O3796" s="38">
        <v>1.27</v>
      </c>
      <c r="P3796" s="33">
        <v>0</v>
      </c>
      <c r="Q3796" s="33">
        <v>0</v>
      </c>
      <c r="X3796" s="33"/>
      <c r="AB3796" s="33">
        <v>0.2</v>
      </c>
    </row>
    <row r="3797" spans="1:28" x14ac:dyDescent="0.25">
      <c r="A3797" s="22">
        <v>42148</v>
      </c>
      <c r="B3797" s="33"/>
      <c r="C3797" s="33">
        <v>0</v>
      </c>
      <c r="D3797" s="30">
        <v>0</v>
      </c>
      <c r="F3797" s="30">
        <v>0</v>
      </c>
      <c r="G3797" s="33">
        <v>0</v>
      </c>
      <c r="H3797" s="33">
        <v>0</v>
      </c>
      <c r="I3797" s="30">
        <v>0</v>
      </c>
      <c r="J3797" s="33">
        <v>0.8</v>
      </c>
      <c r="K3797" s="30">
        <v>1.3</v>
      </c>
      <c r="L3797" s="38">
        <v>0</v>
      </c>
      <c r="M3797" s="33"/>
      <c r="O3797" s="38">
        <v>0</v>
      </c>
      <c r="P3797" s="33">
        <v>0</v>
      </c>
      <c r="Q3797" s="33">
        <v>0</v>
      </c>
      <c r="X3797" s="33"/>
      <c r="AB3797" s="33">
        <v>0.2</v>
      </c>
    </row>
    <row r="3798" spans="1:28" x14ac:dyDescent="0.25">
      <c r="A3798" s="22">
        <v>42149</v>
      </c>
      <c r="B3798" s="33"/>
      <c r="C3798" s="33">
        <v>0</v>
      </c>
      <c r="D3798" s="30">
        <v>0</v>
      </c>
      <c r="F3798" s="30">
        <v>0</v>
      </c>
      <c r="G3798" s="33">
        <v>13.2</v>
      </c>
      <c r="H3798" s="33">
        <v>0</v>
      </c>
      <c r="I3798" s="33">
        <v>0</v>
      </c>
      <c r="J3798" s="30" t="s">
        <v>9</v>
      </c>
      <c r="K3798" s="30">
        <v>0</v>
      </c>
      <c r="L3798" s="38">
        <v>3.302</v>
      </c>
      <c r="M3798" s="33"/>
      <c r="O3798" s="38">
        <v>0.50800000000000001</v>
      </c>
      <c r="P3798" s="33">
        <v>0</v>
      </c>
      <c r="Q3798" s="33">
        <v>5.7</v>
      </c>
      <c r="X3798" s="33"/>
      <c r="AB3798" s="33">
        <v>0.2</v>
      </c>
    </row>
    <row r="3799" spans="1:28" x14ac:dyDescent="0.25">
      <c r="A3799" s="22">
        <v>42150</v>
      </c>
      <c r="B3799" s="33"/>
      <c r="C3799" s="33">
        <v>12.5</v>
      </c>
      <c r="D3799" s="33">
        <v>18.5</v>
      </c>
      <c r="F3799" s="30">
        <v>0</v>
      </c>
      <c r="G3799" s="33">
        <v>0</v>
      </c>
      <c r="H3799" s="33">
        <v>9.4</v>
      </c>
      <c r="I3799" s="33">
        <v>11.5</v>
      </c>
      <c r="J3799" s="33">
        <v>9.4</v>
      </c>
      <c r="K3799" s="30">
        <v>11</v>
      </c>
      <c r="L3799" s="38">
        <v>0</v>
      </c>
      <c r="M3799" s="33"/>
      <c r="O3799" s="38">
        <v>7.6199999999999992</v>
      </c>
      <c r="P3799" s="33">
        <v>3.9</v>
      </c>
      <c r="Q3799" s="33">
        <v>0</v>
      </c>
      <c r="X3799" s="33"/>
      <c r="AB3799" s="33">
        <v>11.2</v>
      </c>
    </row>
    <row r="3800" spans="1:28" x14ac:dyDescent="0.25">
      <c r="A3800" s="22">
        <v>42151</v>
      </c>
      <c r="B3800" s="33"/>
      <c r="C3800" s="33">
        <v>0</v>
      </c>
      <c r="D3800" s="33">
        <v>0</v>
      </c>
      <c r="F3800" s="30">
        <v>0</v>
      </c>
      <c r="G3800" s="33">
        <v>7.4</v>
      </c>
      <c r="H3800" s="33">
        <v>0</v>
      </c>
      <c r="I3800" s="33">
        <v>0</v>
      </c>
      <c r="J3800" s="30" t="s">
        <v>9</v>
      </c>
      <c r="K3800" s="33">
        <v>0</v>
      </c>
      <c r="L3800" s="38">
        <v>0</v>
      </c>
      <c r="M3800" s="33"/>
      <c r="O3800" s="38">
        <v>0.50800000000000001</v>
      </c>
      <c r="P3800" s="33">
        <v>0</v>
      </c>
      <c r="Q3800" s="33">
        <v>13.6</v>
      </c>
      <c r="X3800" s="33"/>
      <c r="AB3800" s="33">
        <v>0.2</v>
      </c>
    </row>
    <row r="3801" spans="1:28" x14ac:dyDescent="0.25">
      <c r="A3801" s="22">
        <v>42152</v>
      </c>
      <c r="B3801" s="33"/>
      <c r="C3801" s="33">
        <v>7.3</v>
      </c>
      <c r="D3801" s="33">
        <v>10</v>
      </c>
      <c r="F3801" s="30">
        <v>12.5</v>
      </c>
      <c r="G3801" s="33">
        <v>15.1</v>
      </c>
      <c r="H3801" s="33">
        <v>3.7</v>
      </c>
      <c r="I3801" s="30">
        <v>0</v>
      </c>
      <c r="J3801" s="33">
        <v>8.8000000000000007</v>
      </c>
      <c r="K3801" s="33">
        <v>9.6</v>
      </c>
      <c r="L3801" s="38">
        <v>10.921999999999999</v>
      </c>
      <c r="M3801" s="33"/>
      <c r="O3801" s="38">
        <v>6.35</v>
      </c>
      <c r="P3801" s="33">
        <v>8.8000000000000007</v>
      </c>
      <c r="Q3801" s="33">
        <v>11.7</v>
      </c>
      <c r="X3801" s="33"/>
      <c r="AB3801" s="33">
        <v>11.4</v>
      </c>
    </row>
    <row r="3802" spans="1:28" x14ac:dyDescent="0.25">
      <c r="A3802" s="22">
        <v>42153</v>
      </c>
      <c r="B3802" s="33"/>
      <c r="C3802" s="33">
        <v>14.9</v>
      </c>
      <c r="D3802" s="33">
        <v>15.3</v>
      </c>
      <c r="F3802" s="30">
        <v>14</v>
      </c>
      <c r="G3802" s="33">
        <v>3.2</v>
      </c>
      <c r="H3802" s="33">
        <v>13.7</v>
      </c>
      <c r="I3802" s="30">
        <v>18.5</v>
      </c>
      <c r="J3802" s="33">
        <v>16.2</v>
      </c>
      <c r="K3802" s="33">
        <v>20</v>
      </c>
      <c r="L3802" s="38">
        <v>13.462</v>
      </c>
      <c r="M3802" s="33"/>
      <c r="O3802" s="38">
        <v>13.97</v>
      </c>
      <c r="P3802" s="33">
        <v>7.4</v>
      </c>
      <c r="Q3802" s="33">
        <v>1.7</v>
      </c>
      <c r="X3802" s="33"/>
      <c r="AB3802" s="33">
        <v>17.600000000000001</v>
      </c>
    </row>
    <row r="3803" spans="1:28" x14ac:dyDescent="0.25">
      <c r="A3803" s="22">
        <v>42154</v>
      </c>
      <c r="B3803" s="33"/>
      <c r="C3803" s="33">
        <v>2.9</v>
      </c>
      <c r="D3803" s="33">
        <v>0</v>
      </c>
      <c r="F3803" s="30">
        <v>3.7</v>
      </c>
      <c r="G3803" s="33">
        <v>9</v>
      </c>
      <c r="H3803" s="33">
        <v>1.6</v>
      </c>
      <c r="I3803" s="30">
        <v>1.8</v>
      </c>
      <c r="J3803" s="33">
        <v>6.1</v>
      </c>
      <c r="K3803" s="33">
        <v>0</v>
      </c>
      <c r="L3803" s="38">
        <v>2.794</v>
      </c>
      <c r="M3803" s="33"/>
      <c r="O3803" s="38">
        <v>12.7</v>
      </c>
      <c r="P3803" s="33">
        <v>0</v>
      </c>
      <c r="Q3803" s="33">
        <v>2.9</v>
      </c>
      <c r="X3803" s="33"/>
      <c r="AB3803" s="33"/>
    </row>
    <row r="3804" spans="1:28" x14ac:dyDescent="0.25">
      <c r="A3804" s="22">
        <v>42155</v>
      </c>
      <c r="B3804" s="33">
        <v>54.3</v>
      </c>
      <c r="C3804" s="33">
        <v>3.9</v>
      </c>
      <c r="D3804" s="33">
        <v>11.3</v>
      </c>
      <c r="F3804" s="30">
        <v>3.6</v>
      </c>
      <c r="G3804" s="33">
        <v>1</v>
      </c>
      <c r="H3804" s="33">
        <v>5.4</v>
      </c>
      <c r="I3804" s="30">
        <v>0</v>
      </c>
      <c r="J3804" s="33">
        <v>9.6999999999999993</v>
      </c>
      <c r="K3804" s="33">
        <v>8.3000000000000007</v>
      </c>
      <c r="L3804" s="38">
        <v>3.0479999999999996</v>
      </c>
      <c r="M3804" s="33">
        <v>49.8</v>
      </c>
      <c r="O3804" s="38">
        <v>8.8899999999999988</v>
      </c>
      <c r="P3804" s="33">
        <v>13.1</v>
      </c>
      <c r="Q3804" s="33">
        <v>0.8</v>
      </c>
      <c r="X3804" s="33"/>
      <c r="AB3804" s="33"/>
    </row>
    <row r="3805" spans="1:28" x14ac:dyDescent="0.25">
      <c r="A3805" s="22">
        <v>42156</v>
      </c>
      <c r="B3805" s="33"/>
      <c r="C3805" s="33">
        <v>10.6</v>
      </c>
      <c r="D3805" s="33">
        <v>6.5</v>
      </c>
      <c r="F3805" s="33"/>
      <c r="G3805" s="33">
        <v>0</v>
      </c>
      <c r="H3805" s="33">
        <v>0</v>
      </c>
      <c r="I3805" s="30">
        <v>7.4</v>
      </c>
      <c r="J3805" s="33"/>
      <c r="K3805" s="30">
        <v>2.4</v>
      </c>
      <c r="L3805" s="38">
        <v>1.016</v>
      </c>
      <c r="M3805" s="30"/>
      <c r="O3805" s="38">
        <v>2.54</v>
      </c>
      <c r="P3805" s="33">
        <v>1.2</v>
      </c>
      <c r="Q3805" s="33">
        <v>0</v>
      </c>
      <c r="X3805" s="33"/>
      <c r="AB3805" s="33">
        <v>5.6</v>
      </c>
    </row>
    <row r="3806" spans="1:28" x14ac:dyDescent="0.25">
      <c r="A3806" s="22">
        <v>42157</v>
      </c>
      <c r="B3806" s="33"/>
      <c r="C3806" s="30">
        <v>0.6</v>
      </c>
      <c r="D3806" s="33">
        <v>3</v>
      </c>
      <c r="F3806" s="33"/>
      <c r="G3806" s="33">
        <v>1.3</v>
      </c>
      <c r="H3806" s="33">
        <v>0</v>
      </c>
      <c r="I3806" s="30">
        <v>1.1000000000000001</v>
      </c>
      <c r="J3806" s="30"/>
      <c r="K3806" s="30">
        <v>0.6</v>
      </c>
      <c r="L3806" s="38">
        <v>0.7619999999999999</v>
      </c>
      <c r="M3806" s="30"/>
      <c r="O3806" s="38">
        <v>1.27</v>
      </c>
      <c r="P3806" s="33">
        <v>0</v>
      </c>
      <c r="Q3806" s="33">
        <v>0.7</v>
      </c>
      <c r="X3806" s="33"/>
      <c r="AB3806" s="33">
        <v>1.4</v>
      </c>
    </row>
    <row r="3807" spans="1:28" x14ac:dyDescent="0.25">
      <c r="A3807" s="22">
        <v>42158</v>
      </c>
      <c r="B3807" s="33"/>
      <c r="C3807" s="30">
        <v>0</v>
      </c>
      <c r="D3807" s="33">
        <v>0</v>
      </c>
      <c r="F3807" s="33"/>
      <c r="G3807" s="33">
        <v>0.5</v>
      </c>
      <c r="H3807" s="33">
        <v>1</v>
      </c>
      <c r="I3807" s="30">
        <v>0</v>
      </c>
      <c r="J3807" s="30"/>
      <c r="K3807" s="30">
        <v>2.2000000000000002</v>
      </c>
      <c r="L3807" s="38">
        <v>1.778</v>
      </c>
      <c r="M3807" s="30"/>
      <c r="O3807" s="38">
        <v>0</v>
      </c>
      <c r="P3807" s="33">
        <v>1.3</v>
      </c>
      <c r="Q3807" s="33">
        <v>0.5</v>
      </c>
      <c r="X3807" s="33"/>
      <c r="AB3807" s="33">
        <v>0.2</v>
      </c>
    </row>
    <row r="3808" spans="1:28" x14ac:dyDescent="0.25">
      <c r="A3808" s="22">
        <v>42159</v>
      </c>
      <c r="B3808" s="33"/>
      <c r="C3808" s="30" t="s">
        <v>9</v>
      </c>
      <c r="D3808" s="33">
        <v>0</v>
      </c>
      <c r="F3808" s="33"/>
      <c r="G3808" s="33">
        <v>5.5</v>
      </c>
      <c r="H3808" s="33">
        <v>0</v>
      </c>
      <c r="I3808" s="30">
        <v>0</v>
      </c>
      <c r="J3808" s="33"/>
      <c r="K3808" s="30">
        <v>0.3</v>
      </c>
      <c r="L3808" s="38">
        <v>0</v>
      </c>
      <c r="M3808" s="30"/>
      <c r="O3808" s="38">
        <v>0</v>
      </c>
      <c r="P3808" s="33">
        <v>0</v>
      </c>
      <c r="Q3808" s="33">
        <v>7.9</v>
      </c>
      <c r="X3808" s="33"/>
      <c r="AB3808" s="33">
        <v>0</v>
      </c>
    </row>
    <row r="3809" spans="1:28" x14ac:dyDescent="0.25">
      <c r="A3809" s="22">
        <v>42160</v>
      </c>
      <c r="B3809" s="33"/>
      <c r="C3809" s="30">
        <v>2.8</v>
      </c>
      <c r="D3809" s="30">
        <v>3.8</v>
      </c>
      <c r="F3809" s="33"/>
      <c r="G3809" s="33">
        <v>0</v>
      </c>
      <c r="H3809" s="33">
        <v>2.4</v>
      </c>
      <c r="I3809" s="30">
        <v>4.4000000000000004</v>
      </c>
      <c r="J3809" s="30"/>
      <c r="K3809" s="30">
        <v>3.9</v>
      </c>
      <c r="L3809" s="38">
        <v>10.413999999999998</v>
      </c>
      <c r="M3809" s="33"/>
      <c r="O3809" s="38">
        <v>1.27</v>
      </c>
      <c r="P3809" s="33">
        <v>11.4</v>
      </c>
      <c r="Q3809" s="33">
        <v>0.5</v>
      </c>
      <c r="X3809" s="33"/>
      <c r="AB3809" s="33">
        <v>0</v>
      </c>
    </row>
    <row r="3810" spans="1:28" x14ac:dyDescent="0.25">
      <c r="A3810" s="22">
        <v>42161</v>
      </c>
      <c r="B3810" s="33"/>
      <c r="C3810" s="30" t="s">
        <v>9</v>
      </c>
      <c r="D3810" s="30">
        <v>0</v>
      </c>
      <c r="F3810" s="33"/>
      <c r="G3810" s="33">
        <v>0</v>
      </c>
      <c r="H3810" s="33">
        <v>0</v>
      </c>
      <c r="I3810" s="30">
        <v>0</v>
      </c>
      <c r="J3810" s="30"/>
      <c r="K3810" s="30">
        <v>0</v>
      </c>
      <c r="L3810" s="38">
        <v>0</v>
      </c>
      <c r="M3810" s="30"/>
      <c r="O3810" s="38">
        <v>6.35</v>
      </c>
      <c r="P3810" s="33">
        <v>0</v>
      </c>
      <c r="Q3810" s="33">
        <v>0</v>
      </c>
      <c r="X3810" s="33"/>
      <c r="AB3810" s="33">
        <v>0</v>
      </c>
    </row>
    <row r="3811" spans="1:28" x14ac:dyDescent="0.25">
      <c r="A3811" s="22">
        <v>42162</v>
      </c>
      <c r="B3811" s="33"/>
      <c r="C3811" s="30">
        <v>1.1000000000000001</v>
      </c>
      <c r="D3811" s="30">
        <v>0</v>
      </c>
      <c r="F3811" s="33"/>
      <c r="G3811" s="33">
        <v>0.5</v>
      </c>
      <c r="H3811" s="33">
        <v>0</v>
      </c>
      <c r="I3811" s="33">
        <v>0.5</v>
      </c>
      <c r="J3811" s="30"/>
      <c r="K3811" s="30">
        <v>3.3</v>
      </c>
      <c r="L3811" s="38">
        <v>0</v>
      </c>
      <c r="M3811" s="33"/>
      <c r="O3811" s="38">
        <v>0</v>
      </c>
      <c r="P3811" s="33">
        <v>0</v>
      </c>
      <c r="Q3811" s="33">
        <v>2.6</v>
      </c>
      <c r="X3811" s="33"/>
      <c r="AB3811" s="33">
        <v>0</v>
      </c>
    </row>
    <row r="3812" spans="1:28" x14ac:dyDescent="0.25">
      <c r="A3812" s="22">
        <v>42163</v>
      </c>
      <c r="B3812" s="33"/>
      <c r="C3812" s="30">
        <v>2.1</v>
      </c>
      <c r="D3812" s="33">
        <v>1</v>
      </c>
      <c r="F3812" s="33"/>
      <c r="G3812" s="33">
        <v>0</v>
      </c>
      <c r="H3812" s="33">
        <v>0</v>
      </c>
      <c r="I3812" s="30">
        <v>0.5</v>
      </c>
      <c r="J3812" s="30"/>
      <c r="K3812" s="30">
        <v>0.4</v>
      </c>
      <c r="L3812" s="38">
        <v>0</v>
      </c>
      <c r="M3812" s="30"/>
      <c r="O3812" s="38">
        <v>3.302</v>
      </c>
      <c r="P3812" s="33">
        <v>0</v>
      </c>
      <c r="Q3812" s="33">
        <v>0.2</v>
      </c>
      <c r="X3812" s="33"/>
      <c r="AB3812" s="33">
        <v>0</v>
      </c>
    </row>
    <row r="3813" spans="1:28" x14ac:dyDescent="0.25">
      <c r="A3813" s="22">
        <v>42164</v>
      </c>
      <c r="B3813" s="33"/>
      <c r="C3813" s="30" t="s">
        <v>9</v>
      </c>
      <c r="D3813" s="33">
        <v>0</v>
      </c>
      <c r="F3813" s="33"/>
      <c r="G3813" s="33">
        <v>0</v>
      </c>
      <c r="H3813" s="33">
        <v>0</v>
      </c>
      <c r="I3813" s="30">
        <v>0</v>
      </c>
      <c r="J3813" s="30"/>
      <c r="K3813" s="30">
        <v>0</v>
      </c>
      <c r="L3813" s="38">
        <v>0</v>
      </c>
      <c r="M3813" s="30"/>
      <c r="O3813" s="38">
        <v>0.7619999999999999</v>
      </c>
      <c r="P3813" s="33">
        <v>0</v>
      </c>
      <c r="Q3813" s="33">
        <v>0</v>
      </c>
      <c r="X3813" s="33"/>
      <c r="AB3813" s="33">
        <v>0</v>
      </c>
    </row>
    <row r="3814" spans="1:28" x14ac:dyDescent="0.25">
      <c r="A3814" s="22">
        <v>42165</v>
      </c>
      <c r="B3814" s="33"/>
      <c r="C3814" s="30">
        <v>0.3</v>
      </c>
      <c r="D3814" s="33">
        <v>2.1</v>
      </c>
      <c r="F3814" s="33"/>
      <c r="G3814" s="33">
        <v>38.6</v>
      </c>
      <c r="H3814" s="33">
        <v>0</v>
      </c>
      <c r="I3814" s="30">
        <v>0.5</v>
      </c>
      <c r="J3814" s="30"/>
      <c r="K3814" s="30">
        <v>0.7</v>
      </c>
      <c r="L3814" s="38">
        <v>0.50800000000000001</v>
      </c>
      <c r="M3814" s="30"/>
      <c r="O3814" s="38">
        <v>1.27</v>
      </c>
      <c r="P3814" s="33">
        <v>0</v>
      </c>
      <c r="Q3814" s="33">
        <v>22.5</v>
      </c>
      <c r="X3814" s="33"/>
      <c r="AB3814" s="33">
        <v>0</v>
      </c>
    </row>
    <row r="3815" spans="1:28" x14ac:dyDescent="0.25">
      <c r="A3815" s="22">
        <v>42166</v>
      </c>
      <c r="B3815" s="33"/>
      <c r="C3815" s="30">
        <v>34.1</v>
      </c>
      <c r="D3815" s="33">
        <v>33</v>
      </c>
      <c r="F3815" s="33"/>
      <c r="G3815" s="33">
        <v>4.0999999999999996</v>
      </c>
      <c r="H3815" s="33">
        <v>20.5</v>
      </c>
      <c r="I3815" s="30">
        <v>31.7</v>
      </c>
      <c r="J3815" s="30"/>
      <c r="K3815" s="30">
        <v>2.2999999999999998</v>
      </c>
      <c r="L3815" s="38">
        <v>22.097999999999999</v>
      </c>
      <c r="M3815" s="30"/>
      <c r="O3815" s="38">
        <v>26.416</v>
      </c>
      <c r="P3815" s="33">
        <v>17.899999999999999</v>
      </c>
      <c r="Q3815" s="33">
        <v>2</v>
      </c>
      <c r="X3815" s="33"/>
      <c r="AB3815" s="33">
        <v>0.2</v>
      </c>
    </row>
    <row r="3816" spans="1:28" x14ac:dyDescent="0.25">
      <c r="A3816" s="22">
        <v>42167</v>
      </c>
      <c r="B3816" s="33"/>
      <c r="C3816" s="33">
        <v>2.5</v>
      </c>
      <c r="D3816" s="33">
        <v>1</v>
      </c>
      <c r="F3816" s="33"/>
      <c r="G3816" s="33">
        <v>0.5</v>
      </c>
      <c r="H3816" s="30">
        <v>2.2999999999999998</v>
      </c>
      <c r="I3816" s="30">
        <v>4.4000000000000004</v>
      </c>
      <c r="J3816" s="33"/>
      <c r="K3816" s="30">
        <v>4.8</v>
      </c>
      <c r="L3816" s="38">
        <v>1.016</v>
      </c>
      <c r="M3816" s="33"/>
      <c r="O3816" s="38">
        <v>4.3180000000000005</v>
      </c>
      <c r="P3816" s="33">
        <v>0.5</v>
      </c>
      <c r="Q3816" s="33">
        <v>0.9</v>
      </c>
      <c r="X3816" s="33"/>
      <c r="AB3816" s="33">
        <v>4.5999999999999996</v>
      </c>
    </row>
    <row r="3817" spans="1:28" x14ac:dyDescent="0.25">
      <c r="A3817" s="22">
        <v>42168</v>
      </c>
      <c r="B3817" s="33"/>
      <c r="C3817" s="33">
        <v>5.6</v>
      </c>
      <c r="D3817" s="33">
        <v>1.3</v>
      </c>
      <c r="F3817" s="33"/>
      <c r="G3817" s="30">
        <v>0.6</v>
      </c>
      <c r="H3817" s="30">
        <v>0</v>
      </c>
      <c r="I3817" s="30">
        <v>0.5</v>
      </c>
      <c r="J3817" s="33"/>
      <c r="K3817" s="30">
        <v>1.5</v>
      </c>
      <c r="L3817" s="38">
        <v>1.5239999999999998</v>
      </c>
      <c r="M3817" s="33"/>
      <c r="O3817" s="38">
        <v>1.5239999999999998</v>
      </c>
      <c r="P3817" s="33">
        <v>0</v>
      </c>
      <c r="Q3817" s="33">
        <v>1.8</v>
      </c>
      <c r="X3817" s="33"/>
      <c r="AB3817" s="33">
        <v>2</v>
      </c>
    </row>
    <row r="3818" spans="1:28" x14ac:dyDescent="0.25">
      <c r="A3818" s="22">
        <v>42169</v>
      </c>
      <c r="B3818" s="33"/>
      <c r="C3818" s="30">
        <v>3.2</v>
      </c>
      <c r="D3818" s="33">
        <v>6.8</v>
      </c>
      <c r="F3818" s="33"/>
      <c r="G3818" s="30">
        <v>8.9</v>
      </c>
      <c r="H3818" s="30">
        <v>0.7</v>
      </c>
      <c r="I3818" s="30">
        <v>0</v>
      </c>
      <c r="J3818" s="33"/>
      <c r="K3818" s="30">
        <v>0</v>
      </c>
      <c r="L3818" s="38">
        <v>2.794</v>
      </c>
      <c r="M3818" s="30"/>
      <c r="O3818" s="38">
        <v>4.5719999999999992</v>
      </c>
      <c r="P3818" s="33">
        <v>1.9</v>
      </c>
      <c r="Q3818" s="33">
        <v>0.6</v>
      </c>
      <c r="X3818" s="33"/>
      <c r="AB3818" s="33">
        <v>2.2000000000000002</v>
      </c>
    </row>
    <row r="3819" spans="1:28" x14ac:dyDescent="0.25">
      <c r="A3819" s="22">
        <v>42170</v>
      </c>
      <c r="B3819" s="33"/>
      <c r="C3819" s="30">
        <v>2.5</v>
      </c>
      <c r="D3819" s="33">
        <v>3.4</v>
      </c>
      <c r="F3819" s="33"/>
      <c r="G3819" s="30">
        <v>30.5</v>
      </c>
      <c r="H3819" s="33">
        <v>0</v>
      </c>
      <c r="I3819" s="30">
        <v>6.6</v>
      </c>
      <c r="J3819" s="30"/>
      <c r="K3819" s="30">
        <v>5.8</v>
      </c>
      <c r="L3819" s="38">
        <v>0</v>
      </c>
      <c r="M3819" s="33"/>
      <c r="O3819" s="38">
        <v>2.032</v>
      </c>
      <c r="P3819" s="33">
        <v>0</v>
      </c>
      <c r="Q3819" s="33">
        <v>40</v>
      </c>
      <c r="X3819" s="33"/>
      <c r="AB3819" s="33">
        <v>0.2</v>
      </c>
    </row>
    <row r="3820" spans="1:28" x14ac:dyDescent="0.25">
      <c r="A3820" s="22">
        <v>42171</v>
      </c>
      <c r="B3820" s="33"/>
      <c r="C3820" s="30">
        <v>37.5</v>
      </c>
      <c r="D3820" s="33">
        <v>31.3</v>
      </c>
      <c r="F3820" s="33"/>
      <c r="G3820" s="30">
        <v>5.2</v>
      </c>
      <c r="H3820" s="33">
        <v>28</v>
      </c>
      <c r="I3820" s="33">
        <v>20.2</v>
      </c>
      <c r="J3820" s="30"/>
      <c r="K3820" s="30">
        <v>52.7</v>
      </c>
      <c r="L3820" s="38">
        <v>35.559999999999995</v>
      </c>
      <c r="M3820" s="30"/>
      <c r="O3820" s="38">
        <v>37.591999999999999</v>
      </c>
      <c r="P3820" s="33">
        <v>30.9</v>
      </c>
      <c r="Q3820" s="33">
        <v>1.3</v>
      </c>
      <c r="X3820" s="33"/>
      <c r="AB3820" s="33">
        <v>0.2</v>
      </c>
    </row>
    <row r="3821" spans="1:28" x14ac:dyDescent="0.25">
      <c r="A3821" s="22">
        <v>42172</v>
      </c>
      <c r="B3821" s="33"/>
      <c r="C3821" s="30">
        <v>7.8</v>
      </c>
      <c r="D3821" s="33">
        <v>3.8</v>
      </c>
      <c r="F3821" s="33"/>
      <c r="G3821" s="33">
        <v>0.3</v>
      </c>
      <c r="H3821" s="30">
        <v>2.5</v>
      </c>
      <c r="I3821" s="30">
        <v>0</v>
      </c>
      <c r="J3821" s="30"/>
      <c r="K3821" s="30">
        <v>6</v>
      </c>
      <c r="L3821" s="38">
        <v>1.27</v>
      </c>
      <c r="M3821" s="30"/>
      <c r="O3821" s="38">
        <v>5.5880000000000001</v>
      </c>
      <c r="P3821" s="33">
        <v>2.2999999999999998</v>
      </c>
      <c r="Q3821" s="33">
        <v>0.4</v>
      </c>
      <c r="X3821" s="33"/>
      <c r="AB3821" s="33">
        <v>0</v>
      </c>
    </row>
    <row r="3822" spans="1:28" x14ac:dyDescent="0.25">
      <c r="A3822" s="22">
        <v>42173</v>
      </c>
      <c r="B3822" s="33"/>
      <c r="C3822" s="33">
        <v>0</v>
      </c>
      <c r="D3822" s="30">
        <v>1.3</v>
      </c>
      <c r="F3822" s="33"/>
      <c r="G3822" s="33">
        <v>0</v>
      </c>
      <c r="H3822" s="30">
        <v>0</v>
      </c>
      <c r="I3822" s="30">
        <v>2.5</v>
      </c>
      <c r="J3822" s="33"/>
      <c r="K3822" s="33">
        <v>1.1000000000000001</v>
      </c>
      <c r="L3822" s="38">
        <v>2.032</v>
      </c>
      <c r="M3822" s="33"/>
      <c r="O3822" s="38">
        <v>6.35</v>
      </c>
      <c r="P3822" s="33">
        <v>0</v>
      </c>
      <c r="Q3822" s="33">
        <v>0</v>
      </c>
      <c r="X3822" s="33"/>
      <c r="AB3822" s="33">
        <v>0</v>
      </c>
    </row>
    <row r="3823" spans="1:28" x14ac:dyDescent="0.25">
      <c r="A3823" s="22">
        <v>42174</v>
      </c>
      <c r="B3823" s="33"/>
      <c r="C3823" s="30">
        <v>0.5</v>
      </c>
      <c r="D3823" s="33">
        <v>0</v>
      </c>
      <c r="F3823" s="33"/>
      <c r="G3823" s="33">
        <v>0</v>
      </c>
      <c r="H3823" s="30">
        <v>0</v>
      </c>
      <c r="I3823" s="30">
        <v>0</v>
      </c>
      <c r="J3823" s="33"/>
      <c r="K3823" s="30">
        <v>0</v>
      </c>
      <c r="L3823" s="38">
        <v>0</v>
      </c>
      <c r="M3823" s="33">
        <v>93.3</v>
      </c>
      <c r="O3823" s="38">
        <v>1.5239999999999998</v>
      </c>
      <c r="P3823" s="33">
        <v>0</v>
      </c>
      <c r="Q3823" s="33">
        <v>1</v>
      </c>
      <c r="X3823" s="33"/>
      <c r="AB3823" s="33">
        <v>3.4</v>
      </c>
    </row>
    <row r="3824" spans="1:28" x14ac:dyDescent="0.25">
      <c r="A3824" s="22">
        <v>42175</v>
      </c>
      <c r="B3824" s="33"/>
      <c r="C3824" s="30" t="s">
        <v>9</v>
      </c>
      <c r="D3824" s="33">
        <v>0</v>
      </c>
      <c r="F3824" s="33"/>
      <c r="G3824" s="33">
        <v>3.6</v>
      </c>
      <c r="H3824" s="33">
        <v>0</v>
      </c>
      <c r="I3824" s="30">
        <v>0</v>
      </c>
      <c r="J3824" s="30"/>
      <c r="K3824" s="33">
        <v>2.6</v>
      </c>
      <c r="L3824" s="38">
        <v>0</v>
      </c>
      <c r="M3824" s="30">
        <v>2</v>
      </c>
      <c r="O3824" s="38">
        <v>2.032</v>
      </c>
      <c r="P3824" s="33">
        <v>0</v>
      </c>
      <c r="Q3824" s="33">
        <v>1.4</v>
      </c>
      <c r="X3824" s="33"/>
      <c r="AB3824" s="33">
        <v>0</v>
      </c>
    </row>
    <row r="3825" spans="1:28" x14ac:dyDescent="0.25">
      <c r="A3825" s="22">
        <v>42176</v>
      </c>
      <c r="B3825" s="33"/>
      <c r="C3825" s="30">
        <v>2.1</v>
      </c>
      <c r="D3825" s="33">
        <v>3.5</v>
      </c>
      <c r="F3825" s="33"/>
      <c r="G3825" s="33">
        <v>6.1</v>
      </c>
      <c r="H3825" s="33">
        <v>0</v>
      </c>
      <c r="I3825" s="30">
        <v>2</v>
      </c>
      <c r="J3825" s="33"/>
      <c r="K3825" s="33">
        <v>3</v>
      </c>
      <c r="L3825" s="38">
        <v>3.0479999999999996</v>
      </c>
      <c r="M3825" s="30">
        <v>3.4</v>
      </c>
      <c r="O3825" s="38">
        <v>4.0640000000000001</v>
      </c>
      <c r="P3825" s="33">
        <v>0.7</v>
      </c>
      <c r="Q3825" s="33">
        <v>4.9000000000000004</v>
      </c>
      <c r="X3825" s="33"/>
      <c r="AB3825" s="33">
        <v>0</v>
      </c>
    </row>
    <row r="3826" spans="1:28" x14ac:dyDescent="0.25">
      <c r="A3826" s="22">
        <v>42177</v>
      </c>
      <c r="B3826" s="33"/>
      <c r="C3826" s="30">
        <v>8.4</v>
      </c>
      <c r="D3826" s="30">
        <v>9.1</v>
      </c>
      <c r="F3826" s="33"/>
      <c r="G3826" s="33">
        <v>6.6</v>
      </c>
      <c r="H3826" s="30">
        <v>2.4</v>
      </c>
      <c r="I3826" s="30">
        <v>4.3</v>
      </c>
      <c r="J3826" s="33"/>
      <c r="K3826" s="33">
        <v>8.1</v>
      </c>
      <c r="L3826" s="38">
        <v>7.8739999999999997</v>
      </c>
      <c r="M3826" s="30">
        <v>5.7</v>
      </c>
      <c r="O3826" s="38">
        <v>6.0959999999999992</v>
      </c>
      <c r="P3826" s="33">
        <v>1.3</v>
      </c>
      <c r="Q3826" s="33">
        <v>1.2</v>
      </c>
      <c r="X3826" s="33"/>
      <c r="AB3826" s="33">
        <v>0</v>
      </c>
    </row>
    <row r="3827" spans="1:28" x14ac:dyDescent="0.25">
      <c r="A3827" s="22">
        <v>42178</v>
      </c>
      <c r="B3827" s="33"/>
      <c r="C3827" s="33">
        <v>5.0999999999999996</v>
      </c>
      <c r="D3827" s="30">
        <v>8.6</v>
      </c>
      <c r="F3827" s="33"/>
      <c r="G3827" s="33">
        <v>1.4</v>
      </c>
      <c r="H3827" s="33">
        <v>3.6</v>
      </c>
      <c r="I3827" s="33">
        <v>3.5</v>
      </c>
      <c r="J3827" s="33"/>
      <c r="K3827" s="33">
        <v>11.2</v>
      </c>
      <c r="L3827" s="38">
        <v>2.794</v>
      </c>
      <c r="M3827" s="33">
        <v>6.2</v>
      </c>
      <c r="O3827" s="38">
        <v>5.08</v>
      </c>
      <c r="P3827" s="33">
        <v>4.7</v>
      </c>
      <c r="Q3827" s="33">
        <v>1.7</v>
      </c>
      <c r="X3827" s="33"/>
      <c r="AB3827" s="33">
        <v>0.2</v>
      </c>
    </row>
    <row r="3828" spans="1:28" x14ac:dyDescent="0.25">
      <c r="A3828" s="22">
        <v>42179</v>
      </c>
      <c r="B3828" s="33"/>
      <c r="C3828" s="33">
        <v>5.5</v>
      </c>
      <c r="D3828" s="30">
        <v>4.0999999999999996</v>
      </c>
      <c r="F3828" s="33"/>
      <c r="G3828" s="33">
        <v>0</v>
      </c>
      <c r="H3828" s="33">
        <v>0</v>
      </c>
      <c r="I3828" s="30">
        <v>3</v>
      </c>
      <c r="J3828" s="33"/>
      <c r="K3828" s="30">
        <v>3.4</v>
      </c>
      <c r="L3828" s="38">
        <v>3.302</v>
      </c>
      <c r="M3828" s="33">
        <v>0.6</v>
      </c>
      <c r="O3828" s="38">
        <v>1.27</v>
      </c>
      <c r="P3828" s="33">
        <v>3.1</v>
      </c>
      <c r="Q3828" s="33">
        <v>0.5</v>
      </c>
      <c r="X3828" s="33"/>
      <c r="AB3828" s="33">
        <v>0.2</v>
      </c>
    </row>
    <row r="3829" spans="1:28" x14ac:dyDescent="0.25">
      <c r="A3829" s="22">
        <v>42180</v>
      </c>
      <c r="B3829" s="33"/>
      <c r="C3829" s="33">
        <v>0.4</v>
      </c>
      <c r="D3829" s="30">
        <v>0</v>
      </c>
      <c r="F3829" s="33"/>
      <c r="G3829" s="33">
        <v>13.1</v>
      </c>
      <c r="H3829" s="33">
        <v>0</v>
      </c>
      <c r="I3829" s="33">
        <v>0</v>
      </c>
      <c r="J3829" s="30"/>
      <c r="K3829" s="30">
        <v>0</v>
      </c>
      <c r="L3829" s="38">
        <v>0</v>
      </c>
      <c r="M3829" s="33">
        <v>0.2</v>
      </c>
      <c r="O3829" s="38">
        <v>1.27</v>
      </c>
      <c r="P3829" s="33">
        <v>0</v>
      </c>
      <c r="Q3829" s="33">
        <v>17.600000000000001</v>
      </c>
      <c r="X3829" s="33"/>
      <c r="AB3829" s="33">
        <v>0.2</v>
      </c>
    </row>
    <row r="3830" spans="1:28" x14ac:dyDescent="0.25">
      <c r="A3830" s="22">
        <v>42181</v>
      </c>
      <c r="B3830" s="33"/>
      <c r="C3830" s="33">
        <v>17.600000000000001</v>
      </c>
      <c r="D3830" s="33">
        <v>14</v>
      </c>
      <c r="F3830" s="33"/>
      <c r="G3830" s="33">
        <v>15.4</v>
      </c>
      <c r="H3830" s="33">
        <v>8</v>
      </c>
      <c r="I3830" s="33">
        <v>8.9</v>
      </c>
      <c r="J3830" s="33"/>
      <c r="K3830" s="30">
        <v>23.1</v>
      </c>
      <c r="L3830" s="38">
        <v>10.413999999999998</v>
      </c>
      <c r="M3830" s="33">
        <v>11.6</v>
      </c>
      <c r="O3830" s="38">
        <v>13.208</v>
      </c>
      <c r="P3830" s="33">
        <v>8.3000000000000007</v>
      </c>
      <c r="Q3830" s="33">
        <v>16.2</v>
      </c>
      <c r="X3830" s="33"/>
      <c r="AB3830" s="33">
        <v>11.2</v>
      </c>
    </row>
    <row r="3831" spans="1:28" x14ac:dyDescent="0.25">
      <c r="A3831" s="22">
        <v>42182</v>
      </c>
      <c r="B3831" s="33"/>
      <c r="C3831" s="33">
        <v>21.3</v>
      </c>
      <c r="D3831" s="33">
        <v>13.4</v>
      </c>
      <c r="F3831" s="33"/>
      <c r="G3831" s="33">
        <v>8.5</v>
      </c>
      <c r="H3831" s="33">
        <v>12</v>
      </c>
      <c r="I3831" s="33">
        <v>3.5</v>
      </c>
      <c r="J3831" s="30"/>
      <c r="K3831" s="33">
        <v>0</v>
      </c>
      <c r="L3831" s="38">
        <v>5.3339999999999996</v>
      </c>
      <c r="M3831" s="33">
        <v>14.3</v>
      </c>
      <c r="O3831" s="38">
        <v>31.241999999999997</v>
      </c>
      <c r="P3831" s="33">
        <v>10</v>
      </c>
      <c r="Q3831" s="33">
        <v>1.1000000000000001</v>
      </c>
      <c r="X3831" s="33"/>
      <c r="AB3831" s="33">
        <v>0.2</v>
      </c>
    </row>
    <row r="3832" spans="1:28" x14ac:dyDescent="0.25">
      <c r="A3832" s="22">
        <v>42183</v>
      </c>
      <c r="B3832" s="33"/>
      <c r="C3832" s="33">
        <v>9.8000000000000007</v>
      </c>
      <c r="D3832" s="33">
        <v>17.100000000000001</v>
      </c>
      <c r="F3832" s="33"/>
      <c r="G3832" s="33">
        <v>1.8</v>
      </c>
      <c r="H3832" s="33">
        <v>4.9000000000000004</v>
      </c>
      <c r="I3832" s="30">
        <v>1.5</v>
      </c>
      <c r="J3832" s="33"/>
      <c r="K3832" s="33">
        <v>0</v>
      </c>
      <c r="L3832" s="38">
        <v>6.0959999999999992</v>
      </c>
      <c r="M3832" s="33">
        <v>5.9</v>
      </c>
      <c r="O3832" s="38">
        <v>4.8259999999999996</v>
      </c>
      <c r="P3832" s="33">
        <v>3</v>
      </c>
      <c r="Q3832" s="33">
        <v>9.5</v>
      </c>
      <c r="X3832" s="33"/>
      <c r="AB3832" s="33">
        <v>11.4</v>
      </c>
    </row>
    <row r="3833" spans="1:28" x14ac:dyDescent="0.25">
      <c r="A3833" s="22">
        <v>42184</v>
      </c>
      <c r="B3833" s="33"/>
      <c r="C3833" s="33">
        <v>0</v>
      </c>
      <c r="D3833" s="33">
        <v>1.5</v>
      </c>
      <c r="F3833" s="33"/>
      <c r="G3833" s="33">
        <v>2.9</v>
      </c>
      <c r="H3833" s="33">
        <v>1</v>
      </c>
      <c r="I3833" s="30">
        <v>2.2999999999999998</v>
      </c>
      <c r="J3833" s="33"/>
      <c r="K3833" s="33">
        <v>1.3</v>
      </c>
      <c r="L3833" s="38">
        <v>0.254</v>
      </c>
      <c r="M3833" s="33">
        <v>1.7</v>
      </c>
      <c r="O3833" s="38">
        <v>1.27</v>
      </c>
      <c r="P3833" s="33">
        <v>0.7</v>
      </c>
      <c r="Q3833" s="33">
        <v>1.7</v>
      </c>
      <c r="X3833" s="33"/>
      <c r="AB3833" s="33">
        <v>17.600000000000001</v>
      </c>
    </row>
    <row r="3834" spans="1:28" x14ac:dyDescent="0.25">
      <c r="A3834" s="22">
        <v>42185</v>
      </c>
      <c r="B3834" s="33"/>
      <c r="C3834" s="33">
        <v>11.3</v>
      </c>
      <c r="D3834" s="33">
        <v>13</v>
      </c>
      <c r="F3834" s="33"/>
      <c r="G3834" s="33">
        <v>29.2</v>
      </c>
      <c r="H3834" s="33">
        <v>3</v>
      </c>
      <c r="I3834" s="30">
        <v>1</v>
      </c>
      <c r="J3834" s="33"/>
      <c r="K3834" s="33">
        <v>0</v>
      </c>
      <c r="L3834" s="38">
        <v>7.3659999999999988</v>
      </c>
      <c r="M3834" s="33">
        <v>2.4</v>
      </c>
      <c r="O3834" s="38">
        <v>2.54</v>
      </c>
      <c r="P3834" s="33">
        <v>10</v>
      </c>
      <c r="Q3834" s="33">
        <v>27.1</v>
      </c>
      <c r="X3834" s="33"/>
      <c r="AB3834" s="33"/>
    </row>
    <row r="3835" spans="1:28" x14ac:dyDescent="0.25">
      <c r="A3835" s="22">
        <v>42186</v>
      </c>
      <c r="B3835" s="33">
        <v>0</v>
      </c>
      <c r="C3835" s="33">
        <v>32.6</v>
      </c>
      <c r="D3835" s="33">
        <v>39.5</v>
      </c>
      <c r="F3835" s="33">
        <v>30.6</v>
      </c>
      <c r="G3835" s="33">
        <v>0.8</v>
      </c>
      <c r="H3835" s="33">
        <v>21</v>
      </c>
      <c r="I3835" s="30"/>
      <c r="J3835" s="33"/>
      <c r="K3835" s="30">
        <v>40.01</v>
      </c>
      <c r="L3835" s="38">
        <v>20.574000000000002</v>
      </c>
      <c r="M3835" s="30"/>
      <c r="O3835" s="38">
        <v>34.544000000000004</v>
      </c>
      <c r="P3835" s="33">
        <v>19.100000000000001</v>
      </c>
      <c r="Q3835" s="33">
        <v>0.8</v>
      </c>
      <c r="X3835" s="33"/>
      <c r="AB3835" s="33"/>
    </row>
    <row r="3836" spans="1:28" x14ac:dyDescent="0.25">
      <c r="A3836" s="22">
        <v>42187</v>
      </c>
      <c r="B3836" s="33">
        <v>0</v>
      </c>
      <c r="C3836" s="30">
        <v>0</v>
      </c>
      <c r="D3836" s="33">
        <v>14.5</v>
      </c>
      <c r="F3836" s="33">
        <v>0</v>
      </c>
      <c r="G3836" s="33">
        <v>33.5</v>
      </c>
      <c r="H3836" s="33">
        <v>0</v>
      </c>
      <c r="I3836" s="30"/>
      <c r="J3836" s="30"/>
      <c r="K3836" s="30">
        <v>0</v>
      </c>
      <c r="L3836" s="38">
        <v>0</v>
      </c>
      <c r="M3836" s="30"/>
      <c r="O3836" s="38">
        <v>3.0479999999999996</v>
      </c>
      <c r="P3836" s="33">
        <v>0</v>
      </c>
      <c r="Q3836" s="33">
        <v>8.9</v>
      </c>
      <c r="X3836" s="33"/>
      <c r="AB3836" s="33"/>
    </row>
    <row r="3837" spans="1:28" x14ac:dyDescent="0.25">
      <c r="A3837" s="22">
        <v>42188</v>
      </c>
      <c r="B3837" s="33">
        <v>13</v>
      </c>
      <c r="C3837" s="30">
        <v>28.6</v>
      </c>
      <c r="D3837" s="33">
        <v>31.5</v>
      </c>
      <c r="F3837" s="33">
        <v>22.6</v>
      </c>
      <c r="G3837" s="33">
        <v>17.2</v>
      </c>
      <c r="H3837" s="33">
        <v>23.2</v>
      </c>
      <c r="I3837" s="30"/>
      <c r="J3837" s="30"/>
      <c r="K3837" s="30">
        <v>28.3</v>
      </c>
      <c r="L3837" s="38">
        <v>9.6519999999999992</v>
      </c>
      <c r="M3837" s="30"/>
      <c r="O3837" s="38">
        <v>12.7</v>
      </c>
      <c r="P3837" s="33">
        <v>8</v>
      </c>
      <c r="Q3837" s="33">
        <v>16.100000000000001</v>
      </c>
      <c r="X3837" s="33"/>
      <c r="AB3837" s="33"/>
    </row>
    <row r="3838" spans="1:28" x14ac:dyDescent="0.25">
      <c r="A3838" s="22">
        <v>42189</v>
      </c>
      <c r="B3838" s="33">
        <v>0</v>
      </c>
      <c r="C3838" s="30">
        <v>21.3</v>
      </c>
      <c r="D3838" s="33">
        <v>26.8</v>
      </c>
      <c r="F3838" s="33">
        <v>8.3000000000000007</v>
      </c>
      <c r="G3838" s="33">
        <v>6.5</v>
      </c>
      <c r="H3838" s="33">
        <v>11.1</v>
      </c>
      <c r="I3838" s="30"/>
      <c r="J3838" s="33"/>
      <c r="K3838" s="30">
        <v>24.1</v>
      </c>
      <c r="L3838" s="38">
        <v>7.8739999999999997</v>
      </c>
      <c r="M3838" s="30"/>
      <c r="O3838" s="38">
        <v>13.462</v>
      </c>
      <c r="P3838" s="33">
        <v>17.3</v>
      </c>
      <c r="Q3838" s="33">
        <v>1.8</v>
      </c>
      <c r="X3838" s="33"/>
      <c r="AB3838" s="33"/>
    </row>
    <row r="3839" spans="1:28" x14ac:dyDescent="0.25">
      <c r="A3839" s="22">
        <v>42190</v>
      </c>
      <c r="B3839" s="33">
        <v>10.4</v>
      </c>
      <c r="C3839" s="30">
        <v>5.0999999999999996</v>
      </c>
      <c r="D3839" s="30">
        <v>8.1</v>
      </c>
      <c r="F3839" s="33">
        <v>3</v>
      </c>
      <c r="G3839" s="33">
        <v>0.5</v>
      </c>
      <c r="H3839" s="33">
        <v>3.9</v>
      </c>
      <c r="I3839" s="30"/>
      <c r="J3839" s="30"/>
      <c r="K3839" s="30">
        <v>6.4</v>
      </c>
      <c r="L3839" s="38">
        <v>3.302</v>
      </c>
      <c r="M3839" s="33"/>
      <c r="O3839" s="38">
        <v>4.5719999999999992</v>
      </c>
      <c r="P3839" s="33">
        <v>0.5</v>
      </c>
      <c r="Q3839" s="33">
        <v>0.9</v>
      </c>
      <c r="X3839" s="33"/>
      <c r="AB3839" s="33"/>
    </row>
    <row r="3840" spans="1:28" x14ac:dyDescent="0.25">
      <c r="A3840" s="22">
        <v>42191</v>
      </c>
      <c r="B3840" s="33">
        <v>16.600000000000001</v>
      </c>
      <c r="C3840" s="30">
        <v>4.3</v>
      </c>
      <c r="D3840" s="30">
        <v>2.5</v>
      </c>
      <c r="F3840" s="33">
        <v>0</v>
      </c>
      <c r="G3840" s="33">
        <v>6</v>
      </c>
      <c r="H3840" s="33">
        <v>0</v>
      </c>
      <c r="I3840" s="30"/>
      <c r="J3840" s="30"/>
      <c r="K3840" s="30">
        <v>1.5</v>
      </c>
      <c r="L3840" s="38">
        <v>3.0479999999999996</v>
      </c>
      <c r="M3840" s="30"/>
      <c r="O3840" s="38">
        <v>1.27</v>
      </c>
      <c r="P3840" s="33">
        <v>0.6</v>
      </c>
      <c r="Q3840" s="33">
        <v>2.2999999999999998</v>
      </c>
      <c r="X3840" s="33"/>
      <c r="AB3840" s="33"/>
    </row>
    <row r="3841" spans="1:28" x14ac:dyDescent="0.25">
      <c r="A3841" s="22">
        <v>42192</v>
      </c>
      <c r="B3841" s="33">
        <v>0</v>
      </c>
      <c r="C3841" s="30">
        <v>12.8</v>
      </c>
      <c r="D3841" s="30">
        <v>9.1999999999999993</v>
      </c>
      <c r="F3841" s="33">
        <v>3.1</v>
      </c>
      <c r="G3841" s="33">
        <v>1.2</v>
      </c>
      <c r="H3841" s="33">
        <v>2.1</v>
      </c>
      <c r="I3841" s="33"/>
      <c r="J3841" s="30"/>
      <c r="K3841" s="30">
        <v>8.4</v>
      </c>
      <c r="L3841" s="38">
        <v>2.2859999999999996</v>
      </c>
      <c r="M3841" s="33"/>
      <c r="O3841" s="38">
        <v>15.239999999999998</v>
      </c>
      <c r="P3841" s="33">
        <v>0</v>
      </c>
      <c r="Q3841" s="33">
        <v>0</v>
      </c>
      <c r="X3841" s="33"/>
      <c r="AB3841" s="33"/>
    </row>
    <row r="3842" spans="1:28" x14ac:dyDescent="0.25">
      <c r="A3842" s="22">
        <v>42193</v>
      </c>
      <c r="B3842" s="33">
        <v>0</v>
      </c>
      <c r="C3842" s="30">
        <v>0</v>
      </c>
      <c r="D3842" s="33">
        <v>0</v>
      </c>
      <c r="F3842" s="33">
        <v>0</v>
      </c>
      <c r="G3842" s="33">
        <v>0</v>
      </c>
      <c r="H3842" s="33">
        <v>0</v>
      </c>
      <c r="I3842" s="30"/>
      <c r="J3842" s="30"/>
      <c r="K3842" s="30">
        <v>4.7</v>
      </c>
      <c r="L3842" s="38">
        <v>0</v>
      </c>
      <c r="M3842" s="30"/>
      <c r="O3842" s="38">
        <v>0</v>
      </c>
      <c r="P3842" s="33">
        <v>0</v>
      </c>
      <c r="Q3842" s="33">
        <v>0</v>
      </c>
      <c r="X3842" s="33"/>
      <c r="AB3842" s="33"/>
    </row>
    <row r="3843" spans="1:28" x14ac:dyDescent="0.25">
      <c r="A3843" s="22">
        <v>42194</v>
      </c>
      <c r="B3843" s="33">
        <v>0</v>
      </c>
      <c r="C3843" s="30">
        <v>0</v>
      </c>
      <c r="D3843" s="33">
        <v>0</v>
      </c>
      <c r="F3843" s="33">
        <v>0</v>
      </c>
      <c r="G3843" s="33">
        <v>0</v>
      </c>
      <c r="H3843" s="33">
        <v>0</v>
      </c>
      <c r="I3843" s="30"/>
      <c r="J3843" s="30"/>
      <c r="K3843" s="30">
        <v>1.4</v>
      </c>
      <c r="L3843" s="38">
        <v>0</v>
      </c>
      <c r="M3843" s="30"/>
      <c r="O3843" s="38">
        <v>0</v>
      </c>
      <c r="P3843" s="33">
        <v>0.5</v>
      </c>
      <c r="Q3843" s="33">
        <v>0</v>
      </c>
      <c r="X3843" s="33"/>
      <c r="AB3843" s="33"/>
    </row>
    <row r="3844" spans="1:28" x14ac:dyDescent="0.25">
      <c r="A3844" s="22">
        <v>42195</v>
      </c>
      <c r="B3844" s="33">
        <v>17.3</v>
      </c>
      <c r="C3844" s="30">
        <v>0</v>
      </c>
      <c r="D3844" s="33">
        <v>0</v>
      </c>
      <c r="F3844" s="33">
        <v>0</v>
      </c>
      <c r="G3844" s="33">
        <v>5.9</v>
      </c>
      <c r="H3844" s="33">
        <v>0</v>
      </c>
      <c r="I3844" s="30"/>
      <c r="J3844" s="30"/>
      <c r="K3844" s="30">
        <v>2.1</v>
      </c>
      <c r="L3844" s="38">
        <v>2.2859999999999996</v>
      </c>
      <c r="M3844" s="30"/>
      <c r="O3844" s="38">
        <v>0</v>
      </c>
      <c r="P3844" s="33">
        <v>0</v>
      </c>
      <c r="Q3844" s="33">
        <v>7.1</v>
      </c>
      <c r="X3844" s="33"/>
      <c r="AB3844" s="33"/>
    </row>
    <row r="3845" spans="1:28" x14ac:dyDescent="0.25">
      <c r="A3845" s="22">
        <v>42196</v>
      </c>
      <c r="B3845" s="33">
        <v>0</v>
      </c>
      <c r="C3845" s="30">
        <v>4.8</v>
      </c>
      <c r="D3845" s="33">
        <v>0</v>
      </c>
      <c r="F3845" s="33">
        <v>4.8</v>
      </c>
      <c r="G3845" s="33">
        <v>11.1</v>
      </c>
      <c r="H3845" s="33">
        <v>10.1</v>
      </c>
      <c r="I3845" s="30"/>
      <c r="J3845" s="30"/>
      <c r="K3845" s="30">
        <v>9.9</v>
      </c>
      <c r="L3845" s="38">
        <v>8.8899999999999988</v>
      </c>
      <c r="M3845" s="30"/>
      <c r="O3845" s="38">
        <v>4.8259999999999996</v>
      </c>
      <c r="P3845" s="33">
        <v>3.1</v>
      </c>
      <c r="Q3845" s="33">
        <v>2.4</v>
      </c>
      <c r="X3845" s="33"/>
      <c r="AB3845" s="33"/>
    </row>
    <row r="3846" spans="1:28" x14ac:dyDescent="0.25">
      <c r="A3846" s="22">
        <v>42197</v>
      </c>
      <c r="B3846" s="33">
        <v>3.2</v>
      </c>
      <c r="C3846" s="33">
        <v>18</v>
      </c>
      <c r="D3846" s="33">
        <v>22.3</v>
      </c>
      <c r="F3846" s="33">
        <v>6.1</v>
      </c>
      <c r="G3846" s="33">
        <v>4.5999999999999996</v>
      </c>
      <c r="H3846" s="30">
        <v>6.3</v>
      </c>
      <c r="I3846" s="30"/>
      <c r="J3846" s="33"/>
      <c r="K3846" s="30">
        <v>19.3</v>
      </c>
      <c r="L3846" s="38">
        <v>3.0479999999999996</v>
      </c>
      <c r="M3846" s="33"/>
      <c r="O3846" s="38">
        <v>8.8899999999999988</v>
      </c>
      <c r="P3846" s="33">
        <v>7.2</v>
      </c>
      <c r="Q3846" s="33">
        <v>0.5</v>
      </c>
      <c r="X3846" s="33"/>
      <c r="AB3846" s="33"/>
    </row>
    <row r="3847" spans="1:28" x14ac:dyDescent="0.25">
      <c r="A3847" s="22">
        <v>42198</v>
      </c>
      <c r="B3847" s="33">
        <v>0</v>
      </c>
      <c r="C3847" s="33">
        <v>3.7</v>
      </c>
      <c r="D3847" s="33">
        <v>7.2</v>
      </c>
      <c r="F3847" s="33">
        <v>0</v>
      </c>
      <c r="G3847" s="30">
        <v>15.2</v>
      </c>
      <c r="H3847" s="30">
        <v>1.6</v>
      </c>
      <c r="I3847" s="30"/>
      <c r="J3847" s="33"/>
      <c r="K3847" s="30">
        <v>3.5</v>
      </c>
      <c r="L3847" s="38">
        <v>1.5239999999999998</v>
      </c>
      <c r="M3847" s="33"/>
      <c r="O3847" s="38">
        <v>7.3659999999999988</v>
      </c>
      <c r="P3847" s="33">
        <v>1.8</v>
      </c>
      <c r="Q3847" s="33">
        <v>5.3</v>
      </c>
      <c r="X3847" s="33"/>
      <c r="AB3847" s="33"/>
    </row>
    <row r="3848" spans="1:28" x14ac:dyDescent="0.25">
      <c r="A3848" s="22">
        <v>42199</v>
      </c>
      <c r="B3848" s="33">
        <v>19.399999999999999</v>
      </c>
      <c r="C3848" s="30">
        <v>18.399999999999999</v>
      </c>
      <c r="D3848" s="33">
        <v>17</v>
      </c>
      <c r="F3848" s="33">
        <v>0</v>
      </c>
      <c r="G3848" s="30">
        <v>6.9</v>
      </c>
      <c r="H3848" s="30">
        <v>5</v>
      </c>
      <c r="I3848" s="30"/>
      <c r="J3848" s="33"/>
      <c r="K3848" s="30">
        <v>27</v>
      </c>
      <c r="L3848" s="38">
        <v>2.2859999999999996</v>
      </c>
      <c r="M3848" s="30"/>
      <c r="O3848" s="38">
        <v>6.8579999999999997</v>
      </c>
      <c r="P3848" s="33">
        <v>3.1</v>
      </c>
      <c r="Q3848" s="33">
        <v>3</v>
      </c>
      <c r="X3848" s="33"/>
      <c r="AB3848" s="33"/>
    </row>
    <row r="3849" spans="1:28" x14ac:dyDescent="0.25">
      <c r="A3849" s="22">
        <v>42200</v>
      </c>
      <c r="B3849" s="33">
        <v>0</v>
      </c>
      <c r="C3849" s="30">
        <v>6.7</v>
      </c>
      <c r="D3849" s="33">
        <v>11.5</v>
      </c>
      <c r="F3849" s="33">
        <v>0</v>
      </c>
      <c r="G3849" s="30">
        <v>1.9</v>
      </c>
      <c r="H3849" s="33">
        <v>3.3</v>
      </c>
      <c r="I3849" s="30"/>
      <c r="J3849" s="30"/>
      <c r="K3849" s="30">
        <v>5.6</v>
      </c>
      <c r="L3849" s="38">
        <v>8.8899999999999988</v>
      </c>
      <c r="M3849" s="33"/>
      <c r="O3849" s="38">
        <v>7.1120000000000001</v>
      </c>
      <c r="P3849" s="33">
        <v>4.3</v>
      </c>
      <c r="Q3849" s="33">
        <v>1</v>
      </c>
      <c r="X3849" s="33"/>
      <c r="AB3849" s="33"/>
    </row>
    <row r="3850" spans="1:28" x14ac:dyDescent="0.25">
      <c r="A3850" s="22">
        <v>42201</v>
      </c>
      <c r="B3850" s="33">
        <v>11.8</v>
      </c>
      <c r="C3850" s="30">
        <v>4.8</v>
      </c>
      <c r="D3850" s="33">
        <v>4.8</v>
      </c>
      <c r="F3850" s="33">
        <v>0</v>
      </c>
      <c r="G3850" s="30">
        <v>0</v>
      </c>
      <c r="H3850" s="33">
        <v>1.5</v>
      </c>
      <c r="I3850" s="33"/>
      <c r="J3850" s="30"/>
      <c r="K3850" s="30">
        <v>3.4</v>
      </c>
      <c r="L3850" s="38">
        <v>12.953999999999999</v>
      </c>
      <c r="M3850" s="30"/>
      <c r="O3850" s="38">
        <v>7.6199999999999992</v>
      </c>
      <c r="P3850" s="33">
        <v>10.5</v>
      </c>
      <c r="Q3850" s="33">
        <v>2.5</v>
      </c>
      <c r="X3850" s="33"/>
      <c r="AB3850" s="33"/>
    </row>
    <row r="3851" spans="1:28" x14ac:dyDescent="0.25">
      <c r="A3851" s="22">
        <v>42202</v>
      </c>
      <c r="B3851" s="33">
        <v>0</v>
      </c>
      <c r="C3851" s="30">
        <v>1.4</v>
      </c>
      <c r="D3851" s="33">
        <v>0</v>
      </c>
      <c r="F3851" s="33">
        <v>0</v>
      </c>
      <c r="G3851" s="33">
        <v>2.5</v>
      </c>
      <c r="H3851" s="30">
        <v>0</v>
      </c>
      <c r="I3851" s="30"/>
      <c r="J3851" s="30"/>
      <c r="K3851" s="30">
        <v>1.3</v>
      </c>
      <c r="L3851" s="38">
        <v>4.3180000000000005</v>
      </c>
      <c r="M3851" s="30"/>
      <c r="O3851" s="38">
        <v>0.50800000000000001</v>
      </c>
      <c r="P3851" s="33">
        <v>0</v>
      </c>
      <c r="Q3851" s="33">
        <v>3.3</v>
      </c>
      <c r="X3851" s="33"/>
      <c r="AB3851" s="33"/>
    </row>
    <row r="3852" spans="1:28" x14ac:dyDescent="0.25">
      <c r="A3852" s="22">
        <v>42203</v>
      </c>
      <c r="B3852" s="33">
        <v>10.3</v>
      </c>
      <c r="C3852" s="33">
        <v>0</v>
      </c>
      <c r="D3852" s="30">
        <v>0</v>
      </c>
      <c r="F3852" s="33">
        <v>0</v>
      </c>
      <c r="G3852" s="33">
        <v>0</v>
      </c>
      <c r="H3852" s="30">
        <v>0</v>
      </c>
      <c r="I3852" s="30"/>
      <c r="J3852" s="33"/>
      <c r="K3852" s="33">
        <v>0.5</v>
      </c>
      <c r="L3852" s="38">
        <v>0</v>
      </c>
      <c r="M3852" s="33"/>
      <c r="O3852" s="38">
        <v>2.2859999999999996</v>
      </c>
      <c r="P3852" s="33">
        <v>0</v>
      </c>
      <c r="Q3852" s="33">
        <v>0</v>
      </c>
      <c r="X3852" s="33"/>
      <c r="AB3852" s="33"/>
    </row>
    <row r="3853" spans="1:28" x14ac:dyDescent="0.25">
      <c r="A3853" s="22">
        <v>42204</v>
      </c>
      <c r="B3853" s="33">
        <v>20.9</v>
      </c>
      <c r="C3853" s="30">
        <v>0</v>
      </c>
      <c r="D3853" s="33">
        <v>4</v>
      </c>
      <c r="F3853" s="33">
        <v>0</v>
      </c>
      <c r="G3853" s="33">
        <v>0</v>
      </c>
      <c r="H3853" s="30">
        <v>0</v>
      </c>
      <c r="I3853" s="30"/>
      <c r="J3853" s="33"/>
      <c r="K3853" s="30">
        <v>1</v>
      </c>
      <c r="L3853" s="38">
        <v>0</v>
      </c>
      <c r="M3853" s="33"/>
      <c r="O3853" s="38">
        <v>0</v>
      </c>
      <c r="P3853" s="33">
        <v>0</v>
      </c>
      <c r="Q3853" s="33">
        <v>0.3</v>
      </c>
      <c r="X3853" s="33"/>
      <c r="AB3853" s="33"/>
    </row>
    <row r="3854" spans="1:28" x14ac:dyDescent="0.25">
      <c r="A3854" s="22">
        <v>42205</v>
      </c>
      <c r="B3854" s="33">
        <v>0</v>
      </c>
      <c r="C3854" s="30">
        <v>0.4</v>
      </c>
      <c r="D3854" s="33">
        <v>0</v>
      </c>
      <c r="F3854" s="33">
        <v>0</v>
      </c>
      <c r="G3854" s="33">
        <v>11.9</v>
      </c>
      <c r="H3854" s="33">
        <v>0</v>
      </c>
      <c r="I3854" s="30"/>
      <c r="J3854" s="30"/>
      <c r="K3854" s="33">
        <v>21.5</v>
      </c>
      <c r="L3854" s="38">
        <v>1.5239999999999998</v>
      </c>
      <c r="M3854" s="30"/>
      <c r="O3854" s="38">
        <v>0.254</v>
      </c>
      <c r="P3854" s="33">
        <v>0</v>
      </c>
      <c r="Q3854" s="33">
        <v>18.5</v>
      </c>
      <c r="X3854" s="33"/>
      <c r="AB3854" s="33"/>
    </row>
    <row r="3855" spans="1:28" x14ac:dyDescent="0.25">
      <c r="A3855" s="22">
        <v>42206</v>
      </c>
      <c r="B3855" s="33">
        <v>0</v>
      </c>
      <c r="C3855" s="30">
        <v>14.9</v>
      </c>
      <c r="D3855" s="33">
        <v>0</v>
      </c>
      <c r="F3855" s="33">
        <v>27</v>
      </c>
      <c r="G3855" s="33">
        <v>17</v>
      </c>
      <c r="H3855" s="33">
        <v>10.8</v>
      </c>
      <c r="I3855" s="30"/>
      <c r="J3855" s="33"/>
      <c r="K3855" s="33">
        <v>15.2</v>
      </c>
      <c r="L3855" s="38">
        <v>28.194000000000003</v>
      </c>
      <c r="M3855" s="30"/>
      <c r="O3855" s="38">
        <v>17.018000000000001</v>
      </c>
      <c r="P3855" s="33">
        <v>14.7</v>
      </c>
      <c r="Q3855" s="33">
        <v>6.1</v>
      </c>
      <c r="X3855" s="33"/>
      <c r="AB3855" s="33"/>
    </row>
    <row r="3856" spans="1:28" x14ac:dyDescent="0.25">
      <c r="A3856" s="22">
        <v>42207</v>
      </c>
      <c r="B3856" s="33">
        <v>7.1</v>
      </c>
      <c r="C3856" s="30">
        <v>22.3</v>
      </c>
      <c r="D3856" s="30">
        <v>16.100000000000001</v>
      </c>
      <c r="F3856" s="33">
        <v>11.9</v>
      </c>
      <c r="G3856" s="33">
        <v>0</v>
      </c>
      <c r="H3856" s="30">
        <v>19.5</v>
      </c>
      <c r="I3856" s="30"/>
      <c r="J3856" s="33"/>
      <c r="K3856" s="33">
        <v>2.4</v>
      </c>
      <c r="L3856" s="38">
        <v>4.5719999999999992</v>
      </c>
      <c r="M3856" s="30"/>
      <c r="O3856" s="38">
        <v>9.3979999999999997</v>
      </c>
      <c r="P3856" s="33">
        <v>7.9</v>
      </c>
      <c r="Q3856" s="33">
        <v>0.7</v>
      </c>
      <c r="X3856" s="33"/>
      <c r="AB3856" s="33"/>
    </row>
    <row r="3857" spans="1:28" x14ac:dyDescent="0.25">
      <c r="A3857" s="22">
        <v>42208</v>
      </c>
      <c r="B3857" s="33">
        <v>0</v>
      </c>
      <c r="C3857" s="33">
        <v>0</v>
      </c>
      <c r="D3857" s="30">
        <v>24.2</v>
      </c>
      <c r="F3857" s="33">
        <v>0</v>
      </c>
      <c r="G3857" s="33">
        <v>0</v>
      </c>
      <c r="H3857" s="33">
        <v>0</v>
      </c>
      <c r="I3857" s="33"/>
      <c r="J3857" s="33"/>
      <c r="K3857" s="33">
        <v>0</v>
      </c>
      <c r="L3857" s="38">
        <v>0</v>
      </c>
      <c r="M3857" s="33"/>
      <c r="O3857" s="38">
        <v>17.779999999999998</v>
      </c>
      <c r="P3857" s="33">
        <v>0</v>
      </c>
      <c r="Q3857" s="33">
        <v>0</v>
      </c>
      <c r="X3857" s="33"/>
      <c r="AB3857" s="33"/>
    </row>
    <row r="3858" spans="1:28" x14ac:dyDescent="0.25">
      <c r="A3858" s="22">
        <v>42209</v>
      </c>
      <c r="B3858" s="33">
        <v>0</v>
      </c>
      <c r="C3858" s="33">
        <v>0.6</v>
      </c>
      <c r="D3858" s="30">
        <v>0</v>
      </c>
      <c r="F3858" s="33">
        <v>0</v>
      </c>
      <c r="G3858" s="33">
        <v>13.7</v>
      </c>
      <c r="H3858" s="33">
        <v>0</v>
      </c>
      <c r="I3858" s="30"/>
      <c r="J3858" s="33"/>
      <c r="K3858" s="30">
        <v>1.9</v>
      </c>
      <c r="L3858" s="38">
        <v>0</v>
      </c>
      <c r="M3858" s="33"/>
      <c r="O3858" s="38">
        <v>0</v>
      </c>
      <c r="P3858" s="33">
        <v>0</v>
      </c>
      <c r="Q3858" s="33">
        <v>2.2999999999999998</v>
      </c>
      <c r="X3858" s="33"/>
      <c r="AB3858" s="33"/>
    </row>
    <row r="3859" spans="1:28" x14ac:dyDescent="0.25">
      <c r="A3859" s="22">
        <v>42210</v>
      </c>
      <c r="B3859" s="33">
        <v>9.3000000000000007</v>
      </c>
      <c r="C3859" s="33">
        <v>4.2</v>
      </c>
      <c r="D3859" s="30">
        <v>0</v>
      </c>
      <c r="F3859" s="33">
        <v>2</v>
      </c>
      <c r="G3859" s="33">
        <v>11.1</v>
      </c>
      <c r="H3859" s="33">
        <v>0</v>
      </c>
      <c r="I3859" s="33"/>
      <c r="J3859" s="30"/>
      <c r="K3859" s="30">
        <v>1</v>
      </c>
      <c r="L3859" s="38">
        <v>8.1280000000000001</v>
      </c>
      <c r="M3859" s="33"/>
      <c r="O3859" s="38">
        <v>0.50800000000000001</v>
      </c>
      <c r="P3859" s="33">
        <v>6.2</v>
      </c>
      <c r="Q3859" s="33">
        <v>17.3</v>
      </c>
      <c r="X3859" s="33"/>
      <c r="AB3859" s="33"/>
    </row>
    <row r="3860" spans="1:28" x14ac:dyDescent="0.25">
      <c r="A3860" s="22">
        <v>42211</v>
      </c>
      <c r="B3860" s="33">
        <v>10.4</v>
      </c>
      <c r="C3860" s="33">
        <v>11.8</v>
      </c>
      <c r="D3860" s="33">
        <v>0</v>
      </c>
      <c r="F3860" s="33">
        <v>0.1</v>
      </c>
      <c r="G3860" s="33">
        <v>0</v>
      </c>
      <c r="H3860" s="33">
        <v>13.5</v>
      </c>
      <c r="I3860" s="33"/>
      <c r="J3860" s="33"/>
      <c r="K3860" s="30">
        <v>18.5</v>
      </c>
      <c r="L3860" s="38">
        <v>22.097999999999999</v>
      </c>
      <c r="M3860" s="33"/>
      <c r="O3860" s="38">
        <v>21.59</v>
      </c>
      <c r="P3860" s="33">
        <v>23.3</v>
      </c>
      <c r="Q3860" s="33">
        <v>0.3</v>
      </c>
      <c r="X3860" s="33"/>
      <c r="AB3860" s="33"/>
    </row>
    <row r="3861" spans="1:28" x14ac:dyDescent="0.25">
      <c r="A3861" s="22">
        <v>42212</v>
      </c>
      <c r="B3861" s="33">
        <v>2.2999999999999998</v>
      </c>
      <c r="C3861" s="33">
        <v>1.1000000000000001</v>
      </c>
      <c r="D3861" s="33">
        <v>18</v>
      </c>
      <c r="F3861" s="33">
        <v>0</v>
      </c>
      <c r="G3861" s="33">
        <v>0</v>
      </c>
      <c r="H3861" s="33">
        <v>0</v>
      </c>
      <c r="I3861" s="33"/>
      <c r="J3861" s="30"/>
      <c r="K3861" s="33">
        <v>0</v>
      </c>
      <c r="L3861" s="38">
        <v>0.7619999999999999</v>
      </c>
      <c r="M3861" s="33"/>
      <c r="O3861" s="38">
        <v>1.778</v>
      </c>
      <c r="P3861" s="33">
        <v>0</v>
      </c>
      <c r="Q3861" s="33">
        <v>0.5</v>
      </c>
      <c r="X3861" s="33"/>
      <c r="AB3861" s="33"/>
    </row>
    <row r="3862" spans="1:28" x14ac:dyDescent="0.25">
      <c r="A3862" s="22">
        <v>42213</v>
      </c>
      <c r="B3862" s="33">
        <v>15.6</v>
      </c>
      <c r="C3862" s="33">
        <v>1.2</v>
      </c>
      <c r="D3862" s="33">
        <v>4</v>
      </c>
      <c r="F3862" s="33">
        <v>0</v>
      </c>
      <c r="G3862" s="33">
        <v>0</v>
      </c>
      <c r="H3862" s="33">
        <v>0</v>
      </c>
      <c r="I3862" s="30"/>
      <c r="J3862" s="33"/>
      <c r="K3862" s="33">
        <v>0</v>
      </c>
      <c r="L3862" s="38">
        <v>1.778</v>
      </c>
      <c r="M3862" s="33"/>
      <c r="O3862" s="38">
        <v>2.54</v>
      </c>
      <c r="P3862" s="33">
        <v>0.5</v>
      </c>
      <c r="Q3862" s="33">
        <v>0</v>
      </c>
      <c r="X3862" s="33"/>
      <c r="AB3862" s="33"/>
    </row>
    <row r="3863" spans="1:28" x14ac:dyDescent="0.25">
      <c r="A3863" s="22">
        <v>42214</v>
      </c>
      <c r="B3863" s="33">
        <v>7.9</v>
      </c>
      <c r="C3863" s="33">
        <v>0</v>
      </c>
      <c r="D3863" s="33">
        <v>0</v>
      </c>
      <c r="F3863" s="33">
        <v>0</v>
      </c>
      <c r="G3863" s="33">
        <v>5.0999999999999996</v>
      </c>
      <c r="H3863" s="33">
        <v>1</v>
      </c>
      <c r="I3863" s="30"/>
      <c r="J3863" s="33"/>
      <c r="K3863" s="33">
        <v>0</v>
      </c>
      <c r="L3863" s="38">
        <v>0.7619999999999999</v>
      </c>
      <c r="M3863" s="33"/>
      <c r="O3863" s="38">
        <v>0</v>
      </c>
      <c r="P3863" s="33">
        <v>0</v>
      </c>
      <c r="Q3863" s="33">
        <v>0.7</v>
      </c>
      <c r="X3863" s="33"/>
      <c r="AB3863" s="33"/>
    </row>
    <row r="3864" spans="1:28" x14ac:dyDescent="0.25">
      <c r="A3864" s="22">
        <v>42215</v>
      </c>
      <c r="B3864" s="33">
        <v>4.0999999999999996</v>
      </c>
      <c r="C3864" s="33">
        <v>5.2</v>
      </c>
      <c r="D3864" s="33">
        <v>0</v>
      </c>
      <c r="F3864" s="33">
        <v>14.1</v>
      </c>
      <c r="G3864" s="33">
        <v>9.1999999999999993</v>
      </c>
      <c r="H3864" s="33">
        <v>1.4</v>
      </c>
      <c r="I3864" s="30"/>
      <c r="J3864" s="33"/>
      <c r="K3864" s="33">
        <v>0</v>
      </c>
      <c r="L3864" s="38">
        <v>3.0479999999999996</v>
      </c>
      <c r="M3864" s="33"/>
      <c r="O3864" s="38">
        <v>9.6519999999999992</v>
      </c>
      <c r="P3864" s="33">
        <v>1.2</v>
      </c>
      <c r="Q3864" s="33">
        <v>1.5</v>
      </c>
      <c r="X3864" s="33"/>
      <c r="AB3864" s="33"/>
    </row>
    <row r="3865" spans="1:28" x14ac:dyDescent="0.25">
      <c r="A3865" s="22">
        <v>42216</v>
      </c>
      <c r="B3865" s="1">
        <v>0</v>
      </c>
      <c r="C3865" s="1">
        <v>2.1</v>
      </c>
      <c r="D3865" s="1">
        <v>9.5</v>
      </c>
      <c r="F3865" s="1">
        <v>2</v>
      </c>
      <c r="G3865" s="1">
        <v>1.9</v>
      </c>
      <c r="H3865" s="1">
        <v>3</v>
      </c>
      <c r="I3865" s="1"/>
      <c r="J3865" s="1"/>
      <c r="K3865" s="1">
        <v>12.1</v>
      </c>
      <c r="L3865" s="38">
        <v>4.3180000000000005</v>
      </c>
      <c r="M3865" s="1"/>
      <c r="O3865" s="38">
        <v>3.556</v>
      </c>
      <c r="P3865" s="1">
        <v>1</v>
      </c>
      <c r="Q3865" s="33">
        <v>0</v>
      </c>
      <c r="X3865" s="33"/>
      <c r="AB3865" s="1"/>
    </row>
    <row r="3866" spans="1:28" x14ac:dyDescent="0.25">
      <c r="A3866" s="22">
        <v>42217</v>
      </c>
      <c r="B3866" s="33">
        <v>2.1</v>
      </c>
      <c r="C3866" s="33">
        <v>5.2</v>
      </c>
      <c r="D3866" s="33">
        <v>0</v>
      </c>
      <c r="F3866" s="30">
        <v>0</v>
      </c>
      <c r="G3866" s="33">
        <v>1.8</v>
      </c>
      <c r="H3866" s="1"/>
      <c r="I3866" s="30">
        <v>0</v>
      </c>
      <c r="J3866" s="33">
        <v>1.3</v>
      </c>
      <c r="K3866" s="30">
        <v>0</v>
      </c>
      <c r="L3866" s="38">
        <v>9.9060000000000006</v>
      </c>
      <c r="M3866" s="33">
        <v>0</v>
      </c>
      <c r="O3866" s="38">
        <v>3.0479999999999996</v>
      </c>
      <c r="P3866" s="33">
        <v>0</v>
      </c>
      <c r="Q3866" s="33">
        <v>6.3</v>
      </c>
      <c r="X3866" s="33"/>
      <c r="AB3866" s="1"/>
    </row>
    <row r="3867" spans="1:28" x14ac:dyDescent="0.25">
      <c r="A3867" s="22">
        <v>42218</v>
      </c>
      <c r="B3867" s="33">
        <v>3.4</v>
      </c>
      <c r="C3867" s="30">
        <v>3.8</v>
      </c>
      <c r="D3867" s="33">
        <v>9.3000000000000007</v>
      </c>
      <c r="F3867" s="30">
        <v>2.7</v>
      </c>
      <c r="G3867" s="33">
        <v>15.2</v>
      </c>
      <c r="H3867" s="1"/>
      <c r="I3867" s="30">
        <v>3</v>
      </c>
      <c r="J3867" s="30"/>
      <c r="K3867" s="30">
        <v>5.4</v>
      </c>
      <c r="L3867" s="38">
        <v>3.0479999999999996</v>
      </c>
      <c r="M3867" s="33">
        <v>0</v>
      </c>
      <c r="O3867" s="38">
        <v>3.556</v>
      </c>
      <c r="P3867" s="33">
        <v>1.8</v>
      </c>
      <c r="Q3867" s="33">
        <v>18.100000000000001</v>
      </c>
      <c r="X3867" s="33"/>
      <c r="AB3867" s="1"/>
    </row>
    <row r="3868" spans="1:28" x14ac:dyDescent="0.25">
      <c r="A3868" s="22">
        <v>42219</v>
      </c>
      <c r="B3868" s="33">
        <v>11.8</v>
      </c>
      <c r="C3868" s="30">
        <v>19.100000000000001</v>
      </c>
      <c r="D3868" s="33">
        <v>19</v>
      </c>
      <c r="F3868" s="30">
        <v>10.7</v>
      </c>
      <c r="G3868" s="33">
        <v>4.4000000000000004</v>
      </c>
      <c r="H3868" s="1"/>
      <c r="I3868" s="30">
        <v>0</v>
      </c>
      <c r="J3868" s="30">
        <v>29.8</v>
      </c>
      <c r="K3868" s="30">
        <v>18.899999999999999</v>
      </c>
      <c r="L3868" s="38">
        <v>15.747999999999999</v>
      </c>
      <c r="M3868" s="33">
        <v>0</v>
      </c>
      <c r="O3868" s="38">
        <v>14.985999999999999</v>
      </c>
      <c r="P3868" s="33">
        <v>3.7</v>
      </c>
      <c r="Q3868" s="33">
        <v>5.2</v>
      </c>
      <c r="X3868" s="33"/>
      <c r="AB3868" s="1"/>
    </row>
    <row r="3869" spans="1:28" x14ac:dyDescent="0.25">
      <c r="A3869" s="22">
        <v>42220</v>
      </c>
      <c r="B3869" s="33">
        <v>7</v>
      </c>
      <c r="C3869" s="30">
        <v>8.9</v>
      </c>
      <c r="D3869" s="33">
        <v>13.2</v>
      </c>
      <c r="F3869" s="30">
        <v>0</v>
      </c>
      <c r="G3869" s="33">
        <v>26</v>
      </c>
      <c r="H3869" s="1"/>
      <c r="I3869" s="30">
        <v>11.9</v>
      </c>
      <c r="J3869" s="33">
        <v>10.5</v>
      </c>
      <c r="K3869" s="30">
        <v>21.1</v>
      </c>
      <c r="L3869" s="38">
        <v>5.8419999999999996</v>
      </c>
      <c r="M3869" s="33">
        <v>0</v>
      </c>
      <c r="O3869" s="38">
        <v>11.43</v>
      </c>
      <c r="P3869" s="33">
        <v>13.5</v>
      </c>
      <c r="Q3869" s="33">
        <v>16.5</v>
      </c>
      <c r="X3869" s="33"/>
      <c r="AB3869" s="1"/>
    </row>
    <row r="3870" spans="1:28" x14ac:dyDescent="0.25">
      <c r="A3870" s="22">
        <v>42221</v>
      </c>
      <c r="B3870" s="33">
        <v>14.3</v>
      </c>
      <c r="C3870" s="30">
        <v>16.7</v>
      </c>
      <c r="D3870" s="30">
        <v>24.4</v>
      </c>
      <c r="F3870" s="30">
        <v>15.1</v>
      </c>
      <c r="G3870" s="33">
        <v>77.2</v>
      </c>
      <c r="H3870" s="1"/>
      <c r="I3870" s="30">
        <v>22.6</v>
      </c>
      <c r="J3870" s="30">
        <v>11.3</v>
      </c>
      <c r="K3870" s="30">
        <v>29.4</v>
      </c>
      <c r="L3870" s="38">
        <v>8.8899999999999988</v>
      </c>
      <c r="M3870" s="33">
        <v>0</v>
      </c>
      <c r="O3870" s="38">
        <v>24.13</v>
      </c>
      <c r="P3870" s="33">
        <v>8.9</v>
      </c>
      <c r="Q3870" s="33">
        <v>3.8</v>
      </c>
      <c r="X3870" s="33"/>
      <c r="AB3870" s="1"/>
    </row>
    <row r="3871" spans="1:28" x14ac:dyDescent="0.25">
      <c r="A3871" s="22">
        <v>42222</v>
      </c>
      <c r="B3871" s="33">
        <v>21.4</v>
      </c>
      <c r="C3871" s="30">
        <v>29.5</v>
      </c>
      <c r="D3871" s="30">
        <v>29.3</v>
      </c>
      <c r="F3871" s="30">
        <v>0</v>
      </c>
      <c r="G3871" s="33">
        <v>8.5</v>
      </c>
      <c r="H3871" s="1"/>
      <c r="I3871" s="30">
        <v>40.200000000000003</v>
      </c>
      <c r="J3871" s="30">
        <v>76.5</v>
      </c>
      <c r="K3871" s="30">
        <v>82.1</v>
      </c>
      <c r="L3871" s="38">
        <v>15.747999999999999</v>
      </c>
      <c r="M3871" s="33">
        <v>0</v>
      </c>
      <c r="O3871" s="38">
        <v>40.64</v>
      </c>
      <c r="P3871" s="33">
        <v>11.4</v>
      </c>
      <c r="Q3871" s="33">
        <v>12.1</v>
      </c>
      <c r="X3871" s="33"/>
      <c r="AB3871" s="1"/>
    </row>
    <row r="3872" spans="1:28" x14ac:dyDescent="0.25">
      <c r="A3872" s="22">
        <v>42223</v>
      </c>
      <c r="B3872" s="33">
        <v>5.5</v>
      </c>
      <c r="C3872" s="33">
        <v>0</v>
      </c>
      <c r="D3872" s="30">
        <v>10.1</v>
      </c>
      <c r="F3872" s="30">
        <v>0</v>
      </c>
      <c r="G3872" s="33">
        <v>38.5</v>
      </c>
      <c r="H3872" s="1"/>
      <c r="I3872" s="33">
        <v>7.4</v>
      </c>
      <c r="J3872" s="30">
        <v>12.4</v>
      </c>
      <c r="K3872" s="30">
        <v>4.2</v>
      </c>
      <c r="L3872" s="38">
        <v>3.0479999999999996</v>
      </c>
      <c r="M3872" s="33">
        <v>0</v>
      </c>
      <c r="O3872" s="38">
        <v>16.509999999999998</v>
      </c>
      <c r="P3872" s="33">
        <v>0.5</v>
      </c>
      <c r="Q3872" s="33">
        <v>16.3</v>
      </c>
      <c r="X3872" s="33"/>
      <c r="AB3872" s="1"/>
    </row>
    <row r="3873" spans="1:28" x14ac:dyDescent="0.25">
      <c r="A3873" s="22">
        <v>42224</v>
      </c>
      <c r="B3873" s="33">
        <v>10.8</v>
      </c>
      <c r="C3873" s="30">
        <v>6.2</v>
      </c>
      <c r="D3873" s="33">
        <v>7.2</v>
      </c>
      <c r="F3873" s="30">
        <v>0</v>
      </c>
      <c r="G3873" s="33">
        <v>6.7</v>
      </c>
      <c r="H3873" s="2"/>
      <c r="I3873" s="30">
        <v>26.6</v>
      </c>
      <c r="J3873" s="30">
        <v>23.8</v>
      </c>
      <c r="K3873" s="30">
        <v>17.2</v>
      </c>
      <c r="L3873" s="38">
        <v>10.921999999999999</v>
      </c>
      <c r="M3873" s="33">
        <v>0</v>
      </c>
      <c r="O3873" s="38">
        <v>25.4</v>
      </c>
      <c r="P3873" s="33">
        <v>2.1</v>
      </c>
      <c r="Q3873" s="33">
        <v>19.2</v>
      </c>
      <c r="X3873" s="33"/>
      <c r="AB3873" s="2"/>
    </row>
    <row r="3874" spans="1:28" x14ac:dyDescent="0.25">
      <c r="A3874" s="22">
        <v>42225</v>
      </c>
      <c r="B3874" s="33">
        <v>8.6999999999999993</v>
      </c>
      <c r="C3874" s="30">
        <v>23.3</v>
      </c>
      <c r="D3874" s="33">
        <v>1.4</v>
      </c>
      <c r="F3874" s="30">
        <v>16</v>
      </c>
      <c r="G3874" s="33">
        <v>17.399999999999999</v>
      </c>
      <c r="H3874" s="2"/>
      <c r="I3874" s="30">
        <v>7.9</v>
      </c>
      <c r="J3874" s="30">
        <v>11.3</v>
      </c>
      <c r="K3874" s="30">
        <v>25.1</v>
      </c>
      <c r="L3874" s="38">
        <v>5.3339999999999996</v>
      </c>
      <c r="M3874" s="33">
        <v>0</v>
      </c>
      <c r="O3874" s="38">
        <v>22.86</v>
      </c>
      <c r="P3874" s="33">
        <v>15.7</v>
      </c>
      <c r="Q3874" s="33">
        <v>0.8</v>
      </c>
      <c r="X3874" s="33"/>
      <c r="AB3874" s="2"/>
    </row>
    <row r="3875" spans="1:28" x14ac:dyDescent="0.25">
      <c r="A3875" s="22">
        <v>42226</v>
      </c>
      <c r="B3875" s="33">
        <v>0</v>
      </c>
      <c r="C3875" s="30">
        <v>35.6</v>
      </c>
      <c r="D3875" s="33">
        <v>2.6</v>
      </c>
      <c r="F3875" s="30">
        <v>0</v>
      </c>
      <c r="G3875" s="33">
        <v>5.2</v>
      </c>
      <c r="H3875" s="2"/>
      <c r="I3875" s="30">
        <v>30.3</v>
      </c>
      <c r="J3875" s="30">
        <v>14.2</v>
      </c>
      <c r="K3875" s="30">
        <v>17.5</v>
      </c>
      <c r="L3875" s="38">
        <v>0</v>
      </c>
      <c r="M3875" s="33">
        <v>0</v>
      </c>
      <c r="O3875" s="38">
        <v>15.747999999999999</v>
      </c>
      <c r="P3875" s="33">
        <v>9.5</v>
      </c>
      <c r="Q3875" s="33">
        <v>7.2</v>
      </c>
      <c r="X3875" s="33"/>
      <c r="AB3875" s="2"/>
    </row>
    <row r="3876" spans="1:28" x14ac:dyDescent="0.25">
      <c r="A3876" s="22">
        <v>42227</v>
      </c>
      <c r="B3876" s="33">
        <v>80.5</v>
      </c>
      <c r="C3876" s="30">
        <v>0.5</v>
      </c>
      <c r="D3876" s="33">
        <v>4</v>
      </c>
      <c r="F3876" s="30">
        <v>0</v>
      </c>
      <c r="G3876" s="33">
        <v>3.2</v>
      </c>
      <c r="H3876" s="2"/>
      <c r="I3876" s="30">
        <v>2.6</v>
      </c>
      <c r="J3876" s="30">
        <v>28</v>
      </c>
      <c r="K3876" s="30">
        <v>4.9000000000000004</v>
      </c>
      <c r="L3876" s="38">
        <v>8.1280000000000001</v>
      </c>
      <c r="M3876" s="33">
        <v>0</v>
      </c>
      <c r="O3876" s="38">
        <v>4.8259999999999996</v>
      </c>
      <c r="P3876" s="33">
        <v>7.6</v>
      </c>
      <c r="Q3876" s="33">
        <v>8.3000000000000007</v>
      </c>
      <c r="X3876" s="33"/>
      <c r="AB3876" s="2"/>
    </row>
    <row r="3877" spans="1:28" x14ac:dyDescent="0.25">
      <c r="A3877" s="22">
        <v>42228</v>
      </c>
      <c r="B3877" s="33">
        <v>5.5</v>
      </c>
      <c r="C3877" s="30">
        <v>3.9</v>
      </c>
      <c r="D3877" s="33">
        <v>5.7</v>
      </c>
      <c r="F3877" s="30">
        <v>0</v>
      </c>
      <c r="G3877" s="33">
        <v>26.3</v>
      </c>
      <c r="H3877" s="2"/>
      <c r="I3877" s="30">
        <v>2.1</v>
      </c>
      <c r="J3877" s="33">
        <v>6.7</v>
      </c>
      <c r="K3877" s="30">
        <v>0.1</v>
      </c>
      <c r="L3877" s="38">
        <v>15.493999999999998</v>
      </c>
      <c r="M3877" s="33">
        <v>0</v>
      </c>
      <c r="O3877" s="38">
        <v>7.1120000000000001</v>
      </c>
      <c r="P3877" s="33">
        <v>5.7</v>
      </c>
      <c r="Q3877" s="33">
        <v>14.3</v>
      </c>
      <c r="X3877" s="33"/>
      <c r="AB3877" s="2"/>
    </row>
    <row r="3878" spans="1:28" x14ac:dyDescent="0.25">
      <c r="A3878" s="22">
        <v>42229</v>
      </c>
      <c r="B3878" s="33">
        <v>31.9</v>
      </c>
      <c r="C3878" s="33">
        <v>5.0999999999999996</v>
      </c>
      <c r="D3878" s="33">
        <v>23.2</v>
      </c>
      <c r="F3878" s="30">
        <v>33.1</v>
      </c>
      <c r="G3878" s="30">
        <v>0.4</v>
      </c>
      <c r="H3878" s="2"/>
      <c r="I3878" s="30">
        <v>0</v>
      </c>
      <c r="J3878" s="33">
        <v>16.5</v>
      </c>
      <c r="K3878" s="30">
        <v>26</v>
      </c>
      <c r="L3878" s="38">
        <v>16.001999999999999</v>
      </c>
      <c r="M3878" s="33">
        <v>0</v>
      </c>
      <c r="O3878" s="38">
        <v>20.32</v>
      </c>
      <c r="P3878" s="33">
        <v>26.5</v>
      </c>
      <c r="Q3878" s="33">
        <v>3</v>
      </c>
      <c r="X3878" s="33"/>
      <c r="AB3878" s="2"/>
    </row>
    <row r="3879" spans="1:28" x14ac:dyDescent="0.25">
      <c r="A3879" s="22">
        <v>42230</v>
      </c>
      <c r="B3879" s="33">
        <v>11</v>
      </c>
      <c r="C3879" s="33">
        <v>26.4</v>
      </c>
      <c r="D3879" s="33">
        <v>8.5</v>
      </c>
      <c r="F3879" s="30">
        <v>0</v>
      </c>
      <c r="G3879" s="30">
        <v>0</v>
      </c>
      <c r="H3879" s="2"/>
      <c r="I3879" s="30">
        <v>24.2</v>
      </c>
      <c r="J3879" s="33">
        <v>5.0999999999999996</v>
      </c>
      <c r="K3879" s="30">
        <v>10</v>
      </c>
      <c r="L3879" s="38">
        <v>0</v>
      </c>
      <c r="M3879" s="33">
        <v>0</v>
      </c>
      <c r="O3879" s="38">
        <v>1.27</v>
      </c>
      <c r="P3879" s="33">
        <v>0</v>
      </c>
      <c r="Q3879" s="33">
        <v>4.0999999999999996</v>
      </c>
      <c r="X3879" s="33"/>
      <c r="AB3879" s="2"/>
    </row>
    <row r="3880" spans="1:28" x14ac:dyDescent="0.25">
      <c r="A3880" s="22">
        <v>42231</v>
      </c>
      <c r="B3880" s="33">
        <v>9</v>
      </c>
      <c r="C3880" s="30">
        <v>0</v>
      </c>
      <c r="D3880" s="33">
        <v>3.7</v>
      </c>
      <c r="F3880" s="30">
        <v>0</v>
      </c>
      <c r="G3880" s="30">
        <v>0</v>
      </c>
      <c r="H3880" s="1"/>
      <c r="I3880" s="30">
        <v>1.4</v>
      </c>
      <c r="J3880" s="30">
        <v>5.3</v>
      </c>
      <c r="K3880" s="30">
        <v>4.8</v>
      </c>
      <c r="L3880" s="38">
        <v>2.794</v>
      </c>
      <c r="M3880" s="33">
        <v>0</v>
      </c>
      <c r="O3880" s="38">
        <v>8.1280000000000001</v>
      </c>
      <c r="P3880" s="33">
        <v>1.5</v>
      </c>
      <c r="Q3880" s="33">
        <v>0</v>
      </c>
      <c r="X3880" s="33"/>
      <c r="AB3880" s="1"/>
    </row>
    <row r="3881" spans="1:28" x14ac:dyDescent="0.25">
      <c r="A3881" s="22">
        <v>42232</v>
      </c>
      <c r="B3881" s="33">
        <v>0</v>
      </c>
      <c r="C3881" s="30">
        <v>0</v>
      </c>
      <c r="D3881" s="33">
        <v>0</v>
      </c>
      <c r="F3881" s="30">
        <v>0</v>
      </c>
      <c r="G3881" s="30">
        <v>0</v>
      </c>
      <c r="H3881" s="1"/>
      <c r="I3881" s="33">
        <v>0</v>
      </c>
      <c r="J3881" s="30">
        <v>0.1</v>
      </c>
      <c r="K3881" s="30">
        <v>0</v>
      </c>
      <c r="L3881" s="38">
        <v>0</v>
      </c>
      <c r="M3881" s="33">
        <v>0</v>
      </c>
      <c r="O3881" s="38">
        <v>1.5239999999999998</v>
      </c>
      <c r="P3881" s="33">
        <v>0</v>
      </c>
      <c r="Q3881" s="33">
        <v>1</v>
      </c>
      <c r="X3881" s="33"/>
      <c r="AB3881" s="1"/>
    </row>
    <row r="3882" spans="1:28" x14ac:dyDescent="0.25">
      <c r="A3882" s="22">
        <v>42233</v>
      </c>
      <c r="B3882" s="33">
        <v>0</v>
      </c>
      <c r="C3882" s="30">
        <v>0</v>
      </c>
      <c r="D3882" s="33">
        <v>0</v>
      </c>
      <c r="F3882" s="30">
        <v>0</v>
      </c>
      <c r="G3882" s="33">
        <v>3</v>
      </c>
      <c r="H3882" s="2"/>
      <c r="I3882" s="30">
        <v>0</v>
      </c>
      <c r="J3882" s="30">
        <v>0.5</v>
      </c>
      <c r="K3882" s="30">
        <v>4</v>
      </c>
      <c r="L3882" s="38">
        <v>1.27</v>
      </c>
      <c r="M3882" s="33">
        <v>0</v>
      </c>
      <c r="O3882" s="38">
        <v>2.54</v>
      </c>
      <c r="P3882" s="33">
        <v>0</v>
      </c>
      <c r="Q3882" s="33">
        <v>3</v>
      </c>
      <c r="X3882" s="33"/>
      <c r="AB3882" s="2"/>
    </row>
    <row r="3883" spans="1:28" x14ac:dyDescent="0.25">
      <c r="A3883" s="22">
        <v>42234</v>
      </c>
      <c r="B3883" s="33">
        <v>0</v>
      </c>
      <c r="C3883" s="30">
        <v>0</v>
      </c>
      <c r="D3883" s="30">
        <v>2.5</v>
      </c>
      <c r="F3883" s="30">
        <v>0</v>
      </c>
      <c r="G3883" s="33">
        <v>2.6</v>
      </c>
      <c r="H3883" s="2"/>
      <c r="I3883" s="30">
        <v>2.4</v>
      </c>
      <c r="J3883" s="33">
        <v>1.6</v>
      </c>
      <c r="K3883" s="33">
        <v>1.5</v>
      </c>
      <c r="L3883" s="38">
        <v>2.032</v>
      </c>
      <c r="M3883" s="33">
        <v>0</v>
      </c>
      <c r="O3883" s="38">
        <v>0.50800000000000001</v>
      </c>
      <c r="P3883" s="33">
        <v>0</v>
      </c>
      <c r="Q3883" s="33">
        <v>0.6</v>
      </c>
      <c r="X3883" s="33"/>
      <c r="AB3883" s="2"/>
    </row>
    <row r="3884" spans="1:28" x14ac:dyDescent="0.25">
      <c r="A3884" s="22">
        <v>42235</v>
      </c>
      <c r="B3884" s="33">
        <v>0</v>
      </c>
      <c r="C3884" s="30">
        <v>0</v>
      </c>
      <c r="D3884" s="33">
        <v>0</v>
      </c>
      <c r="F3884" s="30">
        <v>0</v>
      </c>
      <c r="G3884" s="33">
        <v>1.8</v>
      </c>
      <c r="H3884" s="2"/>
      <c r="I3884" s="30">
        <v>0</v>
      </c>
      <c r="J3884" s="33">
        <v>0.9</v>
      </c>
      <c r="K3884" s="30">
        <v>2.4</v>
      </c>
      <c r="L3884" s="38">
        <v>0</v>
      </c>
      <c r="M3884" s="33">
        <v>0</v>
      </c>
      <c r="O3884" s="38">
        <v>5.08</v>
      </c>
      <c r="P3884" s="33">
        <v>0</v>
      </c>
      <c r="Q3884" s="33">
        <v>0.2</v>
      </c>
      <c r="X3884" s="33"/>
      <c r="AB3884" s="2"/>
    </row>
    <row r="3885" spans="1:28" x14ac:dyDescent="0.25">
      <c r="A3885" s="22">
        <v>42236</v>
      </c>
      <c r="B3885" s="33">
        <v>1.4</v>
      </c>
      <c r="C3885" s="30">
        <f>0*25.4</f>
        <v>0</v>
      </c>
      <c r="D3885" s="33">
        <v>2.4</v>
      </c>
      <c r="F3885" s="30">
        <v>0</v>
      </c>
      <c r="G3885" s="33">
        <v>6.3</v>
      </c>
      <c r="H3885" s="1"/>
      <c r="I3885" s="30">
        <v>0</v>
      </c>
      <c r="J3885" s="30">
        <v>5.0999999999999996</v>
      </c>
      <c r="K3885" s="33">
        <v>38</v>
      </c>
      <c r="L3885" s="38">
        <v>0</v>
      </c>
      <c r="M3885" s="33">
        <v>0</v>
      </c>
      <c r="O3885" s="38">
        <v>2.54</v>
      </c>
      <c r="P3885" s="33">
        <v>0</v>
      </c>
      <c r="Q3885" s="33">
        <v>27.2</v>
      </c>
      <c r="X3885" s="33"/>
      <c r="AB3885" s="1"/>
    </row>
    <row r="3886" spans="1:28" x14ac:dyDescent="0.25">
      <c r="A3886" s="22">
        <v>42237</v>
      </c>
      <c r="B3886" s="33">
        <v>0</v>
      </c>
      <c r="C3886" s="30">
        <f>0.47*25.4</f>
        <v>11.937999999999999</v>
      </c>
      <c r="D3886" s="33">
        <v>22.3</v>
      </c>
      <c r="F3886" s="30">
        <v>0</v>
      </c>
      <c r="G3886" s="33">
        <v>6</v>
      </c>
      <c r="H3886" s="1"/>
      <c r="I3886" s="30">
        <v>4.5</v>
      </c>
      <c r="J3886" s="33">
        <v>4.0999999999999996</v>
      </c>
      <c r="K3886" s="33">
        <v>7.3</v>
      </c>
      <c r="L3886" s="38">
        <v>3.0479999999999996</v>
      </c>
      <c r="M3886" s="33">
        <v>0</v>
      </c>
      <c r="O3886" s="38">
        <v>19.812000000000001</v>
      </c>
      <c r="P3886" s="33">
        <v>5.4</v>
      </c>
      <c r="Q3886" s="33">
        <v>0.4</v>
      </c>
      <c r="X3886" s="33"/>
      <c r="AB3886" s="1"/>
    </row>
    <row r="3887" spans="1:28" x14ac:dyDescent="0.25">
      <c r="A3887" s="22">
        <v>42238</v>
      </c>
      <c r="B3887" s="33">
        <v>1.2</v>
      </c>
      <c r="C3887" s="30">
        <v>0</v>
      </c>
      <c r="D3887" s="30">
        <v>9.4</v>
      </c>
      <c r="F3887" s="30">
        <v>0</v>
      </c>
      <c r="G3887" s="33">
        <v>0</v>
      </c>
      <c r="H3887" s="2"/>
      <c r="I3887" s="30">
        <v>0</v>
      </c>
      <c r="J3887" s="33">
        <v>3.4</v>
      </c>
      <c r="K3887" s="33">
        <v>11.5</v>
      </c>
      <c r="L3887" s="38">
        <v>7.8739999999999997</v>
      </c>
      <c r="M3887" s="33">
        <v>0</v>
      </c>
      <c r="O3887" s="38">
        <v>5.3339999999999996</v>
      </c>
      <c r="P3887" s="33">
        <v>0</v>
      </c>
      <c r="Q3887" s="33">
        <v>0</v>
      </c>
      <c r="X3887" s="33"/>
      <c r="AB3887" s="2"/>
    </row>
    <row r="3888" spans="1:28" x14ac:dyDescent="0.25">
      <c r="A3888" s="22">
        <v>42239</v>
      </c>
      <c r="B3888" s="33">
        <v>0</v>
      </c>
      <c r="C3888" s="33">
        <f>0*25.4</f>
        <v>0</v>
      </c>
      <c r="D3888" s="30">
        <v>0</v>
      </c>
      <c r="F3888" s="30">
        <v>0</v>
      </c>
      <c r="G3888" s="33">
        <v>0</v>
      </c>
      <c r="H3888" s="1"/>
      <c r="I3888" s="33">
        <v>0</v>
      </c>
      <c r="J3888" s="33">
        <v>0.1</v>
      </c>
      <c r="K3888" s="33">
        <v>0.3</v>
      </c>
      <c r="L3888" s="38">
        <v>2.794</v>
      </c>
      <c r="M3888" s="33">
        <v>0</v>
      </c>
      <c r="O3888" s="38">
        <v>0</v>
      </c>
      <c r="P3888" s="33">
        <v>0</v>
      </c>
      <c r="Q3888" s="33">
        <v>4.5</v>
      </c>
      <c r="X3888" s="33"/>
      <c r="AB3888" s="1"/>
    </row>
    <row r="3889" spans="1:28" x14ac:dyDescent="0.25">
      <c r="A3889" s="22">
        <v>42240</v>
      </c>
      <c r="B3889" s="33">
        <v>0</v>
      </c>
      <c r="C3889" s="33">
        <f>0.05*25.4</f>
        <v>1.27</v>
      </c>
      <c r="D3889" s="30">
        <v>0</v>
      </c>
      <c r="F3889" s="30">
        <v>0</v>
      </c>
      <c r="G3889" s="33">
        <v>0</v>
      </c>
      <c r="H3889" s="1"/>
      <c r="I3889" s="30">
        <v>6</v>
      </c>
      <c r="J3889" s="33">
        <v>0.1</v>
      </c>
      <c r="K3889" s="30">
        <v>0</v>
      </c>
      <c r="L3889" s="38">
        <v>3.302</v>
      </c>
      <c r="M3889" s="33">
        <v>0</v>
      </c>
      <c r="O3889" s="38">
        <v>0</v>
      </c>
      <c r="P3889" s="33">
        <v>1.9</v>
      </c>
      <c r="Q3889" s="33">
        <v>0</v>
      </c>
      <c r="X3889" s="33"/>
      <c r="AB3889" s="1"/>
    </row>
    <row r="3890" spans="1:28" x14ac:dyDescent="0.25">
      <c r="A3890" s="22">
        <v>42241</v>
      </c>
      <c r="B3890" s="33">
        <v>1.6</v>
      </c>
      <c r="C3890" s="33">
        <v>0</v>
      </c>
      <c r="D3890" s="30">
        <v>0</v>
      </c>
      <c r="F3890" s="30">
        <v>0</v>
      </c>
      <c r="G3890" s="33">
        <v>0.7</v>
      </c>
      <c r="H3890" s="1"/>
      <c r="I3890" s="33">
        <v>0</v>
      </c>
      <c r="J3890" s="30" t="s">
        <v>9</v>
      </c>
      <c r="K3890" s="30">
        <v>0</v>
      </c>
      <c r="L3890" s="38">
        <v>0</v>
      </c>
      <c r="M3890" s="33">
        <v>0</v>
      </c>
      <c r="O3890" s="38">
        <v>0</v>
      </c>
      <c r="P3890" s="33">
        <v>0.9</v>
      </c>
      <c r="Q3890" s="33">
        <v>0.7</v>
      </c>
      <c r="X3890" s="33"/>
      <c r="AB3890" s="1"/>
    </row>
    <row r="3891" spans="1:28" x14ac:dyDescent="0.25">
      <c r="A3891" s="22">
        <v>42242</v>
      </c>
      <c r="B3891" s="33">
        <v>0</v>
      </c>
      <c r="C3891" s="33">
        <v>0</v>
      </c>
      <c r="D3891" s="33">
        <v>0</v>
      </c>
      <c r="F3891" s="30">
        <v>0</v>
      </c>
      <c r="G3891" s="33">
        <v>0.6</v>
      </c>
      <c r="H3891" s="1"/>
      <c r="I3891" s="33">
        <v>0</v>
      </c>
      <c r="J3891" s="30" t="s">
        <v>9</v>
      </c>
      <c r="K3891" s="30">
        <v>1.6</v>
      </c>
      <c r="L3891" s="38">
        <v>10.413999999999998</v>
      </c>
      <c r="M3891" s="33">
        <v>0</v>
      </c>
      <c r="O3891" s="38">
        <v>0.50800000000000001</v>
      </c>
      <c r="P3891" s="33">
        <v>0</v>
      </c>
      <c r="Q3891" s="33">
        <v>0</v>
      </c>
      <c r="X3891" s="33"/>
      <c r="AB3891" s="1"/>
    </row>
    <row r="3892" spans="1:28" x14ac:dyDescent="0.25">
      <c r="A3892" s="22">
        <v>42243</v>
      </c>
      <c r="B3892" s="33">
        <v>0</v>
      </c>
      <c r="C3892" s="33">
        <v>0</v>
      </c>
      <c r="D3892" s="33">
        <v>28.3</v>
      </c>
      <c r="F3892" s="30">
        <v>0</v>
      </c>
      <c r="G3892" s="33">
        <v>0</v>
      </c>
      <c r="H3892" s="1"/>
      <c r="I3892" s="33">
        <v>3</v>
      </c>
      <c r="J3892" s="30">
        <v>17.8</v>
      </c>
      <c r="K3892" s="33">
        <v>51</v>
      </c>
      <c r="L3892" s="38">
        <v>5.3339999999999996</v>
      </c>
      <c r="M3892" s="33">
        <v>0</v>
      </c>
      <c r="O3892" s="38">
        <v>34.798000000000002</v>
      </c>
      <c r="P3892" s="33">
        <v>0</v>
      </c>
      <c r="Q3892" s="33">
        <v>0</v>
      </c>
      <c r="X3892" s="33"/>
      <c r="AB3892" s="1"/>
    </row>
    <row r="3893" spans="1:28" x14ac:dyDescent="0.25">
      <c r="A3893" s="22">
        <v>42244</v>
      </c>
      <c r="B3893" s="33">
        <v>0</v>
      </c>
      <c r="C3893" s="33">
        <v>0</v>
      </c>
      <c r="D3893" s="33">
        <v>3</v>
      </c>
      <c r="F3893" s="30">
        <v>0</v>
      </c>
      <c r="G3893" s="33">
        <v>11.3</v>
      </c>
      <c r="H3893" s="1"/>
      <c r="I3893" s="30">
        <v>0</v>
      </c>
      <c r="J3893" s="33">
        <v>1.2</v>
      </c>
      <c r="K3893" s="33">
        <v>1.8</v>
      </c>
      <c r="L3893" s="38">
        <v>6.0959999999999992</v>
      </c>
      <c r="M3893" s="33">
        <v>0</v>
      </c>
      <c r="O3893" s="38">
        <v>0</v>
      </c>
      <c r="P3893" s="33">
        <v>0</v>
      </c>
      <c r="Q3893" s="33">
        <v>5.8</v>
      </c>
      <c r="X3893" s="33"/>
      <c r="AB3893" s="1"/>
    </row>
    <row r="3894" spans="1:28" x14ac:dyDescent="0.25">
      <c r="A3894" s="22">
        <v>42245</v>
      </c>
      <c r="B3894" s="33">
        <v>6</v>
      </c>
      <c r="C3894" s="33">
        <f>0.22*25.4</f>
        <v>5.5880000000000001</v>
      </c>
      <c r="D3894" s="33">
        <v>14.7</v>
      </c>
      <c r="F3894" s="30">
        <v>67.599999999999994</v>
      </c>
      <c r="G3894" s="33">
        <v>27.8</v>
      </c>
      <c r="H3894" s="1"/>
      <c r="I3894" s="30">
        <v>10</v>
      </c>
      <c r="J3894" s="33">
        <v>1.2</v>
      </c>
      <c r="K3894" s="33">
        <v>30.4</v>
      </c>
      <c r="L3894" s="38">
        <v>0.254</v>
      </c>
      <c r="M3894" s="33">
        <v>0</v>
      </c>
      <c r="O3894" s="38">
        <v>5.08</v>
      </c>
      <c r="P3894" s="33">
        <v>11.4</v>
      </c>
      <c r="Q3894" s="33">
        <v>8.5</v>
      </c>
      <c r="X3894" s="33"/>
      <c r="AB3894" s="1"/>
    </row>
    <row r="3895" spans="1:28" x14ac:dyDescent="0.25">
      <c r="A3895" s="22">
        <v>42246</v>
      </c>
      <c r="B3895" s="33">
        <v>80.599999999999994</v>
      </c>
      <c r="C3895" s="33">
        <f>0.82*25.4</f>
        <v>20.827999999999996</v>
      </c>
      <c r="D3895" s="33">
        <v>0</v>
      </c>
      <c r="F3895" s="30">
        <v>0</v>
      </c>
      <c r="G3895" s="33">
        <v>13</v>
      </c>
      <c r="H3895" s="1"/>
      <c r="I3895" s="30">
        <v>14.6</v>
      </c>
      <c r="J3895" s="33">
        <v>12</v>
      </c>
      <c r="K3895" s="33">
        <v>0</v>
      </c>
      <c r="L3895" s="38">
        <v>7.3659999999999988</v>
      </c>
      <c r="M3895" s="33">
        <v>176.3</v>
      </c>
      <c r="O3895" s="38">
        <v>19.812000000000001</v>
      </c>
      <c r="P3895" s="33">
        <v>10.5</v>
      </c>
      <c r="Q3895" s="33">
        <v>9.1</v>
      </c>
      <c r="X3895" s="33"/>
      <c r="AB3895" s="1"/>
    </row>
    <row r="3896" spans="1:28" x14ac:dyDescent="0.25">
      <c r="A3896" s="22">
        <v>42247</v>
      </c>
      <c r="B3896" s="33">
        <v>11.4</v>
      </c>
      <c r="C3896" s="33">
        <v>0</v>
      </c>
      <c r="D3896" s="33">
        <v>10.3</v>
      </c>
      <c r="F3896" s="30"/>
      <c r="G3896" s="33">
        <v>0.5</v>
      </c>
      <c r="H3896" s="1"/>
      <c r="I3896" s="30">
        <v>7</v>
      </c>
      <c r="J3896" s="33">
        <v>18.5</v>
      </c>
      <c r="K3896" s="33">
        <v>33.1</v>
      </c>
      <c r="M3896" s="33"/>
      <c r="O3896" s="38">
        <v>28.448</v>
      </c>
      <c r="P3896" s="33">
        <v>5.7</v>
      </c>
      <c r="Q3896" s="33">
        <v>2.2000000000000002</v>
      </c>
      <c r="X3896" s="33"/>
      <c r="AB3896" s="1"/>
    </row>
    <row r="3897" spans="1:28" x14ac:dyDescent="0.25">
      <c r="A3897" s="22">
        <v>42248</v>
      </c>
      <c r="B3897" s="33">
        <v>0</v>
      </c>
      <c r="C3897" s="33">
        <v>15.8</v>
      </c>
      <c r="D3897" s="33">
        <v>9.3000000000000007</v>
      </c>
      <c r="F3897" s="30">
        <v>0</v>
      </c>
      <c r="G3897" s="33">
        <v>0</v>
      </c>
      <c r="H3897" s="33">
        <v>0</v>
      </c>
      <c r="I3897" s="30">
        <v>2</v>
      </c>
      <c r="J3897" s="33"/>
      <c r="K3897" s="30">
        <v>0</v>
      </c>
      <c r="L3897" s="38">
        <v>0.7619999999999999</v>
      </c>
      <c r="M3897" s="33">
        <v>0</v>
      </c>
      <c r="O3897" s="38">
        <v>11.937999999999999</v>
      </c>
      <c r="P3897" s="33">
        <v>0.8</v>
      </c>
      <c r="Q3897" s="33">
        <v>0</v>
      </c>
      <c r="X3897" s="33"/>
      <c r="AB3897" s="33">
        <v>1</v>
      </c>
    </row>
    <row r="3898" spans="1:28" x14ac:dyDescent="0.25">
      <c r="A3898" s="22">
        <v>42249</v>
      </c>
      <c r="B3898" s="33">
        <v>0</v>
      </c>
      <c r="C3898" s="30" t="s">
        <v>9</v>
      </c>
      <c r="D3898" s="33">
        <v>0</v>
      </c>
      <c r="F3898" s="30">
        <v>0</v>
      </c>
      <c r="G3898" s="33">
        <v>0</v>
      </c>
      <c r="H3898" s="33">
        <v>0</v>
      </c>
      <c r="I3898" s="30">
        <v>0</v>
      </c>
      <c r="J3898" s="33"/>
      <c r="K3898" s="30">
        <v>0.5</v>
      </c>
      <c r="L3898" s="38">
        <v>0</v>
      </c>
      <c r="M3898" s="33">
        <v>0</v>
      </c>
      <c r="O3898" s="38">
        <v>1.016</v>
      </c>
      <c r="P3898" s="33">
        <v>6</v>
      </c>
      <c r="Q3898" s="33">
        <v>0</v>
      </c>
      <c r="X3898" s="33"/>
      <c r="AB3898" s="33">
        <v>0.2</v>
      </c>
    </row>
    <row r="3899" spans="1:28" x14ac:dyDescent="0.25">
      <c r="A3899" s="22">
        <v>42250</v>
      </c>
      <c r="B3899" s="33">
        <v>2.4</v>
      </c>
      <c r="C3899" s="30">
        <v>0</v>
      </c>
      <c r="D3899" s="33">
        <v>0</v>
      </c>
      <c r="F3899" s="30">
        <v>0</v>
      </c>
      <c r="G3899" s="33">
        <v>0</v>
      </c>
      <c r="H3899" s="33">
        <v>0</v>
      </c>
      <c r="I3899" s="30">
        <v>0</v>
      </c>
      <c r="J3899" s="33"/>
      <c r="K3899" s="30">
        <v>0</v>
      </c>
      <c r="L3899" s="38">
        <v>0</v>
      </c>
      <c r="M3899" s="33">
        <v>0</v>
      </c>
      <c r="O3899" s="38">
        <v>0</v>
      </c>
      <c r="P3899" s="33">
        <v>0</v>
      </c>
      <c r="Q3899" s="33">
        <v>0</v>
      </c>
      <c r="X3899" s="33"/>
      <c r="AB3899" s="33">
        <v>0.2</v>
      </c>
    </row>
    <row r="3900" spans="1:28" x14ac:dyDescent="0.25">
      <c r="A3900" s="22">
        <v>42251</v>
      </c>
      <c r="B3900" s="33">
        <v>5</v>
      </c>
      <c r="C3900" s="30">
        <v>0</v>
      </c>
      <c r="D3900" s="33">
        <v>0</v>
      </c>
      <c r="F3900" s="30">
        <v>0</v>
      </c>
      <c r="G3900" s="33">
        <v>0</v>
      </c>
      <c r="H3900" s="33">
        <v>0</v>
      </c>
      <c r="I3900" s="30">
        <v>0</v>
      </c>
      <c r="J3900" s="33"/>
      <c r="K3900" s="30">
        <v>0.6</v>
      </c>
      <c r="L3900" s="38">
        <v>0</v>
      </c>
      <c r="M3900" s="33">
        <v>0</v>
      </c>
      <c r="O3900" s="38">
        <v>0</v>
      </c>
      <c r="P3900" s="33">
        <v>0</v>
      </c>
      <c r="Q3900" s="33">
        <v>0</v>
      </c>
      <c r="X3900" s="33"/>
      <c r="AB3900" s="33">
        <v>0</v>
      </c>
    </row>
    <row r="3901" spans="1:28" x14ac:dyDescent="0.25">
      <c r="A3901" s="22">
        <v>42252</v>
      </c>
      <c r="B3901" s="30" t="s">
        <v>9</v>
      </c>
      <c r="C3901" s="30">
        <v>3</v>
      </c>
      <c r="D3901" s="30">
        <v>0</v>
      </c>
      <c r="F3901" s="30">
        <v>0</v>
      </c>
      <c r="G3901" s="33">
        <v>0</v>
      </c>
      <c r="H3901" s="33">
        <v>0</v>
      </c>
      <c r="I3901" s="30">
        <v>0</v>
      </c>
      <c r="J3901" s="33"/>
      <c r="K3901" s="30">
        <v>0.7</v>
      </c>
      <c r="L3901" s="38">
        <v>0</v>
      </c>
      <c r="M3901" s="33">
        <v>0</v>
      </c>
      <c r="O3901" s="38">
        <v>1.016</v>
      </c>
      <c r="P3901" s="33">
        <v>0.6</v>
      </c>
      <c r="Q3901" s="33">
        <v>6.2</v>
      </c>
      <c r="X3901" s="33"/>
      <c r="AB3901" s="33">
        <v>0.8</v>
      </c>
    </row>
    <row r="3902" spans="1:28" x14ac:dyDescent="0.25">
      <c r="A3902" s="22">
        <v>42253</v>
      </c>
      <c r="B3902" s="33">
        <v>0</v>
      </c>
      <c r="C3902" s="30">
        <v>6.5</v>
      </c>
      <c r="D3902" s="30">
        <v>0</v>
      </c>
      <c r="F3902" s="30">
        <v>0</v>
      </c>
      <c r="G3902" s="33">
        <v>17.5</v>
      </c>
      <c r="H3902" s="33">
        <v>0</v>
      </c>
      <c r="I3902" s="30">
        <v>7.1</v>
      </c>
      <c r="J3902" s="33"/>
      <c r="K3902" s="30">
        <v>0</v>
      </c>
      <c r="L3902" s="38">
        <v>18.033999999999999</v>
      </c>
      <c r="M3902" s="33">
        <v>0</v>
      </c>
      <c r="O3902" s="38">
        <v>4.5719999999999992</v>
      </c>
      <c r="P3902" s="33">
        <v>10.7</v>
      </c>
      <c r="Q3902" s="33">
        <v>13</v>
      </c>
      <c r="X3902" s="33"/>
      <c r="AB3902" s="33">
        <v>5.2</v>
      </c>
    </row>
    <row r="3903" spans="1:28" x14ac:dyDescent="0.25">
      <c r="A3903" s="22">
        <v>42254</v>
      </c>
      <c r="B3903" s="33">
        <v>27.6</v>
      </c>
      <c r="C3903" s="33">
        <v>24.9</v>
      </c>
      <c r="D3903" s="30">
        <v>37.700000000000003</v>
      </c>
      <c r="F3903" s="30">
        <v>0</v>
      </c>
      <c r="G3903" s="33">
        <v>18.600000000000001</v>
      </c>
      <c r="H3903" s="33">
        <v>1</v>
      </c>
      <c r="I3903" s="33">
        <v>0</v>
      </c>
      <c r="J3903" s="33"/>
      <c r="K3903" s="30">
        <v>13.1</v>
      </c>
      <c r="L3903" s="38">
        <v>3.556</v>
      </c>
      <c r="M3903" s="33">
        <v>0</v>
      </c>
      <c r="O3903" s="38">
        <v>12.191999999999998</v>
      </c>
      <c r="P3903" s="33">
        <v>3.7</v>
      </c>
      <c r="Q3903" s="33">
        <v>43.4</v>
      </c>
      <c r="X3903" s="33"/>
      <c r="AB3903" s="33">
        <v>19.8</v>
      </c>
    </row>
    <row r="3904" spans="1:28" x14ac:dyDescent="0.25">
      <c r="A3904" s="22">
        <v>42255</v>
      </c>
      <c r="B3904" s="33">
        <v>47.8</v>
      </c>
      <c r="C3904" s="30">
        <v>33.200000000000003</v>
      </c>
      <c r="D3904" s="33">
        <v>26</v>
      </c>
      <c r="F3904" s="30">
        <v>33.6</v>
      </c>
      <c r="G3904" s="33">
        <v>16.3</v>
      </c>
      <c r="H3904" s="33">
        <v>12</v>
      </c>
      <c r="I3904" s="30">
        <v>0</v>
      </c>
      <c r="J3904" s="33"/>
      <c r="K3904" s="30">
        <v>12.3</v>
      </c>
      <c r="L3904" s="38">
        <v>35.559999999999995</v>
      </c>
      <c r="M3904" s="33">
        <v>0</v>
      </c>
      <c r="O3904" s="38">
        <v>35.813999999999993</v>
      </c>
      <c r="P3904" s="33">
        <v>24.4</v>
      </c>
      <c r="Q3904" s="33">
        <v>3.6</v>
      </c>
      <c r="X3904" s="33"/>
      <c r="AB3904" s="33">
        <v>37.200000000000003</v>
      </c>
    </row>
    <row r="3905" spans="1:28" x14ac:dyDescent="0.25">
      <c r="A3905" s="22">
        <v>42256</v>
      </c>
      <c r="B3905" s="33">
        <v>6.4</v>
      </c>
      <c r="C3905" s="30">
        <v>16.2</v>
      </c>
      <c r="D3905" s="33">
        <v>11.3</v>
      </c>
      <c r="F3905" s="30">
        <v>13</v>
      </c>
      <c r="G3905" s="33">
        <v>0.3</v>
      </c>
      <c r="H3905" s="33">
        <v>6.5</v>
      </c>
      <c r="I3905" s="30">
        <v>25.5</v>
      </c>
      <c r="J3905" s="33"/>
      <c r="K3905" s="30">
        <v>10.9</v>
      </c>
      <c r="L3905" s="38">
        <v>4.8259999999999996</v>
      </c>
      <c r="M3905" s="33">
        <v>0</v>
      </c>
      <c r="O3905" s="38">
        <v>6.35</v>
      </c>
      <c r="P3905" s="33">
        <v>3.8</v>
      </c>
      <c r="Q3905" s="33">
        <v>24.3</v>
      </c>
      <c r="X3905" s="33"/>
      <c r="AB3905" s="33">
        <v>8.1999999999999993</v>
      </c>
    </row>
    <row r="3906" spans="1:28" x14ac:dyDescent="0.25">
      <c r="A3906" s="22">
        <v>42257</v>
      </c>
      <c r="B3906" s="33">
        <v>47.5</v>
      </c>
      <c r="C3906" s="30">
        <v>24</v>
      </c>
      <c r="D3906" s="33">
        <v>9.4</v>
      </c>
      <c r="F3906" s="30">
        <v>23.3</v>
      </c>
      <c r="G3906" s="33">
        <v>33.5</v>
      </c>
      <c r="H3906" s="33">
        <v>9.4</v>
      </c>
      <c r="I3906" s="30">
        <v>0</v>
      </c>
      <c r="J3906" s="33"/>
      <c r="K3906" s="30">
        <v>16.899999999999999</v>
      </c>
      <c r="L3906" s="38">
        <v>37.083999999999996</v>
      </c>
      <c r="M3906" s="33">
        <v>0</v>
      </c>
      <c r="O3906" s="38">
        <v>25.907999999999998</v>
      </c>
      <c r="P3906" s="33">
        <v>34.6</v>
      </c>
      <c r="Q3906" s="33">
        <v>60.3</v>
      </c>
      <c r="X3906" s="33"/>
      <c r="AB3906" s="33">
        <v>31.8</v>
      </c>
    </row>
    <row r="3907" spans="1:28" x14ac:dyDescent="0.25">
      <c r="A3907" s="22">
        <v>42258</v>
      </c>
      <c r="B3907" s="33">
        <v>2.7</v>
      </c>
      <c r="C3907" s="30">
        <v>25.5</v>
      </c>
      <c r="D3907" s="33">
        <v>21.5</v>
      </c>
      <c r="F3907" s="30">
        <v>0</v>
      </c>
      <c r="G3907" s="33">
        <v>0</v>
      </c>
      <c r="H3907" s="33">
        <v>35.299999999999997</v>
      </c>
      <c r="I3907" s="30">
        <v>21</v>
      </c>
      <c r="J3907" s="33"/>
      <c r="K3907" s="30">
        <v>16.600000000000001</v>
      </c>
      <c r="L3907" s="38">
        <v>45.72</v>
      </c>
      <c r="M3907" s="33">
        <v>0</v>
      </c>
      <c r="O3907" s="38">
        <v>30.987999999999996</v>
      </c>
      <c r="P3907" s="33">
        <v>48</v>
      </c>
      <c r="Q3907" s="33">
        <v>0</v>
      </c>
      <c r="X3907" s="33"/>
      <c r="AB3907" s="33">
        <v>57.2</v>
      </c>
    </row>
    <row r="3908" spans="1:28" x14ac:dyDescent="0.25">
      <c r="A3908" s="22">
        <v>42259</v>
      </c>
      <c r="B3908" s="30" t="s">
        <v>9</v>
      </c>
      <c r="C3908" s="30" t="s">
        <v>9</v>
      </c>
      <c r="D3908" s="33">
        <v>27.5</v>
      </c>
      <c r="F3908" s="30">
        <v>0</v>
      </c>
      <c r="G3908" s="33">
        <v>7.5</v>
      </c>
      <c r="H3908" s="33">
        <v>0</v>
      </c>
      <c r="I3908" s="30">
        <v>0</v>
      </c>
      <c r="J3908" s="33"/>
      <c r="K3908" s="30">
        <v>0.3</v>
      </c>
      <c r="L3908" s="38">
        <v>0.7619999999999999</v>
      </c>
      <c r="M3908" s="33">
        <v>0</v>
      </c>
      <c r="O3908" s="38">
        <v>5.08</v>
      </c>
      <c r="P3908" s="33">
        <v>0</v>
      </c>
      <c r="Q3908" s="33">
        <v>1.2</v>
      </c>
      <c r="X3908" s="33"/>
      <c r="AB3908" s="33">
        <v>0.4</v>
      </c>
    </row>
    <row r="3909" spans="1:28" x14ac:dyDescent="0.25">
      <c r="A3909" s="22">
        <v>42260</v>
      </c>
      <c r="B3909" s="30" t="s">
        <v>9</v>
      </c>
      <c r="C3909" s="33">
        <v>30.6</v>
      </c>
      <c r="D3909" s="33">
        <v>18.5</v>
      </c>
      <c r="F3909" s="30">
        <v>0</v>
      </c>
      <c r="G3909" s="30">
        <v>65.5</v>
      </c>
      <c r="H3909" s="33">
        <v>0</v>
      </c>
      <c r="I3909" s="30">
        <v>4.5</v>
      </c>
      <c r="J3909" s="33"/>
      <c r="K3909" s="30">
        <v>41.9</v>
      </c>
      <c r="L3909" s="38">
        <v>4.5719999999999992</v>
      </c>
      <c r="M3909" s="33">
        <v>0</v>
      </c>
      <c r="O3909" s="38">
        <v>36.575999999999993</v>
      </c>
      <c r="P3909" s="33">
        <v>0.6</v>
      </c>
      <c r="Q3909" s="33">
        <v>38.1</v>
      </c>
      <c r="X3909" s="33"/>
      <c r="AB3909" s="33">
        <v>17.399999999999999</v>
      </c>
    </row>
    <row r="3910" spans="1:28" x14ac:dyDescent="0.25">
      <c r="A3910" s="22">
        <v>42261</v>
      </c>
      <c r="B3910" s="30" t="s">
        <v>9</v>
      </c>
      <c r="C3910" s="33">
        <v>98.3</v>
      </c>
      <c r="D3910" s="33">
        <v>78.099999999999994</v>
      </c>
      <c r="F3910" s="30">
        <v>49.1</v>
      </c>
      <c r="G3910" s="30">
        <v>11.7</v>
      </c>
      <c r="H3910" s="33">
        <v>42</v>
      </c>
      <c r="I3910" s="30">
        <v>18.600000000000001</v>
      </c>
      <c r="J3910" s="33"/>
      <c r="K3910" s="30">
        <v>87.2</v>
      </c>
      <c r="L3910" s="38">
        <v>27.94</v>
      </c>
      <c r="M3910" s="33">
        <v>0</v>
      </c>
      <c r="O3910" s="38">
        <v>72.135999999999996</v>
      </c>
      <c r="P3910" s="33">
        <v>0.6</v>
      </c>
      <c r="Q3910" s="33">
        <v>4.0999999999999996</v>
      </c>
      <c r="X3910" s="33"/>
      <c r="AB3910" s="33">
        <v>70.400000000000006</v>
      </c>
    </row>
    <row r="3911" spans="1:28" x14ac:dyDescent="0.25">
      <c r="A3911" s="22">
        <v>42262</v>
      </c>
      <c r="B3911" s="33">
        <v>45</v>
      </c>
      <c r="C3911" s="30">
        <v>9.8000000000000007</v>
      </c>
      <c r="D3911" s="33">
        <v>24.5</v>
      </c>
      <c r="F3911" s="30">
        <v>2.2000000000000002</v>
      </c>
      <c r="G3911" s="30">
        <v>5.9</v>
      </c>
      <c r="H3911" s="33">
        <v>7.2</v>
      </c>
      <c r="I3911" s="30">
        <v>0</v>
      </c>
      <c r="J3911" s="33"/>
      <c r="K3911" s="30">
        <v>23.2</v>
      </c>
      <c r="L3911" s="38">
        <v>1.5239999999999998</v>
      </c>
      <c r="M3911" s="33">
        <v>0</v>
      </c>
      <c r="O3911" s="38">
        <v>28.194000000000003</v>
      </c>
      <c r="P3911" s="33">
        <v>2.5</v>
      </c>
      <c r="Q3911" s="33">
        <v>5.0999999999999996</v>
      </c>
      <c r="X3911" s="33"/>
      <c r="AB3911" s="33">
        <v>47.4</v>
      </c>
    </row>
    <row r="3912" spans="1:28" x14ac:dyDescent="0.25">
      <c r="A3912" s="22">
        <v>42263</v>
      </c>
      <c r="B3912" s="33">
        <v>0</v>
      </c>
      <c r="C3912" s="30">
        <v>16.5</v>
      </c>
      <c r="D3912" s="33">
        <v>23.4</v>
      </c>
      <c r="F3912" s="30">
        <v>0</v>
      </c>
      <c r="G3912" s="30">
        <v>0</v>
      </c>
      <c r="H3912" s="33">
        <v>9.9</v>
      </c>
      <c r="I3912" s="33">
        <v>30.6</v>
      </c>
      <c r="J3912" s="33"/>
      <c r="K3912" s="30">
        <v>3.8</v>
      </c>
      <c r="L3912" s="38">
        <v>0</v>
      </c>
      <c r="M3912" s="33">
        <v>0</v>
      </c>
      <c r="O3912" s="38">
        <v>27.686</v>
      </c>
      <c r="P3912" s="33">
        <v>35.700000000000003</v>
      </c>
      <c r="Q3912" s="33">
        <v>0.5</v>
      </c>
      <c r="X3912" s="33"/>
      <c r="AB3912" s="33">
        <v>9</v>
      </c>
    </row>
    <row r="3913" spans="1:28" x14ac:dyDescent="0.25">
      <c r="A3913" s="22">
        <v>42264</v>
      </c>
      <c r="B3913" s="33">
        <v>0</v>
      </c>
      <c r="C3913" s="30">
        <v>2.2000000000000002</v>
      </c>
      <c r="D3913" s="33">
        <v>0</v>
      </c>
      <c r="F3913" s="30">
        <v>0</v>
      </c>
      <c r="G3913" s="33">
        <v>9.3000000000000007</v>
      </c>
      <c r="H3913" s="33">
        <v>0</v>
      </c>
      <c r="I3913" s="30">
        <v>0</v>
      </c>
      <c r="J3913" s="33"/>
      <c r="K3913" s="30">
        <v>1</v>
      </c>
      <c r="L3913" s="38">
        <v>0</v>
      </c>
      <c r="M3913" s="33">
        <v>0</v>
      </c>
      <c r="O3913" s="38">
        <v>1.27</v>
      </c>
      <c r="P3913" s="33">
        <v>0</v>
      </c>
      <c r="Q3913" s="33">
        <v>0</v>
      </c>
      <c r="X3913" s="33"/>
      <c r="AB3913" s="33">
        <v>1</v>
      </c>
    </row>
    <row r="3914" spans="1:28" x14ac:dyDescent="0.25">
      <c r="A3914" s="22">
        <v>42265</v>
      </c>
      <c r="B3914" s="33">
        <v>0</v>
      </c>
      <c r="C3914" s="30">
        <v>5.5</v>
      </c>
      <c r="D3914" s="30">
        <v>7.3</v>
      </c>
      <c r="F3914" s="30">
        <v>0</v>
      </c>
      <c r="G3914" s="33">
        <v>1.5</v>
      </c>
      <c r="H3914" s="33">
        <v>1.8</v>
      </c>
      <c r="I3914" s="30">
        <v>3.2</v>
      </c>
      <c r="J3914" s="33"/>
      <c r="K3914" s="33">
        <v>17.3</v>
      </c>
      <c r="L3914" s="38">
        <v>17.779999999999998</v>
      </c>
      <c r="M3914" s="33">
        <v>0</v>
      </c>
      <c r="O3914" s="38">
        <v>2.794</v>
      </c>
      <c r="P3914" s="33">
        <v>0</v>
      </c>
      <c r="Q3914" s="33">
        <v>60.9</v>
      </c>
      <c r="X3914" s="33"/>
      <c r="AB3914" s="33">
        <v>0.2</v>
      </c>
    </row>
    <row r="3915" spans="1:28" x14ac:dyDescent="0.25">
      <c r="A3915" s="22">
        <v>42266</v>
      </c>
      <c r="B3915" s="33">
        <v>13.8</v>
      </c>
      <c r="C3915" s="30">
        <v>18.100000000000001</v>
      </c>
      <c r="D3915" s="33">
        <v>33.4</v>
      </c>
      <c r="F3915" s="30">
        <v>0</v>
      </c>
      <c r="G3915" s="33">
        <v>1.5</v>
      </c>
      <c r="H3915" s="33">
        <v>8.5</v>
      </c>
      <c r="I3915" s="30">
        <v>2.2000000000000002</v>
      </c>
      <c r="J3915" s="33"/>
      <c r="K3915" s="30">
        <v>13</v>
      </c>
      <c r="L3915" s="38">
        <v>43.18</v>
      </c>
      <c r="M3915" s="33">
        <v>0</v>
      </c>
      <c r="O3915" s="38">
        <v>27.94</v>
      </c>
      <c r="P3915" s="33">
        <v>30</v>
      </c>
      <c r="Q3915" s="33">
        <v>29.7</v>
      </c>
      <c r="X3915" s="33"/>
      <c r="AB3915" s="33">
        <v>20.6</v>
      </c>
    </row>
    <row r="3916" spans="1:28" x14ac:dyDescent="0.25">
      <c r="A3916" s="22">
        <v>42267</v>
      </c>
      <c r="B3916" s="33">
        <v>10</v>
      </c>
      <c r="C3916" s="30">
        <v>2.5</v>
      </c>
      <c r="D3916" s="33">
        <v>4.0999999999999996</v>
      </c>
      <c r="F3916" s="30">
        <v>0</v>
      </c>
      <c r="G3916" s="33">
        <v>2.2999999999999998</v>
      </c>
      <c r="H3916" s="33">
        <v>0</v>
      </c>
      <c r="I3916" s="30">
        <v>0</v>
      </c>
      <c r="J3916" s="33"/>
      <c r="K3916" s="33">
        <v>7.3</v>
      </c>
      <c r="L3916" s="38">
        <v>5.5880000000000001</v>
      </c>
      <c r="M3916" s="33">
        <v>0</v>
      </c>
      <c r="O3916" s="38">
        <v>11.683999999999999</v>
      </c>
      <c r="P3916" s="33">
        <v>5.7</v>
      </c>
      <c r="Q3916" s="33">
        <v>9.6999999999999993</v>
      </c>
      <c r="X3916" s="33"/>
      <c r="AB3916" s="33">
        <v>39.799999999999997</v>
      </c>
    </row>
    <row r="3917" spans="1:28" x14ac:dyDescent="0.25">
      <c r="A3917" s="22">
        <v>42268</v>
      </c>
      <c r="B3917" s="33">
        <v>40.4</v>
      </c>
      <c r="C3917" s="30">
        <v>0.4</v>
      </c>
      <c r="D3917" s="33">
        <v>3</v>
      </c>
      <c r="F3917" s="30">
        <v>0</v>
      </c>
      <c r="G3917" s="33">
        <v>0</v>
      </c>
      <c r="H3917" s="33">
        <v>3</v>
      </c>
      <c r="I3917" s="30">
        <v>0</v>
      </c>
      <c r="J3917" s="33"/>
      <c r="K3917" s="33">
        <v>9.5</v>
      </c>
      <c r="L3917" s="38">
        <v>0</v>
      </c>
      <c r="M3917" s="33">
        <v>0</v>
      </c>
      <c r="O3917" s="38">
        <v>2.2859999999999996</v>
      </c>
      <c r="P3917" s="33">
        <v>0.5</v>
      </c>
      <c r="Q3917" s="33">
        <v>0</v>
      </c>
      <c r="X3917" s="33"/>
      <c r="AB3917" s="33">
        <v>28.4</v>
      </c>
    </row>
    <row r="3918" spans="1:28" x14ac:dyDescent="0.25">
      <c r="A3918" s="22">
        <v>42269</v>
      </c>
      <c r="B3918" s="33">
        <v>0</v>
      </c>
      <c r="C3918" s="30">
        <v>6</v>
      </c>
      <c r="D3918" s="30">
        <v>14.1</v>
      </c>
      <c r="F3918" s="30">
        <v>0</v>
      </c>
      <c r="G3918" s="33">
        <v>5.0999999999999996</v>
      </c>
      <c r="H3918" s="33">
        <v>0</v>
      </c>
      <c r="I3918" s="30">
        <v>0</v>
      </c>
      <c r="J3918" s="33"/>
      <c r="K3918" s="33">
        <v>26.2</v>
      </c>
      <c r="L3918" s="38">
        <v>1.016</v>
      </c>
      <c r="M3918" s="33">
        <v>0</v>
      </c>
      <c r="O3918" s="38">
        <v>35.559999999999995</v>
      </c>
      <c r="P3918" s="33">
        <v>0</v>
      </c>
      <c r="Q3918" s="33">
        <v>0.5</v>
      </c>
      <c r="X3918" s="33"/>
      <c r="AB3918" s="33">
        <v>8.1999999999999993</v>
      </c>
    </row>
    <row r="3919" spans="1:28" x14ac:dyDescent="0.25">
      <c r="A3919" s="22">
        <v>42270</v>
      </c>
      <c r="B3919" s="33">
        <v>4</v>
      </c>
      <c r="C3919" s="33">
        <v>1.3</v>
      </c>
      <c r="D3919" s="30">
        <v>0</v>
      </c>
      <c r="F3919" s="30">
        <v>0</v>
      </c>
      <c r="G3919" s="33">
        <v>0</v>
      </c>
      <c r="H3919" s="33">
        <v>1</v>
      </c>
      <c r="I3919" s="33">
        <v>6.9</v>
      </c>
      <c r="J3919" s="33"/>
      <c r="K3919" s="33">
        <v>5.2</v>
      </c>
      <c r="L3919" s="38">
        <v>4.3180000000000005</v>
      </c>
      <c r="M3919" s="33">
        <v>0</v>
      </c>
      <c r="O3919" s="38">
        <v>3.0479999999999996</v>
      </c>
      <c r="P3919" s="33">
        <v>0</v>
      </c>
      <c r="Q3919" s="33">
        <v>0.6</v>
      </c>
      <c r="X3919" s="33"/>
      <c r="AB3919" s="33">
        <v>3.4</v>
      </c>
    </row>
    <row r="3920" spans="1:28" x14ac:dyDescent="0.25">
      <c r="A3920" s="22">
        <v>42271</v>
      </c>
      <c r="B3920" s="33">
        <v>6</v>
      </c>
      <c r="C3920" s="33">
        <v>3.7</v>
      </c>
      <c r="D3920" s="30">
        <v>2.2999999999999998</v>
      </c>
      <c r="F3920" s="30">
        <v>0</v>
      </c>
      <c r="G3920" s="33">
        <v>3.4</v>
      </c>
      <c r="H3920" s="33">
        <v>0</v>
      </c>
      <c r="I3920" s="30">
        <v>0</v>
      </c>
      <c r="J3920" s="33"/>
      <c r="K3920" s="30">
        <v>2.9</v>
      </c>
      <c r="L3920" s="38">
        <v>7.3659999999999988</v>
      </c>
      <c r="M3920" s="33">
        <v>0</v>
      </c>
      <c r="O3920" s="38">
        <v>2.54</v>
      </c>
      <c r="P3920" s="33">
        <v>4.9000000000000004</v>
      </c>
      <c r="Q3920" s="33">
        <v>7.1</v>
      </c>
      <c r="X3920" s="33"/>
      <c r="AB3920" s="33">
        <v>2.8</v>
      </c>
    </row>
    <row r="3921" spans="1:28" x14ac:dyDescent="0.25">
      <c r="A3921" s="22">
        <v>42272</v>
      </c>
      <c r="B3921" s="33">
        <v>4.9000000000000004</v>
      </c>
      <c r="C3921" s="33">
        <v>6.7</v>
      </c>
      <c r="D3921" s="30">
        <v>4.0999999999999996</v>
      </c>
      <c r="F3921" s="30">
        <v>0</v>
      </c>
      <c r="G3921" s="33">
        <v>0.2</v>
      </c>
      <c r="H3921" s="33">
        <v>0</v>
      </c>
      <c r="I3921" s="33">
        <v>2.2999999999999998</v>
      </c>
      <c r="J3921" s="33"/>
      <c r="K3921" s="30">
        <v>0</v>
      </c>
      <c r="L3921" s="38">
        <v>8.3819999999999997</v>
      </c>
      <c r="M3921" s="33">
        <v>0</v>
      </c>
      <c r="O3921" s="38">
        <v>0</v>
      </c>
      <c r="P3921" s="33">
        <v>1</v>
      </c>
      <c r="Q3921" s="33">
        <v>0</v>
      </c>
      <c r="X3921" s="33"/>
      <c r="AB3921" s="33">
        <v>6.4</v>
      </c>
    </row>
    <row r="3922" spans="1:28" x14ac:dyDescent="0.25">
      <c r="A3922" s="22">
        <v>42273</v>
      </c>
      <c r="B3922" s="33">
        <v>0</v>
      </c>
      <c r="C3922" s="33">
        <v>0</v>
      </c>
      <c r="D3922" s="33">
        <v>0</v>
      </c>
      <c r="F3922" s="30">
        <v>0</v>
      </c>
      <c r="G3922" s="33">
        <v>0</v>
      </c>
      <c r="H3922" s="33">
        <v>0</v>
      </c>
      <c r="I3922" s="33">
        <v>0</v>
      </c>
      <c r="J3922" s="33"/>
      <c r="K3922" s="30">
        <v>0</v>
      </c>
      <c r="L3922" s="38">
        <v>0</v>
      </c>
      <c r="M3922" s="33">
        <v>0</v>
      </c>
      <c r="O3922" s="38">
        <v>0</v>
      </c>
      <c r="P3922" s="33">
        <v>0</v>
      </c>
      <c r="Q3922" s="33">
        <v>0</v>
      </c>
      <c r="X3922" s="33"/>
      <c r="AB3922" s="33">
        <v>0</v>
      </c>
    </row>
    <row r="3923" spans="1:28" x14ac:dyDescent="0.25">
      <c r="A3923" s="22">
        <v>42274</v>
      </c>
      <c r="B3923" s="33">
        <v>0</v>
      </c>
      <c r="C3923" s="33">
        <v>0</v>
      </c>
      <c r="D3923" s="33">
        <v>0</v>
      </c>
      <c r="F3923" s="30">
        <v>0</v>
      </c>
      <c r="G3923" s="33">
        <v>0</v>
      </c>
      <c r="H3923" s="33">
        <v>0</v>
      </c>
      <c r="I3923" s="33">
        <v>0</v>
      </c>
      <c r="J3923" s="33"/>
      <c r="K3923" s="33">
        <v>0</v>
      </c>
      <c r="L3923" s="38">
        <v>0</v>
      </c>
      <c r="M3923" s="33">
        <v>0</v>
      </c>
      <c r="O3923" s="38">
        <v>0</v>
      </c>
      <c r="P3923" s="33">
        <v>0</v>
      </c>
      <c r="Q3923" s="33">
        <v>0</v>
      </c>
      <c r="X3923" s="33"/>
      <c r="AB3923" s="33">
        <v>0</v>
      </c>
    </row>
    <row r="3924" spans="1:28" x14ac:dyDescent="0.25">
      <c r="A3924" s="22">
        <v>42275</v>
      </c>
      <c r="B3924" s="33">
        <v>0</v>
      </c>
      <c r="C3924" s="33">
        <v>0</v>
      </c>
      <c r="D3924" s="33">
        <v>0</v>
      </c>
      <c r="F3924" s="30">
        <v>0</v>
      </c>
      <c r="G3924" s="33">
        <v>2.7</v>
      </c>
      <c r="H3924" s="33">
        <v>0</v>
      </c>
      <c r="I3924" s="30">
        <v>0</v>
      </c>
      <c r="J3924" s="33"/>
      <c r="K3924" s="33">
        <v>0</v>
      </c>
      <c r="L3924" s="38">
        <v>2.032</v>
      </c>
      <c r="M3924" s="33">
        <v>0</v>
      </c>
      <c r="O3924" s="38">
        <v>0</v>
      </c>
      <c r="P3924" s="33">
        <v>0</v>
      </c>
      <c r="Q3924" s="33">
        <v>0</v>
      </c>
      <c r="X3924" s="33"/>
      <c r="AB3924" s="33">
        <v>0</v>
      </c>
    </row>
    <row r="3925" spans="1:28" x14ac:dyDescent="0.25">
      <c r="A3925" s="22">
        <v>42276</v>
      </c>
      <c r="B3925" s="33">
        <v>0</v>
      </c>
      <c r="C3925" s="33">
        <v>0</v>
      </c>
      <c r="D3925" s="33">
        <v>0</v>
      </c>
      <c r="F3925" s="30">
        <v>0</v>
      </c>
      <c r="G3925" s="33">
        <v>0</v>
      </c>
      <c r="H3925" s="33">
        <v>0</v>
      </c>
      <c r="I3925" s="30">
        <v>0</v>
      </c>
      <c r="J3925" s="33"/>
      <c r="K3925" s="33">
        <v>0</v>
      </c>
      <c r="L3925" s="38">
        <v>0</v>
      </c>
      <c r="M3925" s="33">
        <v>0</v>
      </c>
      <c r="O3925" s="38">
        <v>0</v>
      </c>
      <c r="P3925" s="33">
        <v>0</v>
      </c>
      <c r="Q3925" s="33">
        <v>6.8</v>
      </c>
      <c r="X3925" s="33"/>
      <c r="AB3925" s="33">
        <v>0</v>
      </c>
    </row>
    <row r="3926" spans="1:28" x14ac:dyDescent="0.25">
      <c r="A3926" s="22">
        <v>42277</v>
      </c>
      <c r="B3926" s="33">
        <v>80.599999999999994</v>
      </c>
      <c r="C3926" s="33">
        <v>0</v>
      </c>
      <c r="D3926" s="33">
        <v>0</v>
      </c>
      <c r="F3926" s="30">
        <v>0</v>
      </c>
      <c r="G3926" s="33">
        <v>1.7</v>
      </c>
      <c r="H3926" s="33">
        <v>0</v>
      </c>
      <c r="I3926" s="30">
        <v>0</v>
      </c>
      <c r="J3926" s="33"/>
      <c r="K3926" s="33">
        <v>0</v>
      </c>
      <c r="L3926" s="38">
        <v>0</v>
      </c>
      <c r="M3926" s="33">
        <v>176.3</v>
      </c>
      <c r="O3926" s="38">
        <v>0</v>
      </c>
      <c r="P3926" s="33">
        <v>2.1</v>
      </c>
      <c r="Q3926" s="33">
        <v>0.4</v>
      </c>
      <c r="X3926" s="33"/>
      <c r="AB3926" s="33">
        <v>0</v>
      </c>
    </row>
    <row r="3927" spans="1:28" x14ac:dyDescent="0.25">
      <c r="A3927" s="22">
        <v>42278</v>
      </c>
      <c r="B3927" s="33">
        <v>0</v>
      </c>
      <c r="C3927" s="30" t="s">
        <v>9</v>
      </c>
      <c r="D3927" s="33">
        <v>0</v>
      </c>
      <c r="F3927" s="33">
        <v>0</v>
      </c>
      <c r="G3927" s="33">
        <v>0</v>
      </c>
      <c r="H3927" s="33">
        <v>0</v>
      </c>
      <c r="I3927" s="33">
        <v>0</v>
      </c>
      <c r="J3927" s="33">
        <v>2.5</v>
      </c>
      <c r="K3927" s="33">
        <v>2.6</v>
      </c>
      <c r="L3927" s="38">
        <v>2.794</v>
      </c>
      <c r="M3927" s="33">
        <v>0</v>
      </c>
      <c r="O3927" s="38">
        <v>3.8099999999999996</v>
      </c>
      <c r="P3927" s="33">
        <v>2.4</v>
      </c>
      <c r="Q3927" s="33">
        <v>0</v>
      </c>
      <c r="X3927" s="33"/>
      <c r="AB3927" s="33">
        <v>4.5999999999999996</v>
      </c>
    </row>
    <row r="3928" spans="1:28" x14ac:dyDescent="0.25">
      <c r="A3928" s="22">
        <v>42279</v>
      </c>
      <c r="B3928" s="33">
        <v>0</v>
      </c>
      <c r="C3928" s="30" t="s">
        <v>9</v>
      </c>
      <c r="D3928" s="33">
        <v>0</v>
      </c>
      <c r="F3928" s="33">
        <v>0</v>
      </c>
      <c r="G3928" s="33">
        <v>0</v>
      </c>
      <c r="H3928" s="33">
        <v>0</v>
      </c>
      <c r="I3928" s="33">
        <v>0</v>
      </c>
      <c r="J3928" s="30" t="s">
        <v>9</v>
      </c>
      <c r="K3928" s="33">
        <v>0</v>
      </c>
      <c r="L3928" s="38">
        <v>0</v>
      </c>
      <c r="M3928" s="33">
        <v>0</v>
      </c>
      <c r="O3928" s="38">
        <v>0</v>
      </c>
      <c r="P3928" s="33">
        <v>0</v>
      </c>
      <c r="Q3928" s="33">
        <v>0</v>
      </c>
      <c r="X3928" s="33"/>
      <c r="AB3928" s="33">
        <v>0</v>
      </c>
    </row>
    <row r="3929" spans="1:28" x14ac:dyDescent="0.25">
      <c r="A3929" s="22">
        <v>42280</v>
      </c>
      <c r="B3929" s="33">
        <v>0</v>
      </c>
      <c r="C3929" s="33">
        <v>0</v>
      </c>
      <c r="D3929" s="33">
        <v>0</v>
      </c>
      <c r="F3929" s="33">
        <v>0</v>
      </c>
      <c r="G3929" s="33">
        <v>0</v>
      </c>
      <c r="H3929" s="33">
        <v>0</v>
      </c>
      <c r="I3929" s="33">
        <v>0</v>
      </c>
      <c r="J3929" s="30" t="s">
        <v>9</v>
      </c>
      <c r="K3929" s="33">
        <v>0</v>
      </c>
      <c r="L3929" s="38">
        <v>0</v>
      </c>
      <c r="M3929" s="33">
        <v>0</v>
      </c>
      <c r="O3929" s="38">
        <v>0</v>
      </c>
      <c r="P3929" s="33">
        <v>0</v>
      </c>
      <c r="Q3929" s="33">
        <v>0</v>
      </c>
      <c r="X3929" s="33"/>
      <c r="AB3929" s="33">
        <v>0</v>
      </c>
    </row>
    <row r="3930" spans="1:28" x14ac:dyDescent="0.25">
      <c r="A3930" s="22">
        <v>42281</v>
      </c>
      <c r="B3930" s="33">
        <v>0</v>
      </c>
      <c r="C3930" s="33">
        <v>0</v>
      </c>
      <c r="D3930" s="33">
        <v>0</v>
      </c>
      <c r="F3930" s="33">
        <v>0</v>
      </c>
      <c r="G3930" s="33">
        <v>0</v>
      </c>
      <c r="H3930" s="33">
        <v>0</v>
      </c>
      <c r="I3930" s="33">
        <v>0</v>
      </c>
      <c r="J3930" s="33">
        <v>0.2</v>
      </c>
      <c r="K3930" s="33">
        <v>0.2</v>
      </c>
      <c r="L3930" s="38">
        <v>0</v>
      </c>
      <c r="M3930" s="33">
        <v>0</v>
      </c>
      <c r="O3930" s="38">
        <v>0</v>
      </c>
      <c r="P3930" s="33">
        <v>0</v>
      </c>
      <c r="Q3930" s="33">
        <v>0.3</v>
      </c>
      <c r="X3930" s="33"/>
      <c r="AB3930" s="33">
        <v>0</v>
      </c>
    </row>
    <row r="3931" spans="1:28" x14ac:dyDescent="0.25">
      <c r="A3931" s="22">
        <v>42282</v>
      </c>
      <c r="B3931" s="33">
        <v>0</v>
      </c>
      <c r="C3931" s="30" t="s">
        <v>9</v>
      </c>
      <c r="D3931" s="33">
        <v>0</v>
      </c>
      <c r="F3931" s="33">
        <v>0</v>
      </c>
      <c r="G3931" s="33">
        <v>1.7</v>
      </c>
      <c r="H3931" s="33">
        <v>0</v>
      </c>
      <c r="I3931" s="33">
        <v>0</v>
      </c>
      <c r="J3931" s="30" t="s">
        <v>9</v>
      </c>
      <c r="K3931" s="33">
        <v>0</v>
      </c>
      <c r="L3931" s="38">
        <v>0</v>
      </c>
      <c r="M3931" s="33">
        <v>0</v>
      </c>
      <c r="O3931" s="38">
        <v>1.27</v>
      </c>
      <c r="P3931" s="33">
        <v>0.5</v>
      </c>
      <c r="Q3931" s="33">
        <v>1.3</v>
      </c>
      <c r="X3931" s="33"/>
      <c r="AB3931" s="33">
        <v>1.2</v>
      </c>
    </row>
    <row r="3932" spans="1:28" x14ac:dyDescent="0.25">
      <c r="A3932" s="22">
        <v>42283</v>
      </c>
      <c r="B3932" s="33">
        <v>0</v>
      </c>
      <c r="C3932" s="33">
        <v>2.2000000000000002</v>
      </c>
      <c r="D3932" s="33">
        <v>6</v>
      </c>
      <c r="F3932" s="33">
        <v>0</v>
      </c>
      <c r="G3932" s="33">
        <v>9.8000000000000007</v>
      </c>
      <c r="H3932" s="33">
        <v>0</v>
      </c>
      <c r="I3932" s="33">
        <v>1.5</v>
      </c>
      <c r="J3932" s="33">
        <v>4.5</v>
      </c>
      <c r="K3932" s="33">
        <v>3</v>
      </c>
      <c r="L3932" s="38">
        <v>2.2859999999999996</v>
      </c>
      <c r="M3932" s="33">
        <v>2.2000000000000002</v>
      </c>
      <c r="O3932" s="38">
        <v>4.5719999999999992</v>
      </c>
      <c r="P3932" s="33">
        <v>0</v>
      </c>
      <c r="Q3932" s="33">
        <v>9.3000000000000007</v>
      </c>
      <c r="X3932" s="33"/>
      <c r="AB3932" s="33">
        <v>8.4</v>
      </c>
    </row>
    <row r="3933" spans="1:28" x14ac:dyDescent="0.25">
      <c r="A3933" s="22">
        <v>42284</v>
      </c>
      <c r="B3933" s="33">
        <v>9.1999999999999993</v>
      </c>
      <c r="C3933" s="33">
        <v>15.8</v>
      </c>
      <c r="D3933" s="33">
        <v>10.6</v>
      </c>
      <c r="F3933" s="33">
        <v>0</v>
      </c>
      <c r="G3933" s="33">
        <v>25.4</v>
      </c>
      <c r="H3933" s="33">
        <v>5</v>
      </c>
      <c r="I3933" s="33">
        <v>2.4</v>
      </c>
      <c r="J3933" s="33">
        <v>14.9</v>
      </c>
      <c r="K3933" s="33">
        <v>17</v>
      </c>
      <c r="L3933" s="38">
        <v>13.715999999999999</v>
      </c>
      <c r="M3933" s="33">
        <v>7.4</v>
      </c>
      <c r="O3933" s="38">
        <v>11.937999999999999</v>
      </c>
      <c r="P3933" s="33">
        <v>22.4</v>
      </c>
      <c r="Q3933" s="33">
        <v>1.8</v>
      </c>
      <c r="X3933" s="33"/>
      <c r="AB3933" s="33">
        <v>15.2</v>
      </c>
    </row>
    <row r="3934" spans="1:28" x14ac:dyDescent="0.25">
      <c r="A3934" s="22">
        <v>42285</v>
      </c>
      <c r="B3934" s="33">
        <v>0</v>
      </c>
      <c r="C3934" s="33">
        <v>24.1</v>
      </c>
      <c r="D3934" s="33">
        <v>23.3</v>
      </c>
      <c r="F3934" s="33">
        <v>0</v>
      </c>
      <c r="G3934" s="33">
        <v>22.6</v>
      </c>
      <c r="H3934" s="33">
        <v>23.8</v>
      </c>
      <c r="I3934" s="33">
        <v>0</v>
      </c>
      <c r="J3934" s="33">
        <v>32</v>
      </c>
      <c r="K3934" s="33">
        <v>0</v>
      </c>
      <c r="L3934" s="38">
        <v>3.0479999999999996</v>
      </c>
      <c r="M3934" s="33">
        <v>50.1</v>
      </c>
      <c r="O3934" s="38">
        <v>14.477999999999998</v>
      </c>
      <c r="P3934" s="33">
        <v>7.2</v>
      </c>
      <c r="Q3934" s="33">
        <v>7</v>
      </c>
      <c r="X3934" s="33"/>
      <c r="AB3934" s="33">
        <v>11.4</v>
      </c>
    </row>
    <row r="3935" spans="1:28" x14ac:dyDescent="0.25">
      <c r="A3935" s="22">
        <v>42286</v>
      </c>
      <c r="B3935" s="33">
        <v>10</v>
      </c>
      <c r="C3935" s="33">
        <v>8.6</v>
      </c>
      <c r="D3935" s="33">
        <v>11.6</v>
      </c>
      <c r="F3935" s="33">
        <v>0</v>
      </c>
      <c r="G3935" s="33">
        <v>20.7</v>
      </c>
      <c r="H3935" s="33">
        <v>15</v>
      </c>
      <c r="I3935" s="33">
        <v>40.9</v>
      </c>
      <c r="J3935" s="33">
        <v>20.6</v>
      </c>
      <c r="K3935" s="33">
        <v>45.7</v>
      </c>
      <c r="L3935" s="38">
        <v>13.208</v>
      </c>
      <c r="M3935" s="33">
        <v>26.8</v>
      </c>
      <c r="O3935" s="38">
        <v>10.413999999999998</v>
      </c>
      <c r="P3935" s="33">
        <v>9.4</v>
      </c>
      <c r="Q3935" s="33">
        <v>12.4</v>
      </c>
      <c r="X3935" s="33"/>
      <c r="AB3935" s="33">
        <v>15</v>
      </c>
    </row>
    <row r="3936" spans="1:28" x14ac:dyDescent="0.25">
      <c r="A3936" s="22">
        <v>42287</v>
      </c>
      <c r="B3936" s="33">
        <v>30.5</v>
      </c>
      <c r="C3936" s="33">
        <v>36.4</v>
      </c>
      <c r="D3936" s="33">
        <v>32</v>
      </c>
      <c r="F3936" s="33">
        <v>0</v>
      </c>
      <c r="G3936" s="33">
        <v>60.1</v>
      </c>
      <c r="H3936" s="33">
        <v>23.2</v>
      </c>
      <c r="I3936" s="33">
        <v>20.7</v>
      </c>
      <c r="J3936" s="33">
        <v>41.8</v>
      </c>
      <c r="K3936" s="33">
        <v>17.3</v>
      </c>
      <c r="L3936" s="38">
        <v>12.446</v>
      </c>
      <c r="M3936" s="33">
        <v>18.3</v>
      </c>
      <c r="O3936" s="38">
        <v>31.495999999999999</v>
      </c>
      <c r="P3936" s="33">
        <v>21.5</v>
      </c>
      <c r="Q3936" s="33">
        <v>62.5</v>
      </c>
      <c r="X3936" s="33"/>
      <c r="AB3936" s="33">
        <v>24.4</v>
      </c>
    </row>
    <row r="3937" spans="1:28" x14ac:dyDescent="0.25">
      <c r="A3937" s="22">
        <v>42288</v>
      </c>
      <c r="B3937" s="33">
        <v>0</v>
      </c>
      <c r="C3937" s="33">
        <v>48.6</v>
      </c>
      <c r="D3937" s="33">
        <v>56.3</v>
      </c>
      <c r="F3937" s="33">
        <v>67.900000000000006</v>
      </c>
      <c r="G3937" s="33">
        <v>7.8</v>
      </c>
      <c r="H3937" s="33">
        <v>39.700000000000003</v>
      </c>
      <c r="I3937" s="33">
        <v>47.7</v>
      </c>
      <c r="J3937" s="33">
        <v>54</v>
      </c>
      <c r="K3937" s="33">
        <v>97.3</v>
      </c>
      <c r="L3937" s="38">
        <v>68.833999999999989</v>
      </c>
      <c r="M3937" s="33">
        <v>65.599999999999994</v>
      </c>
      <c r="O3937" s="38">
        <v>61.467999999999996</v>
      </c>
      <c r="P3937" s="33">
        <v>57.5</v>
      </c>
      <c r="Q3937" s="33">
        <v>8.1999999999999993</v>
      </c>
      <c r="X3937" s="33"/>
      <c r="AB3937" s="33">
        <v>86.2</v>
      </c>
    </row>
    <row r="3938" spans="1:28" x14ac:dyDescent="0.25">
      <c r="A3938" s="22">
        <v>42289</v>
      </c>
      <c r="B3938" s="33">
        <v>0</v>
      </c>
      <c r="C3938" s="33">
        <v>13.3</v>
      </c>
      <c r="D3938" s="33">
        <v>13</v>
      </c>
      <c r="F3938" s="33">
        <v>1.9</v>
      </c>
      <c r="G3938" s="33">
        <v>34.200000000000003</v>
      </c>
      <c r="H3938" s="33">
        <v>6.5</v>
      </c>
      <c r="I3938" s="33">
        <v>9</v>
      </c>
      <c r="J3938" s="33">
        <v>0.9</v>
      </c>
      <c r="K3938" s="33">
        <v>2.9</v>
      </c>
      <c r="L3938" s="38">
        <v>9.6519999999999992</v>
      </c>
      <c r="M3938" s="33">
        <v>27.9</v>
      </c>
      <c r="O3938" s="38">
        <v>25.4</v>
      </c>
      <c r="P3938" s="33">
        <v>17.2</v>
      </c>
      <c r="Q3938" s="33">
        <v>9.9</v>
      </c>
      <c r="X3938" s="33"/>
      <c r="AB3938" s="33">
        <v>16</v>
      </c>
    </row>
    <row r="3939" spans="1:28" x14ac:dyDescent="0.25">
      <c r="A3939" s="22">
        <v>42290</v>
      </c>
      <c r="B3939" s="33">
        <v>100</v>
      </c>
      <c r="C3939" s="33">
        <v>32.6</v>
      </c>
      <c r="D3939" s="33">
        <v>44.5</v>
      </c>
      <c r="F3939" s="33">
        <v>13.7</v>
      </c>
      <c r="G3939" s="33">
        <v>17.399999999999999</v>
      </c>
      <c r="H3939" s="33">
        <v>18.399999999999999</v>
      </c>
      <c r="I3939" s="33">
        <v>7.3</v>
      </c>
      <c r="J3939" s="33">
        <v>35</v>
      </c>
      <c r="K3939" s="33">
        <v>0</v>
      </c>
      <c r="L3939" s="38">
        <v>23.114000000000001</v>
      </c>
      <c r="M3939" s="33">
        <v>45.5</v>
      </c>
      <c r="O3939" s="38">
        <v>19.049999999999997</v>
      </c>
      <c r="P3939" s="33">
        <v>8.1</v>
      </c>
      <c r="Q3939" s="33">
        <v>9.6999999999999993</v>
      </c>
      <c r="X3939" s="33"/>
      <c r="AB3939" s="33">
        <v>10.8</v>
      </c>
    </row>
    <row r="3940" spans="1:28" x14ac:dyDescent="0.25">
      <c r="A3940" s="22">
        <v>42291</v>
      </c>
      <c r="B3940" s="33">
        <v>0</v>
      </c>
      <c r="C3940" s="33">
        <v>20.7</v>
      </c>
      <c r="D3940" s="33">
        <v>11.5</v>
      </c>
      <c r="F3940" s="33">
        <v>0</v>
      </c>
      <c r="G3940" s="33">
        <v>4.8</v>
      </c>
      <c r="H3940" s="33">
        <v>8.1</v>
      </c>
      <c r="I3940" s="33">
        <v>14.7</v>
      </c>
      <c r="J3940" s="33">
        <v>24.6</v>
      </c>
      <c r="K3940" s="33">
        <v>0</v>
      </c>
      <c r="L3940" s="38">
        <v>3.0479999999999996</v>
      </c>
      <c r="M3940" s="33">
        <v>25.2</v>
      </c>
      <c r="O3940" s="38">
        <v>18.033999999999999</v>
      </c>
      <c r="P3940" s="33">
        <v>4.8</v>
      </c>
      <c r="Q3940" s="33">
        <v>0.6</v>
      </c>
      <c r="X3940" s="33"/>
      <c r="AB3940" s="33">
        <v>20</v>
      </c>
    </row>
    <row r="3941" spans="1:28" x14ac:dyDescent="0.25">
      <c r="A3941" s="22">
        <v>42292</v>
      </c>
      <c r="B3941" s="33">
        <v>22</v>
      </c>
      <c r="C3941" s="33">
        <v>3.3</v>
      </c>
      <c r="D3941" s="33">
        <v>9.5</v>
      </c>
      <c r="F3941" s="33">
        <v>0</v>
      </c>
      <c r="G3941" s="33">
        <v>0</v>
      </c>
      <c r="H3941" s="33">
        <v>0</v>
      </c>
      <c r="I3941" s="33">
        <v>0.9</v>
      </c>
      <c r="J3941" s="33">
        <v>8.9</v>
      </c>
      <c r="K3941" s="33">
        <v>0</v>
      </c>
      <c r="L3941" s="38">
        <v>2.794</v>
      </c>
      <c r="M3941" s="33">
        <v>5.3</v>
      </c>
      <c r="O3941" s="38">
        <v>2.032</v>
      </c>
      <c r="P3941" s="33">
        <v>2.2999999999999998</v>
      </c>
      <c r="Q3941" s="33">
        <v>1.9</v>
      </c>
      <c r="X3941" s="33"/>
      <c r="AB3941" s="33">
        <v>0.2</v>
      </c>
    </row>
    <row r="3942" spans="1:28" x14ac:dyDescent="0.25">
      <c r="A3942" s="22">
        <v>42293</v>
      </c>
      <c r="B3942" s="33">
        <v>5.5</v>
      </c>
      <c r="C3942" s="30" t="s">
        <v>9</v>
      </c>
      <c r="D3942" s="33">
        <v>5.5</v>
      </c>
      <c r="F3942" s="33">
        <v>0</v>
      </c>
      <c r="G3942" s="33">
        <v>0</v>
      </c>
      <c r="H3942" s="33">
        <v>0</v>
      </c>
      <c r="I3942" s="33">
        <v>0</v>
      </c>
      <c r="J3942" s="33">
        <v>0</v>
      </c>
      <c r="K3942" s="33">
        <v>0</v>
      </c>
      <c r="L3942" s="38">
        <v>1.5239999999999998</v>
      </c>
      <c r="M3942" s="33">
        <v>0</v>
      </c>
      <c r="O3942" s="38">
        <v>7.6199999999999992</v>
      </c>
      <c r="P3942" s="33">
        <v>0</v>
      </c>
      <c r="Q3942" s="33">
        <v>1.2</v>
      </c>
      <c r="X3942" s="33"/>
      <c r="AB3942" s="33">
        <v>3.6</v>
      </c>
    </row>
    <row r="3943" spans="1:28" x14ac:dyDescent="0.25">
      <c r="A3943" s="22">
        <v>42294</v>
      </c>
      <c r="B3943" s="33">
        <v>0</v>
      </c>
      <c r="C3943" s="33">
        <v>0</v>
      </c>
      <c r="D3943" s="33">
        <v>0</v>
      </c>
      <c r="F3943" s="33">
        <v>0</v>
      </c>
      <c r="G3943" s="33">
        <v>0</v>
      </c>
      <c r="H3943" s="33">
        <v>0</v>
      </c>
      <c r="I3943" s="33">
        <v>0</v>
      </c>
      <c r="J3943" s="33">
        <v>2.1</v>
      </c>
      <c r="K3943" s="33">
        <v>0</v>
      </c>
      <c r="L3943" s="38">
        <v>0.7619999999999999</v>
      </c>
      <c r="M3943" s="33">
        <v>0</v>
      </c>
      <c r="O3943" s="38">
        <v>3.556</v>
      </c>
      <c r="P3943" s="33">
        <v>0</v>
      </c>
      <c r="Q3943" s="33">
        <v>0</v>
      </c>
      <c r="X3943" s="33"/>
      <c r="AB3943" s="33">
        <v>1.8</v>
      </c>
    </row>
    <row r="3944" spans="1:28" x14ac:dyDescent="0.25">
      <c r="A3944" s="22">
        <v>42295</v>
      </c>
      <c r="B3944" s="33">
        <v>0</v>
      </c>
      <c r="C3944" s="33">
        <v>0</v>
      </c>
      <c r="D3944" s="33">
        <v>0</v>
      </c>
      <c r="F3944" s="33">
        <v>0</v>
      </c>
      <c r="G3944" s="33">
        <v>0</v>
      </c>
      <c r="H3944" s="33">
        <v>0</v>
      </c>
      <c r="I3944" s="33">
        <v>0</v>
      </c>
      <c r="J3944" s="33">
        <v>1</v>
      </c>
      <c r="K3944" s="33">
        <v>0</v>
      </c>
      <c r="L3944" s="38">
        <v>0</v>
      </c>
      <c r="M3944" s="33">
        <v>0</v>
      </c>
      <c r="O3944" s="38">
        <v>0</v>
      </c>
      <c r="P3944" s="33">
        <v>0</v>
      </c>
      <c r="Q3944" s="33">
        <v>0</v>
      </c>
      <c r="X3944" s="33"/>
      <c r="AB3944" s="33">
        <v>0</v>
      </c>
    </row>
    <row r="3945" spans="1:28" x14ac:dyDescent="0.25">
      <c r="A3945" s="22">
        <v>42296</v>
      </c>
      <c r="B3945" s="33">
        <v>0</v>
      </c>
      <c r="C3945" s="33">
        <v>0</v>
      </c>
      <c r="D3945" s="33">
        <v>0</v>
      </c>
      <c r="F3945" s="33">
        <v>0</v>
      </c>
      <c r="G3945" s="33">
        <v>0</v>
      </c>
      <c r="H3945" s="33">
        <v>0</v>
      </c>
      <c r="I3945" s="33">
        <v>0</v>
      </c>
      <c r="J3945" s="30" t="s">
        <v>9</v>
      </c>
      <c r="K3945" s="33">
        <v>107.5</v>
      </c>
      <c r="L3945" s="38">
        <v>0</v>
      </c>
      <c r="M3945" s="33">
        <v>0</v>
      </c>
      <c r="O3945" s="38">
        <v>0</v>
      </c>
      <c r="P3945" s="33">
        <v>0</v>
      </c>
      <c r="Q3945" s="33">
        <v>0</v>
      </c>
      <c r="X3945" s="33"/>
      <c r="AB3945" s="33">
        <v>0</v>
      </c>
    </row>
    <row r="3946" spans="1:28" x14ac:dyDescent="0.25">
      <c r="A3946" s="22">
        <v>42297</v>
      </c>
      <c r="B3946" s="33">
        <v>0</v>
      </c>
      <c r="C3946" s="33">
        <v>0</v>
      </c>
      <c r="D3946" s="33">
        <v>0</v>
      </c>
      <c r="F3946" s="33">
        <v>0</v>
      </c>
      <c r="G3946" s="33">
        <v>0</v>
      </c>
      <c r="H3946" s="33">
        <v>0</v>
      </c>
      <c r="I3946" s="33">
        <v>0</v>
      </c>
      <c r="J3946" s="30" t="s">
        <v>9</v>
      </c>
      <c r="K3946" s="33">
        <v>0</v>
      </c>
      <c r="L3946" s="38">
        <v>0</v>
      </c>
      <c r="M3946" s="33">
        <v>0</v>
      </c>
      <c r="O3946" s="38">
        <v>0</v>
      </c>
      <c r="P3946" s="33">
        <v>0</v>
      </c>
      <c r="Q3946" s="33">
        <v>4.4000000000000004</v>
      </c>
      <c r="X3946" s="33"/>
      <c r="AB3946" s="33">
        <v>0</v>
      </c>
    </row>
    <row r="3947" spans="1:28" x14ac:dyDescent="0.25">
      <c r="A3947" s="22">
        <v>42298</v>
      </c>
      <c r="B3947" s="33">
        <v>0</v>
      </c>
      <c r="C3947" s="33">
        <v>4.9000000000000004</v>
      </c>
      <c r="D3947" s="33">
        <v>0</v>
      </c>
      <c r="F3947" s="33">
        <v>0</v>
      </c>
      <c r="G3947" s="33">
        <v>8.5</v>
      </c>
      <c r="H3947" s="33">
        <v>0</v>
      </c>
      <c r="I3947" s="33">
        <v>2.1</v>
      </c>
      <c r="J3947" s="33">
        <v>7.9</v>
      </c>
      <c r="K3947" s="33">
        <v>0</v>
      </c>
      <c r="L3947" s="38">
        <v>4.3180000000000005</v>
      </c>
      <c r="M3947" s="33">
        <v>0</v>
      </c>
      <c r="O3947" s="38">
        <v>3.556</v>
      </c>
      <c r="P3947" s="33">
        <v>2.7</v>
      </c>
      <c r="Q3947" s="33">
        <v>5.2</v>
      </c>
      <c r="X3947" s="33"/>
      <c r="AB3947" s="33">
        <v>5.2</v>
      </c>
    </row>
    <row r="3948" spans="1:28" x14ac:dyDescent="0.25">
      <c r="A3948" s="22">
        <v>42299</v>
      </c>
      <c r="B3948" s="33">
        <v>11.5</v>
      </c>
      <c r="C3948" s="33">
        <v>6.5</v>
      </c>
      <c r="D3948" s="33">
        <v>18.399999999999999</v>
      </c>
      <c r="F3948" s="33">
        <v>26.8</v>
      </c>
      <c r="G3948" s="33">
        <v>1.9</v>
      </c>
      <c r="H3948" s="33">
        <v>13</v>
      </c>
      <c r="I3948" s="33">
        <v>1.6</v>
      </c>
      <c r="J3948" s="33">
        <v>12.1</v>
      </c>
      <c r="K3948" s="33">
        <v>0</v>
      </c>
      <c r="L3948" s="38">
        <v>1.5239999999999998</v>
      </c>
      <c r="M3948" s="33">
        <v>4.7</v>
      </c>
      <c r="O3948" s="38">
        <v>10.16</v>
      </c>
      <c r="P3948" s="33">
        <v>4.4000000000000004</v>
      </c>
      <c r="Q3948" s="33">
        <v>6.3</v>
      </c>
      <c r="X3948" s="33"/>
      <c r="AB3948" s="33">
        <v>4.8</v>
      </c>
    </row>
    <row r="3949" spans="1:28" x14ac:dyDescent="0.25">
      <c r="A3949" s="22">
        <v>42300</v>
      </c>
      <c r="B3949" s="33">
        <v>1.5</v>
      </c>
      <c r="C3949" s="33">
        <v>7.9</v>
      </c>
      <c r="D3949" s="33">
        <v>6.4</v>
      </c>
      <c r="F3949" s="33">
        <v>0</v>
      </c>
      <c r="G3949" s="33">
        <v>6.1</v>
      </c>
      <c r="H3949" s="33">
        <v>0</v>
      </c>
      <c r="I3949" s="33">
        <v>2.4</v>
      </c>
      <c r="J3949" s="33">
        <v>3.2</v>
      </c>
      <c r="K3949" s="33">
        <v>0</v>
      </c>
      <c r="L3949" s="38">
        <v>1.778</v>
      </c>
      <c r="M3949" s="33">
        <v>5</v>
      </c>
      <c r="O3949" s="38">
        <v>6.35</v>
      </c>
      <c r="P3949" s="33">
        <v>5.8</v>
      </c>
      <c r="Q3949" s="33">
        <v>0</v>
      </c>
      <c r="X3949" s="33"/>
      <c r="AB3949" s="33">
        <v>9.4</v>
      </c>
    </row>
    <row r="3950" spans="1:28" x14ac:dyDescent="0.25">
      <c r="A3950" s="22">
        <v>42301</v>
      </c>
      <c r="B3950" s="33">
        <v>0</v>
      </c>
      <c r="C3950" s="33">
        <v>0</v>
      </c>
      <c r="D3950" s="33">
        <v>0</v>
      </c>
      <c r="F3950" s="33">
        <v>0</v>
      </c>
      <c r="G3950" s="33">
        <v>12</v>
      </c>
      <c r="H3950" s="33">
        <v>0</v>
      </c>
      <c r="I3950" s="33">
        <v>0</v>
      </c>
      <c r="J3950" s="33">
        <v>0.2</v>
      </c>
      <c r="K3950" s="33">
        <v>0</v>
      </c>
      <c r="L3950" s="38">
        <v>0.7619999999999999</v>
      </c>
      <c r="M3950" s="33">
        <v>3.5</v>
      </c>
      <c r="O3950" s="38">
        <v>0</v>
      </c>
      <c r="P3950" s="33">
        <v>0</v>
      </c>
      <c r="Q3950" s="33">
        <v>4.5999999999999996</v>
      </c>
      <c r="X3950" s="33"/>
      <c r="AB3950" s="33">
        <v>0.4</v>
      </c>
    </row>
    <row r="3951" spans="1:28" x14ac:dyDescent="0.25">
      <c r="A3951" s="22">
        <v>42302</v>
      </c>
      <c r="B3951" s="33">
        <v>0</v>
      </c>
      <c r="C3951" s="33">
        <v>19.100000000000001</v>
      </c>
      <c r="D3951" s="33">
        <v>16.100000000000001</v>
      </c>
      <c r="F3951" s="33">
        <v>0</v>
      </c>
      <c r="G3951" s="33">
        <v>1.3</v>
      </c>
      <c r="H3951" s="33">
        <v>0</v>
      </c>
      <c r="I3951" s="33">
        <v>23.5</v>
      </c>
      <c r="J3951" s="33">
        <v>10.3</v>
      </c>
      <c r="K3951" s="33">
        <v>0</v>
      </c>
      <c r="L3951" s="38">
        <v>13.462</v>
      </c>
      <c r="M3951" s="33">
        <v>9.6999999999999993</v>
      </c>
      <c r="O3951" s="38">
        <v>37.845999999999997</v>
      </c>
      <c r="P3951" s="33">
        <v>8.9</v>
      </c>
      <c r="Q3951" s="33">
        <v>10</v>
      </c>
      <c r="X3951" s="33"/>
      <c r="AB3951" s="33">
        <v>23.6</v>
      </c>
    </row>
    <row r="3952" spans="1:28" x14ac:dyDescent="0.25">
      <c r="A3952" s="22">
        <v>42303</v>
      </c>
      <c r="B3952" s="33">
        <v>0</v>
      </c>
      <c r="C3952" s="33">
        <v>1.2</v>
      </c>
      <c r="D3952" s="33">
        <v>9.4</v>
      </c>
      <c r="F3952" s="33">
        <v>0</v>
      </c>
      <c r="G3952" s="33">
        <v>11.5</v>
      </c>
      <c r="H3952" s="33">
        <v>6.5</v>
      </c>
      <c r="I3952" s="33">
        <v>3.8</v>
      </c>
      <c r="J3952" s="33">
        <v>3.2</v>
      </c>
      <c r="K3952" s="33">
        <v>0</v>
      </c>
      <c r="L3952" s="38">
        <v>3.0479999999999996</v>
      </c>
      <c r="M3952" s="33">
        <v>5.6</v>
      </c>
      <c r="O3952" s="38">
        <v>8.3819999999999997</v>
      </c>
      <c r="P3952" s="33">
        <v>0</v>
      </c>
      <c r="Q3952" s="33">
        <v>6.1</v>
      </c>
      <c r="X3952" s="33"/>
      <c r="AB3952" s="33">
        <v>7</v>
      </c>
    </row>
    <row r="3953" spans="1:28" x14ac:dyDescent="0.25">
      <c r="A3953" s="22">
        <v>42304</v>
      </c>
      <c r="B3953" s="33">
        <v>0</v>
      </c>
      <c r="C3953" s="33">
        <v>14.5</v>
      </c>
      <c r="D3953" s="33">
        <v>6.4</v>
      </c>
      <c r="F3953" s="33">
        <v>0</v>
      </c>
      <c r="G3953" s="33">
        <v>3.4</v>
      </c>
      <c r="H3953" s="33">
        <v>10.3</v>
      </c>
      <c r="I3953" s="33">
        <v>1.4</v>
      </c>
      <c r="J3953" s="33">
        <v>9.8000000000000007</v>
      </c>
      <c r="K3953" s="33">
        <v>0</v>
      </c>
      <c r="L3953" s="38">
        <v>5.8419999999999996</v>
      </c>
      <c r="M3953" s="33">
        <v>4.2</v>
      </c>
      <c r="O3953" s="38">
        <v>14.224</v>
      </c>
      <c r="P3953" s="33">
        <v>27.5</v>
      </c>
      <c r="Q3953" s="33">
        <v>1.4</v>
      </c>
      <c r="X3953" s="33"/>
      <c r="AB3953" s="33">
        <v>17.8</v>
      </c>
    </row>
    <row r="3954" spans="1:28" x14ac:dyDescent="0.25">
      <c r="A3954" s="22">
        <v>42305</v>
      </c>
      <c r="B3954" s="33">
        <v>0</v>
      </c>
      <c r="C3954" s="33">
        <v>1.1000000000000001</v>
      </c>
      <c r="D3954" s="33">
        <v>5.2</v>
      </c>
      <c r="F3954" s="33">
        <v>0</v>
      </c>
      <c r="G3954" s="33">
        <v>1.8</v>
      </c>
      <c r="H3954" s="33">
        <v>3.1</v>
      </c>
      <c r="I3954" s="33">
        <v>0</v>
      </c>
      <c r="J3954" s="33">
        <v>6</v>
      </c>
      <c r="K3954" s="33">
        <v>0</v>
      </c>
      <c r="L3954" s="38">
        <v>1.016</v>
      </c>
      <c r="M3954" s="33">
        <v>2.7</v>
      </c>
      <c r="O3954" s="38">
        <v>1.27</v>
      </c>
      <c r="P3954" s="33">
        <v>1</v>
      </c>
      <c r="Q3954" s="33">
        <v>7.1</v>
      </c>
      <c r="X3954" s="33"/>
      <c r="AB3954" s="33">
        <v>2.2000000000000002</v>
      </c>
    </row>
    <row r="3955" spans="1:28" x14ac:dyDescent="0.25">
      <c r="A3955" s="22">
        <v>42306</v>
      </c>
      <c r="B3955" s="33">
        <v>80</v>
      </c>
      <c r="C3955" s="33">
        <v>0</v>
      </c>
      <c r="D3955" s="33">
        <v>0</v>
      </c>
      <c r="F3955" s="33">
        <v>0</v>
      </c>
      <c r="G3955" s="33">
        <v>1.7</v>
      </c>
      <c r="H3955" s="33">
        <v>0.6</v>
      </c>
      <c r="I3955" s="33">
        <v>0.2</v>
      </c>
      <c r="J3955" s="33">
        <v>6.3</v>
      </c>
      <c r="K3955" s="33">
        <v>0</v>
      </c>
      <c r="L3955" s="38">
        <v>3.302</v>
      </c>
      <c r="M3955" s="33">
        <v>0.7</v>
      </c>
      <c r="O3955" s="38">
        <v>0</v>
      </c>
      <c r="P3955" s="33">
        <v>0</v>
      </c>
      <c r="Q3955" s="33">
        <v>1.3</v>
      </c>
      <c r="X3955" s="33"/>
      <c r="AB3955" s="33">
        <v>1.4</v>
      </c>
    </row>
    <row r="3956" spans="1:28" x14ac:dyDescent="0.25">
      <c r="A3956" s="22">
        <v>42307</v>
      </c>
      <c r="B3956" s="33">
        <v>0</v>
      </c>
      <c r="C3956" s="33">
        <v>0</v>
      </c>
      <c r="D3956" s="33">
        <v>11.5</v>
      </c>
      <c r="F3956" s="33">
        <v>0</v>
      </c>
      <c r="G3956" s="33">
        <v>0</v>
      </c>
      <c r="H3956" s="33">
        <v>1.4</v>
      </c>
      <c r="I3956" s="33">
        <v>0</v>
      </c>
      <c r="J3956" s="1">
        <v>3.6</v>
      </c>
      <c r="K3956" s="33">
        <v>0</v>
      </c>
      <c r="L3956" s="38">
        <v>5.8419999999999996</v>
      </c>
      <c r="M3956" s="33">
        <v>1.4</v>
      </c>
      <c r="O3956" s="38">
        <v>1.778</v>
      </c>
      <c r="P3956" s="33">
        <v>6.2</v>
      </c>
      <c r="Q3956" s="33">
        <v>15.2</v>
      </c>
      <c r="X3956" s="33"/>
      <c r="AB3956" s="33">
        <v>5.2</v>
      </c>
    </row>
    <row r="3957" spans="1:28" x14ac:dyDescent="0.25">
      <c r="A3957" s="22">
        <v>42308</v>
      </c>
      <c r="B3957" s="1">
        <v>25</v>
      </c>
      <c r="C3957" s="1">
        <v>36</v>
      </c>
      <c r="D3957" s="1">
        <v>29.6</v>
      </c>
      <c r="F3957" s="33">
        <v>0</v>
      </c>
      <c r="G3957" s="1">
        <v>18.2</v>
      </c>
      <c r="H3957" s="1">
        <v>2.5</v>
      </c>
      <c r="I3957" s="1">
        <v>0</v>
      </c>
      <c r="J3957" s="33">
        <v>10.8</v>
      </c>
      <c r="K3957" s="1">
        <v>0</v>
      </c>
      <c r="L3957" s="38">
        <v>27.94</v>
      </c>
      <c r="M3957" s="1">
        <v>3.4</v>
      </c>
      <c r="O3957" s="38">
        <v>29.971999999999998</v>
      </c>
      <c r="P3957" s="1">
        <v>28.8</v>
      </c>
      <c r="Q3957" s="33">
        <v>2.8</v>
      </c>
      <c r="X3957" s="33"/>
      <c r="AB3957" s="1">
        <v>36.4</v>
      </c>
    </row>
    <row r="3958" spans="1:28" x14ac:dyDescent="0.25">
      <c r="A3958" s="22">
        <v>42309</v>
      </c>
      <c r="B3958" s="33">
        <v>0</v>
      </c>
      <c r="C3958" s="33">
        <v>11.3</v>
      </c>
      <c r="D3958" s="33">
        <v>2</v>
      </c>
      <c r="F3958" s="30">
        <v>22.3</v>
      </c>
      <c r="G3958" s="33">
        <v>16.2</v>
      </c>
      <c r="H3958" s="33">
        <v>0</v>
      </c>
      <c r="I3958" s="30">
        <v>14.3</v>
      </c>
      <c r="J3958" s="33">
        <v>23.8</v>
      </c>
      <c r="K3958" s="30">
        <v>0</v>
      </c>
      <c r="L3958" s="38">
        <v>5.3339999999999996</v>
      </c>
      <c r="M3958" s="33">
        <v>7.1</v>
      </c>
      <c r="O3958" s="38">
        <v>9.3979999999999997</v>
      </c>
      <c r="P3958" s="33">
        <v>7.8</v>
      </c>
      <c r="Q3958" s="30">
        <v>52.9</v>
      </c>
      <c r="X3958" s="33">
        <v>0</v>
      </c>
      <c r="AB3958" s="1"/>
    </row>
    <row r="3959" spans="1:28" x14ac:dyDescent="0.25">
      <c r="A3959" s="22">
        <v>42310</v>
      </c>
      <c r="B3959" s="33">
        <v>0</v>
      </c>
      <c r="C3959" s="30">
        <v>27.8</v>
      </c>
      <c r="D3959" s="33">
        <v>30.5</v>
      </c>
      <c r="F3959" s="30">
        <v>0</v>
      </c>
      <c r="G3959" s="33">
        <v>33.4</v>
      </c>
      <c r="H3959" s="33">
        <v>23.2</v>
      </c>
      <c r="I3959" s="30">
        <v>19.399999999999999</v>
      </c>
      <c r="J3959" s="30">
        <v>11</v>
      </c>
      <c r="K3959" s="30">
        <v>98.4</v>
      </c>
      <c r="L3959" s="38">
        <v>23.367999999999999</v>
      </c>
      <c r="M3959" s="33">
        <v>9.1999999999999993</v>
      </c>
      <c r="O3959" s="38">
        <v>36.321999999999996</v>
      </c>
      <c r="P3959" s="33">
        <v>21.6</v>
      </c>
      <c r="Q3959" s="33">
        <v>11.1</v>
      </c>
      <c r="X3959" s="33">
        <v>0</v>
      </c>
      <c r="AB3959" s="1"/>
    </row>
    <row r="3960" spans="1:28" x14ac:dyDescent="0.25">
      <c r="A3960" s="22">
        <v>42311</v>
      </c>
      <c r="B3960" s="33">
        <v>52</v>
      </c>
      <c r="C3960" s="30">
        <v>24.2</v>
      </c>
      <c r="D3960" s="33">
        <v>31.5</v>
      </c>
      <c r="F3960" s="30">
        <v>34.4</v>
      </c>
      <c r="G3960" s="33">
        <v>12.2</v>
      </c>
      <c r="H3960" s="33">
        <v>37.700000000000003</v>
      </c>
      <c r="I3960" s="30">
        <v>11</v>
      </c>
      <c r="J3960" s="30">
        <v>55.5</v>
      </c>
      <c r="K3960" s="30">
        <v>70.3</v>
      </c>
      <c r="L3960" s="38">
        <v>9.1439999999999984</v>
      </c>
      <c r="M3960" s="33">
        <v>59.3</v>
      </c>
      <c r="O3960" s="38">
        <v>11.176</v>
      </c>
      <c r="P3960" s="33">
        <v>0</v>
      </c>
      <c r="Q3960" s="33">
        <v>17.7</v>
      </c>
      <c r="X3960" s="33">
        <v>0</v>
      </c>
      <c r="AB3960" s="1"/>
    </row>
    <row r="3961" spans="1:28" x14ac:dyDescent="0.25">
      <c r="A3961" s="22">
        <v>42312</v>
      </c>
      <c r="B3961" s="33">
        <v>8.5</v>
      </c>
      <c r="C3961" s="30">
        <v>14.7</v>
      </c>
      <c r="D3961" s="33">
        <v>19.5</v>
      </c>
      <c r="F3961" s="30">
        <v>0</v>
      </c>
      <c r="G3961" s="33">
        <v>12.8</v>
      </c>
      <c r="H3961" s="33">
        <v>5.5</v>
      </c>
      <c r="I3961" s="30">
        <v>33.5</v>
      </c>
      <c r="J3961" s="33">
        <v>21.3</v>
      </c>
      <c r="K3961" s="30">
        <v>19.899999999999999</v>
      </c>
      <c r="L3961" s="38">
        <v>6.8579999999999997</v>
      </c>
      <c r="M3961" s="33">
        <v>10.1</v>
      </c>
      <c r="O3961" s="38">
        <v>31.241999999999997</v>
      </c>
      <c r="P3961" s="33">
        <v>7.1</v>
      </c>
      <c r="Q3961" s="33">
        <v>9.3000000000000007</v>
      </c>
      <c r="X3961" s="33">
        <v>0</v>
      </c>
      <c r="AB3961" s="1"/>
    </row>
    <row r="3962" spans="1:28" x14ac:dyDescent="0.25">
      <c r="A3962" s="22">
        <v>42313</v>
      </c>
      <c r="B3962" s="33">
        <v>6.5</v>
      </c>
      <c r="C3962" s="30">
        <v>9.6999999999999993</v>
      </c>
      <c r="D3962" s="30">
        <v>8.6999999999999993</v>
      </c>
      <c r="F3962" s="30">
        <v>12.8</v>
      </c>
      <c r="G3962" s="33">
        <v>69.5</v>
      </c>
      <c r="H3962" s="33">
        <v>10.3</v>
      </c>
      <c r="I3962" s="30">
        <v>9</v>
      </c>
      <c r="J3962" s="30">
        <v>10.1</v>
      </c>
      <c r="K3962" s="30">
        <v>14.4</v>
      </c>
      <c r="L3962" s="38">
        <v>7.8739999999999997</v>
      </c>
      <c r="M3962" s="33">
        <v>13.3</v>
      </c>
      <c r="O3962" s="38">
        <v>9.1439999999999984</v>
      </c>
      <c r="P3962" s="33">
        <v>3.7</v>
      </c>
      <c r="Q3962" s="33">
        <v>72.3</v>
      </c>
      <c r="X3962" s="33">
        <v>131.57199999999997</v>
      </c>
      <c r="AB3962" s="1"/>
    </row>
    <row r="3963" spans="1:28" x14ac:dyDescent="0.25">
      <c r="A3963" s="22">
        <v>42314</v>
      </c>
      <c r="B3963" s="33">
        <v>104.6</v>
      </c>
      <c r="C3963" s="30">
        <v>54</v>
      </c>
      <c r="D3963" s="30">
        <v>59.8</v>
      </c>
      <c r="F3963" s="30">
        <v>73.099999999999994</v>
      </c>
      <c r="G3963" s="33">
        <v>0</v>
      </c>
      <c r="H3963" s="33">
        <v>86.8</v>
      </c>
      <c r="I3963" s="30">
        <v>49.5</v>
      </c>
      <c r="J3963" s="30">
        <v>77</v>
      </c>
      <c r="K3963" s="30">
        <v>0</v>
      </c>
      <c r="L3963" s="38">
        <v>98.298000000000002</v>
      </c>
      <c r="M3963" s="33">
        <v>62.4</v>
      </c>
      <c r="O3963" s="38">
        <v>66.039999999999992</v>
      </c>
      <c r="P3963" s="33">
        <v>100.5</v>
      </c>
      <c r="Q3963" s="33">
        <v>0.5</v>
      </c>
      <c r="X3963" s="33">
        <v>0</v>
      </c>
      <c r="AB3963" s="1"/>
    </row>
    <row r="3964" spans="1:28" x14ac:dyDescent="0.25">
      <c r="A3964" s="22">
        <v>42315</v>
      </c>
      <c r="B3964" s="33">
        <v>0</v>
      </c>
      <c r="C3964" s="30" t="s">
        <v>9</v>
      </c>
      <c r="D3964" s="30">
        <v>0</v>
      </c>
      <c r="F3964" s="30">
        <v>0</v>
      </c>
      <c r="G3964" s="33">
        <v>8.1999999999999993</v>
      </c>
      <c r="H3964" s="33">
        <v>0</v>
      </c>
      <c r="I3964" s="33">
        <v>0</v>
      </c>
      <c r="J3964" s="30" t="s">
        <v>9</v>
      </c>
      <c r="K3964" s="30">
        <v>0</v>
      </c>
      <c r="L3964" s="38">
        <v>5.8419999999999996</v>
      </c>
      <c r="M3964" s="33">
        <v>0</v>
      </c>
      <c r="O3964" s="38">
        <v>2.54</v>
      </c>
      <c r="P3964" s="33">
        <v>0.7</v>
      </c>
      <c r="Q3964" s="33">
        <v>4.0999999999999996</v>
      </c>
      <c r="X3964" s="33">
        <v>0</v>
      </c>
      <c r="AB3964" s="1"/>
    </row>
    <row r="3965" spans="1:28" x14ac:dyDescent="0.25">
      <c r="A3965" s="22">
        <v>42316</v>
      </c>
      <c r="B3965" s="33">
        <v>0</v>
      </c>
      <c r="C3965" s="30">
        <v>13.9</v>
      </c>
      <c r="D3965" s="33">
        <v>12.5</v>
      </c>
      <c r="F3965" s="30">
        <v>3.2</v>
      </c>
      <c r="G3965" s="33">
        <v>132.5</v>
      </c>
      <c r="H3965" s="33">
        <v>7</v>
      </c>
      <c r="I3965" s="30">
        <v>5.6</v>
      </c>
      <c r="J3965" s="30">
        <v>5.9</v>
      </c>
      <c r="K3965" s="30">
        <v>0</v>
      </c>
      <c r="L3965" s="38">
        <v>8.1280000000000001</v>
      </c>
      <c r="M3965" s="33">
        <v>9.6</v>
      </c>
      <c r="O3965" s="38">
        <v>7.6199999999999992</v>
      </c>
      <c r="P3965" s="33">
        <v>3.2</v>
      </c>
      <c r="Q3965" s="33">
        <v>114.1</v>
      </c>
      <c r="X3965" s="33">
        <v>143.25599999999997</v>
      </c>
      <c r="AB3965" s="2"/>
    </row>
    <row r="3966" spans="1:28" x14ac:dyDescent="0.25">
      <c r="A3966" s="22">
        <v>42317</v>
      </c>
      <c r="B3966" s="33">
        <v>87</v>
      </c>
      <c r="C3966" s="30">
        <v>114.7</v>
      </c>
      <c r="D3966" s="33">
        <v>133.30000000000001</v>
      </c>
      <c r="F3966" s="30">
        <v>114.3</v>
      </c>
      <c r="G3966" s="33">
        <v>38.200000000000003</v>
      </c>
      <c r="H3966" s="33">
        <v>121.4</v>
      </c>
      <c r="I3966" s="30">
        <v>0</v>
      </c>
      <c r="J3966" s="30">
        <v>139.4</v>
      </c>
      <c r="K3966" s="30">
        <v>0</v>
      </c>
      <c r="L3966" s="38">
        <v>73.914000000000001</v>
      </c>
      <c r="M3966" s="33">
        <v>171.2</v>
      </c>
      <c r="O3966" s="38">
        <v>106.17199999999998</v>
      </c>
      <c r="P3966" s="33">
        <v>50.4</v>
      </c>
      <c r="Q3966" s="33">
        <v>15.2</v>
      </c>
      <c r="X3966" s="33">
        <v>17.018000000000001</v>
      </c>
      <c r="AB3966" s="2"/>
    </row>
    <row r="3967" spans="1:28" x14ac:dyDescent="0.25">
      <c r="A3967" s="22">
        <v>42318</v>
      </c>
      <c r="B3967" s="33">
        <v>27</v>
      </c>
      <c r="C3967" s="30">
        <v>27.5</v>
      </c>
      <c r="D3967" s="33">
        <v>38.5</v>
      </c>
      <c r="F3967" s="30">
        <v>16.100000000000001</v>
      </c>
      <c r="G3967" s="33">
        <v>60.4</v>
      </c>
      <c r="H3967" s="33">
        <v>21.3</v>
      </c>
      <c r="I3967" s="30">
        <v>0</v>
      </c>
      <c r="J3967" s="30">
        <v>0</v>
      </c>
      <c r="K3967" s="30">
        <v>0</v>
      </c>
      <c r="L3967" s="38">
        <v>10.413999999999998</v>
      </c>
      <c r="M3967" s="33">
        <v>40.4</v>
      </c>
      <c r="O3967" s="38">
        <v>29.209999999999997</v>
      </c>
      <c r="P3967" s="33">
        <v>12.7</v>
      </c>
      <c r="Q3967" s="33">
        <v>31.2</v>
      </c>
      <c r="X3967" s="33">
        <v>0</v>
      </c>
      <c r="AB3967" s="2"/>
    </row>
    <row r="3968" spans="1:28" x14ac:dyDescent="0.25">
      <c r="A3968" s="22">
        <v>42319</v>
      </c>
      <c r="B3968" s="33">
        <v>31</v>
      </c>
      <c r="C3968" s="30">
        <v>57.8</v>
      </c>
      <c r="D3968" s="33">
        <v>58.3</v>
      </c>
      <c r="F3968" s="30">
        <v>42.1</v>
      </c>
      <c r="G3968" s="33">
        <v>9.8000000000000007</v>
      </c>
      <c r="H3968" s="33">
        <v>34.6</v>
      </c>
      <c r="I3968" s="30">
        <v>0</v>
      </c>
      <c r="J3968" s="30">
        <v>87.7</v>
      </c>
      <c r="K3968" s="30">
        <v>0</v>
      </c>
      <c r="L3968" s="38">
        <v>18.033999999999999</v>
      </c>
      <c r="M3968" s="33">
        <v>70.599999999999994</v>
      </c>
      <c r="O3968" s="38">
        <v>66.039999999999992</v>
      </c>
      <c r="P3968" s="33">
        <v>18.100000000000001</v>
      </c>
      <c r="Q3968" s="33">
        <v>0.8</v>
      </c>
      <c r="X3968" s="33">
        <v>4.0640000000000001</v>
      </c>
      <c r="AB3968" s="2"/>
    </row>
    <row r="3969" spans="1:28" x14ac:dyDescent="0.25">
      <c r="A3969" s="22">
        <v>42320</v>
      </c>
      <c r="B3969" s="33">
        <v>2</v>
      </c>
      <c r="C3969" s="30">
        <v>1.6</v>
      </c>
      <c r="D3969" s="33">
        <v>5.8</v>
      </c>
      <c r="F3969" s="30">
        <v>0</v>
      </c>
      <c r="G3969" s="33">
        <v>0.6</v>
      </c>
      <c r="H3969" s="33">
        <v>7.4</v>
      </c>
      <c r="I3969" s="30">
        <v>0</v>
      </c>
      <c r="J3969" s="33">
        <v>10.9</v>
      </c>
      <c r="K3969" s="30">
        <v>0</v>
      </c>
      <c r="L3969" s="38">
        <v>6.8579999999999997</v>
      </c>
      <c r="M3969" s="33">
        <v>6.1</v>
      </c>
      <c r="O3969" s="38">
        <v>5.5880000000000001</v>
      </c>
      <c r="P3969" s="33">
        <v>1.5</v>
      </c>
      <c r="Q3969" s="30">
        <v>0</v>
      </c>
      <c r="X3969" s="33">
        <v>2.2859999999999996</v>
      </c>
      <c r="AB3969" s="2"/>
    </row>
    <row r="3970" spans="1:28" x14ac:dyDescent="0.25">
      <c r="A3970" s="22">
        <v>42321</v>
      </c>
      <c r="B3970" s="33">
        <v>0</v>
      </c>
      <c r="C3970" s="33">
        <v>2</v>
      </c>
      <c r="D3970" s="33">
        <v>1.8</v>
      </c>
      <c r="F3970" s="30">
        <v>0</v>
      </c>
      <c r="G3970" s="30">
        <v>2.1</v>
      </c>
      <c r="H3970" s="33">
        <v>0.6</v>
      </c>
      <c r="I3970" s="30">
        <v>170</v>
      </c>
      <c r="J3970" s="33">
        <v>3</v>
      </c>
      <c r="K3970" s="30">
        <v>0</v>
      </c>
      <c r="L3970" s="38">
        <v>1.016</v>
      </c>
      <c r="M3970" s="33">
        <v>1.4</v>
      </c>
      <c r="O3970" s="38">
        <v>1.5239999999999998</v>
      </c>
      <c r="P3970" s="33">
        <v>0</v>
      </c>
      <c r="Q3970" s="33">
        <v>1.2</v>
      </c>
      <c r="X3970" s="33">
        <v>3.0479999999999996</v>
      </c>
      <c r="AB3970" s="2"/>
    </row>
    <row r="3971" spans="1:28" x14ac:dyDescent="0.25">
      <c r="A3971" s="22">
        <v>42322</v>
      </c>
      <c r="B3971" s="33">
        <v>0</v>
      </c>
      <c r="C3971" s="33">
        <v>3.6</v>
      </c>
      <c r="D3971" s="33">
        <v>1.3</v>
      </c>
      <c r="F3971" s="30">
        <v>0</v>
      </c>
      <c r="G3971" s="30">
        <v>0.9</v>
      </c>
      <c r="H3971" s="33">
        <v>0</v>
      </c>
      <c r="I3971" s="30">
        <v>0</v>
      </c>
      <c r="J3971" s="33">
        <v>4.9000000000000004</v>
      </c>
      <c r="K3971" s="30">
        <v>0</v>
      </c>
      <c r="L3971" s="38">
        <v>0.7619999999999999</v>
      </c>
      <c r="M3971" s="33">
        <v>0.5</v>
      </c>
      <c r="O3971" s="38">
        <v>3.8099999999999996</v>
      </c>
      <c r="P3971" s="33">
        <v>3.4</v>
      </c>
      <c r="Q3971" s="30">
        <v>0</v>
      </c>
      <c r="X3971" s="33">
        <v>0</v>
      </c>
      <c r="AB3971" s="2"/>
    </row>
    <row r="3972" spans="1:28" x14ac:dyDescent="0.25">
      <c r="A3972" s="22">
        <v>42323</v>
      </c>
      <c r="B3972" s="33">
        <v>0</v>
      </c>
      <c r="C3972" s="30">
        <v>1.7</v>
      </c>
      <c r="D3972" s="33">
        <v>0</v>
      </c>
      <c r="F3972" s="30">
        <v>0</v>
      </c>
      <c r="G3972" s="30">
        <v>0</v>
      </c>
      <c r="H3972" s="33">
        <v>0</v>
      </c>
      <c r="I3972" s="30">
        <v>0</v>
      </c>
      <c r="J3972" s="30">
        <v>6.5</v>
      </c>
      <c r="K3972" s="30">
        <v>0</v>
      </c>
      <c r="L3972" s="38">
        <v>3.0479999999999996</v>
      </c>
      <c r="M3972" s="33">
        <v>1.5</v>
      </c>
      <c r="O3972" s="38">
        <v>1.27</v>
      </c>
      <c r="P3972" s="33">
        <v>0</v>
      </c>
      <c r="Q3972" s="33">
        <v>13.2</v>
      </c>
      <c r="X3972" s="33">
        <v>0</v>
      </c>
      <c r="AB3972" s="1"/>
    </row>
    <row r="3973" spans="1:28" x14ac:dyDescent="0.25">
      <c r="A3973" s="22">
        <v>42324</v>
      </c>
      <c r="B3973" s="33">
        <v>30.1</v>
      </c>
      <c r="C3973" s="30">
        <v>4.5999999999999996</v>
      </c>
      <c r="D3973" s="33">
        <v>7.5</v>
      </c>
      <c r="F3973" s="30">
        <v>0</v>
      </c>
      <c r="G3973" s="30">
        <v>2</v>
      </c>
      <c r="H3973" s="33">
        <v>0</v>
      </c>
      <c r="I3973" s="33">
        <v>0</v>
      </c>
      <c r="J3973" s="30">
        <v>2.5</v>
      </c>
      <c r="K3973" s="30">
        <v>0</v>
      </c>
      <c r="L3973" s="38">
        <v>10.413999999999998</v>
      </c>
      <c r="M3973" s="33">
        <v>1.5</v>
      </c>
      <c r="O3973" s="38">
        <v>4.0640000000000001</v>
      </c>
      <c r="P3973" s="33">
        <v>3</v>
      </c>
      <c r="Q3973" s="30">
        <v>0</v>
      </c>
      <c r="X3973" s="33">
        <v>127.50799999999998</v>
      </c>
      <c r="AB3973" s="1"/>
    </row>
    <row r="3974" spans="1:28" x14ac:dyDescent="0.25">
      <c r="A3974" s="22">
        <v>42325</v>
      </c>
      <c r="B3974" s="33">
        <v>1</v>
      </c>
      <c r="C3974" s="30">
        <v>1</v>
      </c>
      <c r="D3974" s="33">
        <v>7.1</v>
      </c>
      <c r="F3974" s="30">
        <v>0</v>
      </c>
      <c r="G3974" s="33">
        <v>0</v>
      </c>
      <c r="H3974" s="33">
        <v>2</v>
      </c>
      <c r="I3974" s="30">
        <v>0</v>
      </c>
      <c r="J3974" s="30">
        <v>0.5</v>
      </c>
      <c r="K3974" s="30">
        <v>250.2</v>
      </c>
      <c r="L3974" s="38">
        <v>2.032</v>
      </c>
      <c r="M3974" s="33">
        <v>0</v>
      </c>
      <c r="O3974" s="38">
        <v>2.54</v>
      </c>
      <c r="P3974" s="33">
        <v>0.6</v>
      </c>
      <c r="Q3974" s="33">
        <v>3.9</v>
      </c>
      <c r="X3974" s="33">
        <v>0</v>
      </c>
      <c r="AB3974" s="2"/>
    </row>
    <row r="3975" spans="1:28" x14ac:dyDescent="0.25">
      <c r="A3975" s="22">
        <v>42326</v>
      </c>
      <c r="B3975" s="33">
        <v>0</v>
      </c>
      <c r="C3975" s="30">
        <v>8.3000000000000007</v>
      </c>
      <c r="D3975" s="30">
        <v>1.8</v>
      </c>
      <c r="F3975" s="30">
        <v>0</v>
      </c>
      <c r="G3975" s="33">
        <v>0.2</v>
      </c>
      <c r="H3975" s="33">
        <v>3</v>
      </c>
      <c r="I3975" s="30">
        <v>2.6</v>
      </c>
      <c r="J3975" s="33">
        <v>1.4</v>
      </c>
      <c r="K3975" s="30">
        <v>0</v>
      </c>
      <c r="L3975" s="38">
        <v>1.016</v>
      </c>
      <c r="M3975" s="33">
        <v>6.9</v>
      </c>
      <c r="O3975" s="38">
        <v>3.302</v>
      </c>
      <c r="P3975" s="33">
        <v>1.1000000000000001</v>
      </c>
      <c r="Q3975" s="33">
        <v>1.1000000000000001</v>
      </c>
      <c r="X3975" s="33">
        <v>0</v>
      </c>
      <c r="AB3975" s="2"/>
    </row>
    <row r="3976" spans="1:28" x14ac:dyDescent="0.25">
      <c r="A3976" s="22">
        <v>42327</v>
      </c>
      <c r="B3976" s="33">
        <v>1.5</v>
      </c>
      <c r="C3976" s="30">
        <v>0.3</v>
      </c>
      <c r="D3976" s="33">
        <v>19</v>
      </c>
      <c r="F3976" s="30">
        <v>0</v>
      </c>
      <c r="G3976" s="33">
        <v>2.8</v>
      </c>
      <c r="H3976" s="33">
        <v>0</v>
      </c>
      <c r="I3976" s="30">
        <v>0</v>
      </c>
      <c r="J3976" s="33">
        <v>0.9</v>
      </c>
      <c r="K3976" s="30">
        <v>0</v>
      </c>
      <c r="L3976" s="38">
        <v>0</v>
      </c>
      <c r="M3976" s="33">
        <v>0</v>
      </c>
      <c r="O3976" s="38">
        <v>1.778</v>
      </c>
      <c r="P3976" s="33">
        <v>0</v>
      </c>
      <c r="Q3976" s="33">
        <v>5.7</v>
      </c>
      <c r="X3976" s="33">
        <v>0</v>
      </c>
      <c r="AB3976" s="2"/>
    </row>
    <row r="3977" spans="1:28" x14ac:dyDescent="0.25">
      <c r="A3977" s="22">
        <v>42328</v>
      </c>
      <c r="B3977" s="33">
        <v>0</v>
      </c>
      <c r="C3977" s="30" t="s">
        <v>9</v>
      </c>
      <c r="D3977" s="33">
        <v>0</v>
      </c>
      <c r="F3977" s="30">
        <v>13.5</v>
      </c>
      <c r="G3977" s="33">
        <v>2.9</v>
      </c>
      <c r="H3977" s="33">
        <v>6.8</v>
      </c>
      <c r="I3977" s="30">
        <v>1.5</v>
      </c>
      <c r="J3977" s="30">
        <v>3.1</v>
      </c>
      <c r="K3977" s="30">
        <v>0</v>
      </c>
      <c r="L3977" s="38">
        <v>5.3339999999999996</v>
      </c>
      <c r="M3977" s="33">
        <v>2.8</v>
      </c>
      <c r="O3977" s="38">
        <v>1.016</v>
      </c>
      <c r="P3977" s="33">
        <v>4</v>
      </c>
      <c r="Q3977" s="33">
        <v>0.2</v>
      </c>
      <c r="X3977" s="33">
        <v>0</v>
      </c>
      <c r="AB3977" s="1"/>
    </row>
    <row r="3978" spans="1:28" x14ac:dyDescent="0.25">
      <c r="A3978" s="22">
        <v>42329</v>
      </c>
      <c r="B3978" s="33">
        <v>0</v>
      </c>
      <c r="C3978" s="30" t="s">
        <v>9</v>
      </c>
      <c r="D3978" s="33">
        <v>0</v>
      </c>
      <c r="F3978" s="30">
        <v>2.2000000000000002</v>
      </c>
      <c r="G3978" s="33">
        <v>0.5</v>
      </c>
      <c r="H3978" s="33">
        <v>4.7</v>
      </c>
      <c r="I3978" s="30">
        <v>0</v>
      </c>
      <c r="J3978" s="33">
        <v>3.8</v>
      </c>
      <c r="K3978" s="33">
        <v>0</v>
      </c>
      <c r="L3978" s="38">
        <v>10.413999999999998</v>
      </c>
      <c r="M3978" s="33">
        <v>3.5</v>
      </c>
      <c r="O3978" s="38">
        <v>0</v>
      </c>
      <c r="P3978" s="33">
        <v>0.9</v>
      </c>
      <c r="Q3978" s="33">
        <v>0</v>
      </c>
      <c r="X3978" s="33">
        <v>0</v>
      </c>
      <c r="AB3978" s="1"/>
    </row>
    <row r="3979" spans="1:28" x14ac:dyDescent="0.25">
      <c r="A3979" s="22">
        <v>42330</v>
      </c>
      <c r="B3979" s="33">
        <v>0</v>
      </c>
      <c r="C3979" s="30" t="s">
        <v>9</v>
      </c>
      <c r="D3979" s="30">
        <v>9</v>
      </c>
      <c r="F3979" s="30">
        <v>0</v>
      </c>
      <c r="G3979" s="33">
        <v>8.6999999999999993</v>
      </c>
      <c r="H3979" s="33">
        <v>0</v>
      </c>
      <c r="I3979" s="30">
        <v>0</v>
      </c>
      <c r="J3979" s="33">
        <v>0.7</v>
      </c>
      <c r="K3979" s="30">
        <v>0</v>
      </c>
      <c r="L3979" s="38">
        <v>0</v>
      </c>
      <c r="M3979" s="33">
        <v>6.4</v>
      </c>
      <c r="O3979" s="38">
        <v>0</v>
      </c>
      <c r="P3979" s="33">
        <v>0</v>
      </c>
      <c r="Q3979" s="33">
        <v>2.1</v>
      </c>
      <c r="X3979" s="33">
        <v>17.018000000000001</v>
      </c>
      <c r="AB3979" s="2"/>
    </row>
    <row r="3980" spans="1:28" x14ac:dyDescent="0.25">
      <c r="A3980" s="22">
        <v>42331</v>
      </c>
      <c r="B3980" s="33">
        <v>0</v>
      </c>
      <c r="C3980" s="33">
        <v>26.5</v>
      </c>
      <c r="D3980" s="30">
        <v>28.5</v>
      </c>
      <c r="F3980" s="30">
        <v>0</v>
      </c>
      <c r="G3980" s="33">
        <v>5.0999999999999996</v>
      </c>
      <c r="H3980" s="33">
        <v>13.6</v>
      </c>
      <c r="I3980" s="33">
        <v>5.9</v>
      </c>
      <c r="J3980" s="33">
        <v>20.8</v>
      </c>
      <c r="K3980" s="33">
        <v>0</v>
      </c>
      <c r="L3980" s="38">
        <v>8.636000000000001</v>
      </c>
      <c r="M3980" s="33">
        <v>12.5</v>
      </c>
      <c r="O3980" s="38">
        <v>11.43</v>
      </c>
      <c r="P3980" s="33">
        <v>0.6</v>
      </c>
      <c r="Q3980" s="33">
        <v>4.2</v>
      </c>
      <c r="X3980" s="33">
        <v>4.5719999999999992</v>
      </c>
      <c r="AB3980" s="1"/>
    </row>
    <row r="3981" spans="1:28" x14ac:dyDescent="0.25">
      <c r="A3981" s="22">
        <v>42332</v>
      </c>
      <c r="B3981" s="33">
        <v>0</v>
      </c>
      <c r="C3981" s="33">
        <v>7.2</v>
      </c>
      <c r="D3981" s="30">
        <v>7.9</v>
      </c>
      <c r="F3981" s="30">
        <v>34.200000000000003</v>
      </c>
      <c r="G3981" s="33">
        <v>5.8</v>
      </c>
      <c r="H3981" s="33">
        <v>3</v>
      </c>
      <c r="I3981" s="30">
        <v>7</v>
      </c>
      <c r="J3981" s="33">
        <v>15.5</v>
      </c>
      <c r="K3981" s="33">
        <v>25.5</v>
      </c>
      <c r="L3981" s="38">
        <v>4.8259999999999996</v>
      </c>
      <c r="M3981" s="33">
        <v>5.3</v>
      </c>
      <c r="O3981" s="38">
        <v>10.667999999999999</v>
      </c>
      <c r="P3981" s="33">
        <v>0</v>
      </c>
      <c r="Q3981" s="33">
        <v>0.1</v>
      </c>
      <c r="X3981" s="33">
        <v>0</v>
      </c>
      <c r="AB3981" s="1"/>
    </row>
    <row r="3982" spans="1:28" x14ac:dyDescent="0.25">
      <c r="A3982" s="22">
        <v>42333</v>
      </c>
      <c r="B3982" s="33">
        <v>0</v>
      </c>
      <c r="C3982" s="30" t="s">
        <v>9</v>
      </c>
      <c r="D3982" s="30">
        <v>0.6</v>
      </c>
      <c r="F3982" s="30">
        <v>4.9000000000000004</v>
      </c>
      <c r="G3982" s="33">
        <v>1.5</v>
      </c>
      <c r="H3982" s="33">
        <v>5.2</v>
      </c>
      <c r="I3982" s="33">
        <v>4</v>
      </c>
      <c r="J3982" s="30">
        <v>12.4</v>
      </c>
      <c r="K3982" s="33">
        <v>9.5</v>
      </c>
      <c r="L3982" s="38">
        <v>2.794</v>
      </c>
      <c r="M3982" s="33">
        <v>7.2</v>
      </c>
      <c r="O3982" s="38">
        <v>6.8579999999999997</v>
      </c>
      <c r="P3982" s="33">
        <v>1.7</v>
      </c>
      <c r="Q3982" s="33">
        <v>0.9</v>
      </c>
      <c r="X3982" s="33">
        <v>6.35</v>
      </c>
      <c r="AB3982" s="1"/>
    </row>
    <row r="3983" spans="1:28" x14ac:dyDescent="0.25">
      <c r="A3983" s="22">
        <v>42334</v>
      </c>
      <c r="B3983" s="33">
        <v>0</v>
      </c>
      <c r="C3983" s="33">
        <v>3.6</v>
      </c>
      <c r="D3983" s="33">
        <v>3.5</v>
      </c>
      <c r="F3983" s="30">
        <v>0</v>
      </c>
      <c r="G3983" s="33">
        <v>0</v>
      </c>
      <c r="H3983" s="33">
        <v>0</v>
      </c>
      <c r="I3983" s="33">
        <v>0</v>
      </c>
      <c r="J3983" s="33">
        <v>1</v>
      </c>
      <c r="K3983" s="33">
        <v>21.2</v>
      </c>
      <c r="L3983" s="38">
        <v>0</v>
      </c>
      <c r="M3983" s="33">
        <v>0</v>
      </c>
      <c r="O3983" s="38">
        <v>1.5239999999999998</v>
      </c>
      <c r="P3983" s="33">
        <v>1</v>
      </c>
      <c r="Q3983" s="33">
        <v>0.7</v>
      </c>
      <c r="X3983" s="33">
        <v>0</v>
      </c>
      <c r="AB3983" s="1"/>
    </row>
    <row r="3984" spans="1:28" x14ac:dyDescent="0.25">
      <c r="A3984" s="22">
        <v>42335</v>
      </c>
      <c r="B3984" s="33">
        <v>0</v>
      </c>
      <c r="C3984" s="33">
        <v>1.8</v>
      </c>
      <c r="D3984" s="33">
        <v>1.7</v>
      </c>
      <c r="F3984" s="30">
        <v>0</v>
      </c>
      <c r="G3984" s="33">
        <v>0</v>
      </c>
      <c r="H3984" s="33">
        <v>0</v>
      </c>
      <c r="I3984" s="33">
        <v>0.2</v>
      </c>
      <c r="J3984" s="30">
        <v>0.2</v>
      </c>
      <c r="K3984" s="30">
        <v>0.5</v>
      </c>
      <c r="L3984" s="38">
        <v>1.5239999999999998</v>
      </c>
      <c r="M3984" s="33">
        <v>0.5</v>
      </c>
      <c r="O3984" s="38">
        <v>2.2859999999999996</v>
      </c>
      <c r="P3984" s="33">
        <v>1.5</v>
      </c>
      <c r="Q3984" s="33">
        <v>3.3</v>
      </c>
      <c r="X3984" s="33">
        <v>0</v>
      </c>
      <c r="AB3984" s="1"/>
    </row>
    <row r="3985" spans="1:28" x14ac:dyDescent="0.25">
      <c r="A3985" s="22">
        <v>42336</v>
      </c>
      <c r="B3985" s="33">
        <v>0</v>
      </c>
      <c r="C3985" s="33">
        <v>2.8</v>
      </c>
      <c r="D3985" s="33">
        <v>3.6</v>
      </c>
      <c r="F3985" s="30">
        <v>0</v>
      </c>
      <c r="G3985" s="33">
        <v>3.6</v>
      </c>
      <c r="H3985" s="33">
        <v>0</v>
      </c>
      <c r="I3985" s="30">
        <v>0</v>
      </c>
      <c r="J3985" s="33">
        <v>0.3</v>
      </c>
      <c r="K3985" s="30">
        <v>0</v>
      </c>
      <c r="L3985" s="38">
        <v>2.2859999999999996</v>
      </c>
      <c r="M3985" s="33">
        <v>0</v>
      </c>
      <c r="O3985" s="38">
        <v>7.8739999999999997</v>
      </c>
      <c r="P3985" s="33">
        <v>6.9</v>
      </c>
      <c r="Q3985" s="33">
        <v>2.5</v>
      </c>
      <c r="X3985" s="33">
        <v>0</v>
      </c>
      <c r="AB3985" s="1"/>
    </row>
    <row r="3986" spans="1:28" x14ac:dyDescent="0.25">
      <c r="A3986" s="22">
        <v>42337</v>
      </c>
      <c r="B3986" s="33">
        <v>0</v>
      </c>
      <c r="C3986" s="30" t="s">
        <v>9</v>
      </c>
      <c r="D3986" s="33">
        <v>8.4</v>
      </c>
      <c r="F3986" s="30">
        <v>0</v>
      </c>
      <c r="G3986" s="33">
        <v>4.8</v>
      </c>
      <c r="H3986" s="33">
        <v>0</v>
      </c>
      <c r="I3986" s="30">
        <v>2.5</v>
      </c>
      <c r="J3986" s="33">
        <v>6.9</v>
      </c>
      <c r="K3986" s="30">
        <v>0</v>
      </c>
      <c r="L3986" s="38">
        <v>0.7619999999999999</v>
      </c>
      <c r="M3986" s="33">
        <v>4.2</v>
      </c>
      <c r="O3986" s="38">
        <v>16.509999999999998</v>
      </c>
      <c r="P3986" s="33">
        <v>3.9</v>
      </c>
      <c r="Q3986" s="33">
        <v>4.9000000000000004</v>
      </c>
      <c r="X3986" s="33">
        <v>0</v>
      </c>
      <c r="AB3986" s="1"/>
    </row>
    <row r="3987" spans="1:28" x14ac:dyDescent="0.25">
      <c r="A3987" s="22">
        <v>42338</v>
      </c>
      <c r="B3987" s="33">
        <v>0</v>
      </c>
      <c r="C3987" s="33">
        <v>14.9</v>
      </c>
      <c r="D3987" s="33">
        <v>16.100000000000001</v>
      </c>
      <c r="F3987" s="30">
        <v>0</v>
      </c>
      <c r="G3987" s="33">
        <v>9.4</v>
      </c>
      <c r="H3987" s="33">
        <v>9.5</v>
      </c>
      <c r="I3987" s="30">
        <v>1.7</v>
      </c>
      <c r="J3987" s="33">
        <v>8.1999999999999993</v>
      </c>
      <c r="K3987" s="30">
        <v>0</v>
      </c>
      <c r="L3987" s="38">
        <v>9.1439999999999984</v>
      </c>
      <c r="M3987" s="33">
        <v>7.3</v>
      </c>
      <c r="O3987" s="38">
        <v>5.5880000000000001</v>
      </c>
      <c r="P3987" s="33">
        <v>1.3</v>
      </c>
      <c r="Q3987" s="33">
        <v>7.5</v>
      </c>
      <c r="X3987" s="33">
        <v>11.43</v>
      </c>
      <c r="AB3987" s="1"/>
    </row>
    <row r="3988" spans="1:28" x14ac:dyDescent="0.25">
      <c r="A3988" s="22">
        <v>42339</v>
      </c>
      <c r="B3988" s="33">
        <v>5.5</v>
      </c>
      <c r="C3988" s="33">
        <v>10.6</v>
      </c>
      <c r="D3988" s="33">
        <v>6.8</v>
      </c>
      <c r="F3988" s="30">
        <v>0</v>
      </c>
      <c r="G3988" s="33">
        <v>2.5</v>
      </c>
      <c r="H3988" s="33">
        <v>7</v>
      </c>
      <c r="I3988" s="30">
        <v>0</v>
      </c>
      <c r="J3988" s="33">
        <v>6.6</v>
      </c>
      <c r="K3988" s="30">
        <v>0</v>
      </c>
      <c r="L3988" s="38">
        <v>4.8259999999999996</v>
      </c>
      <c r="M3988" s="33">
        <v>7.2</v>
      </c>
      <c r="O3988" s="38">
        <v>8.3819999999999997</v>
      </c>
      <c r="P3988" s="33">
        <v>1.5</v>
      </c>
      <c r="Q3988" s="30">
        <v>7.9</v>
      </c>
      <c r="X3988" s="1">
        <v>0</v>
      </c>
      <c r="AB3988" s="33"/>
    </row>
    <row r="3989" spans="1:28" x14ac:dyDescent="0.25">
      <c r="A3989" s="22">
        <v>42340</v>
      </c>
      <c r="B3989" s="33">
        <v>0</v>
      </c>
      <c r="C3989" s="30">
        <v>8.1999999999999993</v>
      </c>
      <c r="D3989" s="33">
        <v>22</v>
      </c>
      <c r="F3989" s="30">
        <v>10</v>
      </c>
      <c r="G3989" s="33">
        <v>0</v>
      </c>
      <c r="H3989" s="33">
        <v>3</v>
      </c>
      <c r="I3989" s="30">
        <v>8</v>
      </c>
      <c r="J3989" s="30">
        <v>2.6</v>
      </c>
      <c r="K3989" s="30">
        <v>0</v>
      </c>
      <c r="L3989" s="38">
        <v>2.2859999999999996</v>
      </c>
      <c r="M3989" s="33">
        <v>2.2999999999999998</v>
      </c>
      <c r="O3989" s="38">
        <v>6.6040000000000001</v>
      </c>
      <c r="P3989" s="33">
        <v>1.3</v>
      </c>
      <c r="Q3989" s="33">
        <v>0</v>
      </c>
      <c r="X3989" s="1">
        <v>196.34200000000001</v>
      </c>
      <c r="AB3989" s="33"/>
    </row>
    <row r="3990" spans="1:28" x14ac:dyDescent="0.25">
      <c r="A3990" s="22">
        <v>42341</v>
      </c>
      <c r="B3990" s="33">
        <v>0</v>
      </c>
      <c r="C3990" s="30">
        <v>1</v>
      </c>
      <c r="D3990" s="33">
        <v>7.4</v>
      </c>
      <c r="F3990" s="30">
        <v>0</v>
      </c>
      <c r="G3990" s="33">
        <v>22.2</v>
      </c>
      <c r="H3990" s="33">
        <v>0</v>
      </c>
      <c r="I3990" s="30">
        <v>0</v>
      </c>
      <c r="J3990" s="30">
        <v>1.1000000000000001</v>
      </c>
      <c r="K3990" s="30">
        <v>0</v>
      </c>
      <c r="L3990" s="38">
        <v>0</v>
      </c>
      <c r="M3990" s="33">
        <v>0</v>
      </c>
      <c r="O3990" s="38">
        <v>12.7</v>
      </c>
      <c r="P3990" s="33">
        <v>0</v>
      </c>
      <c r="Q3990" s="33">
        <v>39.700000000000003</v>
      </c>
      <c r="X3990" s="1">
        <v>0</v>
      </c>
      <c r="AB3990" s="33"/>
    </row>
    <row r="3991" spans="1:28" x14ac:dyDescent="0.25">
      <c r="A3991" s="22">
        <v>42342</v>
      </c>
      <c r="B3991" s="33">
        <v>60</v>
      </c>
      <c r="C3991" s="30">
        <v>32.4</v>
      </c>
      <c r="D3991" s="33">
        <v>58.3</v>
      </c>
      <c r="F3991" s="30">
        <v>17</v>
      </c>
      <c r="G3991" s="33">
        <v>1.2</v>
      </c>
      <c r="H3991" s="33">
        <v>2.6</v>
      </c>
      <c r="I3991" s="30">
        <v>0</v>
      </c>
      <c r="J3991" s="33">
        <v>30.2</v>
      </c>
      <c r="K3991" s="30">
        <v>0</v>
      </c>
      <c r="L3991" s="38">
        <v>61.722000000000001</v>
      </c>
      <c r="M3991" s="33">
        <v>17.7</v>
      </c>
      <c r="O3991" s="38">
        <v>30.479999999999997</v>
      </c>
      <c r="P3991" s="33">
        <v>62.3</v>
      </c>
      <c r="Q3991" s="33">
        <v>1.6</v>
      </c>
      <c r="X3991" s="1">
        <v>85.85199999999999</v>
      </c>
      <c r="AB3991" s="33"/>
    </row>
    <row r="3992" spans="1:28" x14ac:dyDescent="0.25">
      <c r="A3992" s="22">
        <v>42343</v>
      </c>
      <c r="B3992" s="33">
        <v>0</v>
      </c>
      <c r="C3992" s="30">
        <v>7.1</v>
      </c>
      <c r="D3992" s="30">
        <v>2.4</v>
      </c>
      <c r="F3992" s="30">
        <v>0</v>
      </c>
      <c r="G3992" s="33">
        <v>0.7</v>
      </c>
      <c r="H3992" s="33">
        <v>19.2</v>
      </c>
      <c r="I3992" s="30">
        <v>15.1</v>
      </c>
      <c r="J3992" s="30">
        <v>0.4</v>
      </c>
      <c r="K3992" s="30">
        <v>85.9</v>
      </c>
      <c r="L3992" s="38">
        <v>1.016</v>
      </c>
      <c r="M3992" s="33">
        <v>0</v>
      </c>
      <c r="O3992" s="38">
        <v>2.54</v>
      </c>
      <c r="P3992" s="33">
        <v>3.9</v>
      </c>
      <c r="Q3992" s="33">
        <v>0</v>
      </c>
      <c r="X3992" s="1">
        <v>0</v>
      </c>
      <c r="AB3992" s="33"/>
    </row>
    <row r="3993" spans="1:28" x14ac:dyDescent="0.25">
      <c r="A3993" s="22">
        <v>42344</v>
      </c>
      <c r="B3993" s="33">
        <v>0</v>
      </c>
      <c r="C3993" s="30">
        <v>0</v>
      </c>
      <c r="D3993" s="30">
        <v>0</v>
      </c>
      <c r="F3993" s="30">
        <v>0</v>
      </c>
      <c r="G3993" s="33">
        <v>5.2</v>
      </c>
      <c r="H3993" s="33">
        <v>0</v>
      </c>
      <c r="I3993" s="30">
        <v>0</v>
      </c>
      <c r="J3993" s="30" t="s">
        <v>9</v>
      </c>
      <c r="K3993" s="30">
        <v>0</v>
      </c>
      <c r="L3993" s="38">
        <v>0</v>
      </c>
      <c r="M3993" s="33">
        <v>0</v>
      </c>
      <c r="O3993" s="38">
        <v>1.27</v>
      </c>
      <c r="P3993" s="33">
        <v>0</v>
      </c>
      <c r="Q3993" s="33">
        <v>2.1</v>
      </c>
      <c r="X3993" s="1">
        <v>0</v>
      </c>
      <c r="AB3993" s="33"/>
    </row>
    <row r="3994" spans="1:28" x14ac:dyDescent="0.25">
      <c r="A3994" s="22">
        <v>42345</v>
      </c>
      <c r="B3994" s="33">
        <v>10.1</v>
      </c>
      <c r="C3994" s="30">
        <v>2.2999999999999998</v>
      </c>
      <c r="D3994" s="30">
        <v>3.1</v>
      </c>
      <c r="F3994" s="30">
        <v>2.2000000000000002</v>
      </c>
      <c r="G3994" s="33">
        <v>14.8</v>
      </c>
      <c r="H3994" s="33">
        <v>0</v>
      </c>
      <c r="I3994" s="33">
        <v>5.5</v>
      </c>
      <c r="J3994" s="30">
        <v>9.9</v>
      </c>
      <c r="K3994" s="30">
        <v>0</v>
      </c>
      <c r="L3994" s="38">
        <v>3.302</v>
      </c>
      <c r="M3994" s="33">
        <v>10.4</v>
      </c>
      <c r="O3994" s="38">
        <v>3.8099999999999996</v>
      </c>
      <c r="P3994" s="33">
        <v>3.6</v>
      </c>
      <c r="Q3994" s="33">
        <v>4.2</v>
      </c>
      <c r="X3994" s="1">
        <v>0</v>
      </c>
      <c r="AB3994" s="33"/>
    </row>
    <row r="3995" spans="1:28" x14ac:dyDescent="0.25">
      <c r="A3995" s="22">
        <v>42346</v>
      </c>
      <c r="B3995" s="33">
        <v>0</v>
      </c>
      <c r="C3995" s="30">
        <v>13.4</v>
      </c>
      <c r="D3995" s="33">
        <v>21</v>
      </c>
      <c r="F3995" s="30">
        <v>2.5</v>
      </c>
      <c r="G3995" s="33">
        <v>0</v>
      </c>
      <c r="H3995" s="33">
        <v>10</v>
      </c>
      <c r="I3995" s="30">
        <v>12.5</v>
      </c>
      <c r="J3995" s="30">
        <v>19.2</v>
      </c>
      <c r="K3995" s="30">
        <v>0</v>
      </c>
      <c r="L3995" s="38">
        <v>3.0479999999999996</v>
      </c>
      <c r="M3995" s="33">
        <v>4.0999999999999996</v>
      </c>
      <c r="O3995" s="38">
        <v>9.1439999999999984</v>
      </c>
      <c r="P3995" s="33">
        <v>5.0999999999999996</v>
      </c>
      <c r="Q3995" s="33">
        <v>0.5</v>
      </c>
      <c r="X3995" s="1">
        <v>0</v>
      </c>
      <c r="AB3995" s="33"/>
    </row>
    <row r="3996" spans="1:28" x14ac:dyDescent="0.25">
      <c r="A3996" s="22">
        <v>42347</v>
      </c>
      <c r="B3996" s="33">
        <v>0</v>
      </c>
      <c r="C3996" s="30" t="s">
        <v>9</v>
      </c>
      <c r="D3996" s="33">
        <v>1.9</v>
      </c>
      <c r="F3996" s="30">
        <v>0</v>
      </c>
      <c r="G3996" s="33">
        <v>3.2</v>
      </c>
      <c r="H3996" s="33">
        <v>0</v>
      </c>
      <c r="I3996" s="30">
        <v>0</v>
      </c>
      <c r="J3996" s="30">
        <v>4</v>
      </c>
      <c r="K3996" s="30">
        <v>0</v>
      </c>
      <c r="L3996" s="38">
        <v>0.7619999999999999</v>
      </c>
      <c r="M3996" s="33">
        <v>0</v>
      </c>
      <c r="O3996" s="38">
        <v>2.032</v>
      </c>
      <c r="P3996" s="33">
        <v>0</v>
      </c>
      <c r="Q3996" s="33">
        <v>4.5</v>
      </c>
      <c r="X3996" s="1">
        <v>0</v>
      </c>
      <c r="AB3996" s="33"/>
    </row>
    <row r="3997" spans="1:28" x14ac:dyDescent="0.25">
      <c r="A3997" s="22">
        <v>42348</v>
      </c>
      <c r="B3997" s="33">
        <v>7.3</v>
      </c>
      <c r="C3997" s="30">
        <v>4.2</v>
      </c>
      <c r="D3997" s="33">
        <v>0</v>
      </c>
      <c r="F3997" s="30">
        <v>0</v>
      </c>
      <c r="G3997" s="33">
        <v>4.0999999999999996</v>
      </c>
      <c r="H3997" s="33">
        <v>0</v>
      </c>
      <c r="I3997" s="30">
        <v>2.8</v>
      </c>
      <c r="J3997" s="30">
        <v>2.1</v>
      </c>
      <c r="K3997" s="30">
        <v>0</v>
      </c>
      <c r="L3997" s="38">
        <v>1.5239999999999998</v>
      </c>
      <c r="M3997" s="33">
        <v>1.5</v>
      </c>
      <c r="O3997" s="38">
        <v>3.302</v>
      </c>
      <c r="P3997" s="33">
        <v>0</v>
      </c>
      <c r="Q3997" s="33">
        <v>2.9</v>
      </c>
      <c r="X3997" s="1">
        <v>0</v>
      </c>
      <c r="AB3997" s="33"/>
    </row>
    <row r="3998" spans="1:28" x14ac:dyDescent="0.25">
      <c r="A3998" s="22">
        <v>42349</v>
      </c>
      <c r="B3998" s="33">
        <v>0</v>
      </c>
      <c r="C3998" s="30">
        <v>9.1</v>
      </c>
      <c r="D3998" s="33">
        <v>18.600000000000001</v>
      </c>
      <c r="F3998" s="30">
        <v>3.6</v>
      </c>
      <c r="G3998" s="33">
        <v>1.5</v>
      </c>
      <c r="H3998" s="33">
        <v>2.2000000000000002</v>
      </c>
      <c r="I3998" s="30">
        <v>5.2</v>
      </c>
      <c r="J3998" s="30">
        <v>5.7</v>
      </c>
      <c r="K3998" s="30">
        <v>0</v>
      </c>
      <c r="L3998" s="38">
        <v>5.3339999999999996</v>
      </c>
      <c r="M3998" s="33">
        <v>3.8</v>
      </c>
      <c r="O3998" s="38">
        <v>10.16</v>
      </c>
      <c r="P3998" s="33">
        <v>5.8</v>
      </c>
      <c r="Q3998" s="33">
        <v>16.600000000000001</v>
      </c>
      <c r="X3998" s="1">
        <v>0</v>
      </c>
      <c r="AB3998" s="33"/>
    </row>
    <row r="3999" spans="1:28" x14ac:dyDescent="0.25">
      <c r="A3999" s="22">
        <v>42350</v>
      </c>
      <c r="B3999" s="33">
        <v>3</v>
      </c>
      <c r="C3999" s="30">
        <v>19.100000000000001</v>
      </c>
      <c r="D3999" s="33">
        <v>14.7</v>
      </c>
      <c r="F3999" s="30">
        <v>0</v>
      </c>
      <c r="G3999" s="33">
        <v>4.8</v>
      </c>
      <c r="H3999" s="33">
        <v>1.6</v>
      </c>
      <c r="I3999" s="30">
        <v>2</v>
      </c>
      <c r="J3999" s="33">
        <v>2</v>
      </c>
      <c r="K3999" s="30">
        <v>0</v>
      </c>
      <c r="L3999" s="38">
        <v>1.5239999999999998</v>
      </c>
      <c r="M3999" s="33">
        <v>1.7</v>
      </c>
      <c r="O3999" s="38">
        <v>18.541999999999998</v>
      </c>
      <c r="P3999" s="33">
        <v>1.3</v>
      </c>
      <c r="Q3999" s="30">
        <v>6.2</v>
      </c>
      <c r="X3999" s="1">
        <v>0</v>
      </c>
      <c r="AB3999" s="33"/>
    </row>
    <row r="4000" spans="1:28" x14ac:dyDescent="0.25">
      <c r="A4000" s="22">
        <v>42351</v>
      </c>
      <c r="B4000" s="33">
        <v>6.4</v>
      </c>
      <c r="C4000" s="33">
        <v>5.6</v>
      </c>
      <c r="D4000" s="33">
        <v>22.4</v>
      </c>
      <c r="F4000" s="30">
        <v>8.5</v>
      </c>
      <c r="G4000" s="30">
        <v>7.4</v>
      </c>
      <c r="H4000" s="33">
        <v>0</v>
      </c>
      <c r="I4000" s="30">
        <v>2.1</v>
      </c>
      <c r="J4000" s="33">
        <v>8.1</v>
      </c>
      <c r="K4000" s="30">
        <v>0</v>
      </c>
      <c r="L4000" s="38">
        <v>4.3180000000000005</v>
      </c>
      <c r="M4000" s="33">
        <v>2.8</v>
      </c>
      <c r="O4000" s="38">
        <v>3.302</v>
      </c>
      <c r="P4000" s="33">
        <v>3</v>
      </c>
      <c r="Q4000" s="33">
        <v>3.3</v>
      </c>
      <c r="X4000" s="1">
        <v>0</v>
      </c>
      <c r="AB4000" s="33"/>
    </row>
    <row r="4001" spans="1:28" x14ac:dyDescent="0.25">
      <c r="A4001" s="22">
        <v>42352</v>
      </c>
      <c r="B4001" s="33">
        <v>14.5</v>
      </c>
      <c r="C4001" s="33">
        <v>1.9</v>
      </c>
      <c r="D4001" s="33">
        <v>7.3</v>
      </c>
      <c r="F4001" s="30">
        <v>5.4</v>
      </c>
      <c r="G4001" s="30">
        <v>9</v>
      </c>
      <c r="H4001" s="33">
        <v>8.1999999999999993</v>
      </c>
      <c r="I4001" s="30">
        <v>7.1</v>
      </c>
      <c r="J4001" s="33">
        <v>17.5</v>
      </c>
      <c r="K4001" s="30">
        <v>0</v>
      </c>
      <c r="L4001" s="38">
        <v>5.8419999999999996</v>
      </c>
      <c r="M4001" s="33">
        <v>6.2</v>
      </c>
      <c r="O4001" s="38">
        <v>5.08</v>
      </c>
      <c r="P4001" s="33">
        <v>3.7</v>
      </c>
      <c r="Q4001" s="30">
        <v>4.4000000000000004</v>
      </c>
      <c r="X4001" s="1">
        <v>27.94</v>
      </c>
      <c r="AB4001" s="33"/>
    </row>
    <row r="4002" spans="1:28" x14ac:dyDescent="0.25">
      <c r="A4002" s="22">
        <v>42353</v>
      </c>
      <c r="B4002" s="33">
        <v>15.3</v>
      </c>
      <c r="C4002" s="30">
        <v>5.3</v>
      </c>
      <c r="D4002" s="33">
        <v>11.4</v>
      </c>
      <c r="F4002" s="30">
        <v>3.1</v>
      </c>
      <c r="G4002" s="30">
        <v>0.3</v>
      </c>
      <c r="H4002" s="33">
        <v>1.7</v>
      </c>
      <c r="I4002" s="30">
        <v>3.3</v>
      </c>
      <c r="J4002" s="30">
        <v>17.2</v>
      </c>
      <c r="K4002" s="30">
        <v>0</v>
      </c>
      <c r="L4002" s="38">
        <v>9.9060000000000006</v>
      </c>
      <c r="M4002" s="33">
        <v>3.7</v>
      </c>
      <c r="O4002" s="38">
        <v>3.302</v>
      </c>
      <c r="P4002" s="33">
        <v>7.7</v>
      </c>
      <c r="Q4002" s="33">
        <v>0.2</v>
      </c>
      <c r="X4002" s="1">
        <v>22.86</v>
      </c>
      <c r="AB4002" s="33"/>
    </row>
    <row r="4003" spans="1:28" x14ac:dyDescent="0.25">
      <c r="A4003" s="22">
        <v>42354</v>
      </c>
      <c r="B4003" s="33">
        <v>17.100000000000001</v>
      </c>
      <c r="C4003" s="30">
        <v>0</v>
      </c>
      <c r="D4003" s="33">
        <v>1.9</v>
      </c>
      <c r="F4003" s="30">
        <v>0</v>
      </c>
      <c r="G4003" s="30">
        <v>3.8</v>
      </c>
      <c r="H4003" s="33">
        <v>0</v>
      </c>
      <c r="I4003" s="33">
        <v>2.2999999999999998</v>
      </c>
      <c r="J4003" s="30">
        <v>1.7</v>
      </c>
      <c r="K4003" s="30">
        <v>0</v>
      </c>
      <c r="L4003" s="38">
        <v>1.27</v>
      </c>
      <c r="M4003" s="33">
        <v>0</v>
      </c>
      <c r="O4003" s="38">
        <v>3.8099999999999996</v>
      </c>
      <c r="P4003" s="33">
        <v>0.6</v>
      </c>
      <c r="Q4003" s="30">
        <v>8.6999999999999993</v>
      </c>
      <c r="X4003" s="1">
        <v>23.367999999999999</v>
      </c>
      <c r="AB4003" s="33"/>
    </row>
    <row r="4004" spans="1:28" x14ac:dyDescent="0.25">
      <c r="A4004" s="22">
        <v>42355</v>
      </c>
      <c r="B4004" s="33">
        <v>0</v>
      </c>
      <c r="C4004" s="30">
        <v>9.1</v>
      </c>
      <c r="D4004" s="33">
        <v>24.6</v>
      </c>
      <c r="F4004" s="30">
        <v>4.5999999999999996</v>
      </c>
      <c r="G4004" s="33">
        <v>27</v>
      </c>
      <c r="H4004" s="33">
        <v>5</v>
      </c>
      <c r="I4004" s="30">
        <v>0</v>
      </c>
      <c r="J4004" s="30">
        <v>7.1</v>
      </c>
      <c r="K4004" s="30">
        <v>0</v>
      </c>
      <c r="L4004" s="38">
        <v>39.878</v>
      </c>
      <c r="M4004" s="33">
        <v>3.4</v>
      </c>
      <c r="O4004" s="38">
        <v>20.574000000000002</v>
      </c>
      <c r="P4004" s="33">
        <v>1.1000000000000001</v>
      </c>
      <c r="Q4004" s="33">
        <v>7.8</v>
      </c>
      <c r="X4004" s="1">
        <v>25.4</v>
      </c>
      <c r="AB4004" s="33"/>
    </row>
    <row r="4005" spans="1:28" x14ac:dyDescent="0.25">
      <c r="A4005" s="22">
        <v>42356</v>
      </c>
      <c r="B4005" s="33">
        <v>0</v>
      </c>
      <c r="C4005" s="30">
        <v>39.4</v>
      </c>
      <c r="D4005" s="30">
        <v>46.8</v>
      </c>
      <c r="F4005" s="30">
        <v>46.4</v>
      </c>
      <c r="G4005" s="33">
        <v>30.5</v>
      </c>
      <c r="H4005" s="33">
        <v>15</v>
      </c>
      <c r="I4005" s="30">
        <v>25.4</v>
      </c>
      <c r="J4005" s="33">
        <v>50.2</v>
      </c>
      <c r="K4005" s="33">
        <v>0</v>
      </c>
      <c r="L4005" s="38">
        <v>40.64</v>
      </c>
      <c r="M4005" s="33">
        <v>23.4</v>
      </c>
      <c r="O4005" s="38">
        <v>25.907999999999998</v>
      </c>
      <c r="P4005" s="33">
        <v>18.8</v>
      </c>
      <c r="Q4005" s="33">
        <v>4.5999999999999996</v>
      </c>
      <c r="X4005" s="1">
        <v>33.019999999999996</v>
      </c>
      <c r="AB4005" s="33"/>
    </row>
    <row r="4006" spans="1:28" x14ac:dyDescent="0.25">
      <c r="A4006" s="22">
        <v>42357</v>
      </c>
      <c r="B4006" s="33">
        <v>0</v>
      </c>
      <c r="C4006" s="30">
        <v>11.9</v>
      </c>
      <c r="D4006" s="33">
        <v>13.2</v>
      </c>
      <c r="F4006" s="30">
        <v>0</v>
      </c>
      <c r="G4006" s="33">
        <v>2</v>
      </c>
      <c r="H4006" s="33">
        <v>20</v>
      </c>
      <c r="I4006" s="30">
        <v>16.7</v>
      </c>
      <c r="J4006" s="33">
        <v>21.3</v>
      </c>
      <c r="K4006" s="30">
        <v>0</v>
      </c>
      <c r="L4006" s="38">
        <v>6.6040000000000001</v>
      </c>
      <c r="M4006" s="33">
        <v>15.7</v>
      </c>
      <c r="O4006" s="38">
        <v>26.161999999999999</v>
      </c>
      <c r="P4006" s="33">
        <v>8.6</v>
      </c>
      <c r="Q4006" s="33">
        <v>0.8</v>
      </c>
      <c r="X4006" s="1">
        <v>0</v>
      </c>
      <c r="AB4006" s="33"/>
    </row>
    <row r="4007" spans="1:28" x14ac:dyDescent="0.25">
      <c r="A4007" s="22">
        <v>42358</v>
      </c>
      <c r="B4007" s="33">
        <v>0</v>
      </c>
      <c r="C4007" s="30">
        <v>7.5</v>
      </c>
      <c r="D4007" s="33">
        <v>6.3</v>
      </c>
      <c r="F4007" s="30">
        <v>0</v>
      </c>
      <c r="G4007" s="33">
        <v>8.1999999999999993</v>
      </c>
      <c r="H4007" s="33">
        <v>0</v>
      </c>
      <c r="I4007" s="30">
        <v>0</v>
      </c>
      <c r="J4007" s="30">
        <v>5.9</v>
      </c>
      <c r="K4007" s="33">
        <v>128.30000000000001</v>
      </c>
      <c r="L4007" s="38">
        <v>0.7619999999999999</v>
      </c>
      <c r="M4007" s="33">
        <v>1.6</v>
      </c>
      <c r="O4007" s="38">
        <v>5.5880000000000001</v>
      </c>
      <c r="P4007" s="33">
        <v>2</v>
      </c>
      <c r="Q4007" s="33">
        <v>4.4000000000000004</v>
      </c>
      <c r="X4007" s="1">
        <v>0</v>
      </c>
      <c r="AB4007" s="33"/>
    </row>
    <row r="4008" spans="1:28" x14ac:dyDescent="0.25">
      <c r="A4008" s="22">
        <v>42359</v>
      </c>
      <c r="B4008" s="33">
        <v>0</v>
      </c>
      <c r="C4008" s="30">
        <v>7.3</v>
      </c>
      <c r="D4008" s="33">
        <v>2.2000000000000002</v>
      </c>
      <c r="F4008" s="30">
        <v>0</v>
      </c>
      <c r="G4008" s="33">
        <v>8.4</v>
      </c>
      <c r="H4008" s="33">
        <v>2</v>
      </c>
      <c r="I4008" s="30">
        <v>4.5</v>
      </c>
      <c r="J4008" s="33">
        <v>6.5</v>
      </c>
      <c r="K4008" s="33">
        <v>6.7</v>
      </c>
      <c r="L4008" s="38">
        <v>1.016</v>
      </c>
      <c r="M4008" s="33">
        <v>2.1</v>
      </c>
      <c r="O4008" s="38">
        <v>2.54</v>
      </c>
      <c r="P4008" s="33">
        <v>0</v>
      </c>
      <c r="Q4008" s="33">
        <v>6.5</v>
      </c>
      <c r="X4008" s="1">
        <v>2.54</v>
      </c>
      <c r="AB4008" s="33"/>
    </row>
    <row r="4009" spans="1:28" x14ac:dyDescent="0.25">
      <c r="A4009" s="22">
        <v>42360</v>
      </c>
      <c r="B4009" s="33">
        <v>47.4</v>
      </c>
      <c r="C4009" s="30">
        <v>14.3</v>
      </c>
      <c r="D4009" s="30">
        <v>12</v>
      </c>
      <c r="F4009" s="30">
        <v>6.7</v>
      </c>
      <c r="G4009" s="33">
        <v>12.7</v>
      </c>
      <c r="H4009" s="33">
        <v>6</v>
      </c>
      <c r="I4009" s="30">
        <v>5.0999999999999996</v>
      </c>
      <c r="J4009" s="33">
        <v>11.9</v>
      </c>
      <c r="K4009" s="33">
        <v>17.600000000000001</v>
      </c>
      <c r="L4009" s="38">
        <v>4.3180000000000005</v>
      </c>
      <c r="M4009" s="33">
        <v>6.3</v>
      </c>
      <c r="O4009" s="38">
        <v>10.16</v>
      </c>
      <c r="P4009" s="33">
        <v>3.3</v>
      </c>
      <c r="Q4009" s="33">
        <v>13.6</v>
      </c>
      <c r="X4009" s="1">
        <v>0</v>
      </c>
      <c r="AB4009" s="33"/>
    </row>
    <row r="4010" spans="1:28" x14ac:dyDescent="0.25">
      <c r="A4010" s="22">
        <v>42361</v>
      </c>
      <c r="B4010" s="33">
        <v>20.3</v>
      </c>
      <c r="C4010" s="33">
        <v>14.2</v>
      </c>
      <c r="D4010" s="30">
        <v>15.4</v>
      </c>
      <c r="F4010" s="30">
        <v>8</v>
      </c>
      <c r="G4010" s="33">
        <v>2.5</v>
      </c>
      <c r="H4010" s="33">
        <v>7.2</v>
      </c>
      <c r="I4010" s="33">
        <v>10</v>
      </c>
      <c r="J4010" s="33">
        <v>5.2</v>
      </c>
      <c r="K4010" s="33">
        <v>9.4</v>
      </c>
      <c r="L4010" s="38">
        <v>6.6040000000000001</v>
      </c>
      <c r="M4010" s="33">
        <v>8.8000000000000007</v>
      </c>
      <c r="O4010" s="38">
        <v>10.16</v>
      </c>
      <c r="P4010" s="33">
        <v>5.9</v>
      </c>
      <c r="Q4010" s="33">
        <v>4.5</v>
      </c>
      <c r="X4010" s="1">
        <v>12.7</v>
      </c>
      <c r="AB4010" s="33"/>
    </row>
    <row r="4011" spans="1:28" x14ac:dyDescent="0.25">
      <c r="A4011" s="22">
        <v>42362</v>
      </c>
      <c r="B4011" s="33">
        <v>10.5</v>
      </c>
      <c r="C4011" s="33">
        <v>6.6</v>
      </c>
      <c r="D4011" s="30">
        <v>6.4</v>
      </c>
      <c r="F4011" s="30">
        <v>2.9</v>
      </c>
      <c r="G4011" s="33">
        <v>57.1</v>
      </c>
      <c r="H4011" s="33">
        <v>0</v>
      </c>
      <c r="I4011" s="30">
        <v>0</v>
      </c>
      <c r="J4011" s="33">
        <v>3.1</v>
      </c>
      <c r="K4011" s="30">
        <v>4.5999999999999996</v>
      </c>
      <c r="L4011" s="38">
        <v>16.001999999999999</v>
      </c>
      <c r="M4011" s="33">
        <v>8.6999999999999993</v>
      </c>
      <c r="O4011" s="38">
        <v>10.921999999999999</v>
      </c>
      <c r="P4011" s="33">
        <v>0</v>
      </c>
      <c r="Q4011" s="33">
        <v>26.8</v>
      </c>
      <c r="X4011" s="1">
        <v>0</v>
      </c>
      <c r="AB4011" s="33"/>
    </row>
    <row r="4012" spans="1:28" x14ac:dyDescent="0.25">
      <c r="A4012" s="22">
        <v>42363</v>
      </c>
      <c r="B4012" s="33">
        <v>17.7</v>
      </c>
      <c r="C4012" s="30">
        <v>24.7</v>
      </c>
      <c r="D4012" s="30">
        <v>45.7</v>
      </c>
      <c r="F4012" s="30">
        <v>20</v>
      </c>
      <c r="G4012" s="33">
        <v>8.5</v>
      </c>
      <c r="H4012" s="33">
        <v>47.7</v>
      </c>
      <c r="I4012" s="33">
        <v>34.4</v>
      </c>
      <c r="J4012" s="30">
        <v>5.4</v>
      </c>
      <c r="K4012" s="30">
        <v>70.7</v>
      </c>
      <c r="L4012" s="38">
        <v>30.733999999999998</v>
      </c>
      <c r="M4012" s="33">
        <v>61.3</v>
      </c>
      <c r="O4012" s="38">
        <v>33.019999999999996</v>
      </c>
      <c r="P4012" s="33">
        <v>1.7</v>
      </c>
      <c r="Q4012" s="33">
        <v>10.5</v>
      </c>
      <c r="X4012" s="1">
        <v>0</v>
      </c>
      <c r="AB4012" s="33"/>
    </row>
    <row r="4013" spans="1:28" x14ac:dyDescent="0.25">
      <c r="A4013" s="22">
        <v>42364</v>
      </c>
      <c r="B4013" s="33">
        <v>7.1</v>
      </c>
      <c r="C4013" s="33">
        <v>32.5</v>
      </c>
      <c r="D4013" s="33">
        <v>10.1</v>
      </c>
      <c r="F4013" s="30">
        <v>3.9</v>
      </c>
      <c r="G4013" s="33">
        <v>50.5</v>
      </c>
      <c r="H4013" s="33">
        <v>4.5</v>
      </c>
      <c r="I4013" s="33">
        <v>14.2</v>
      </c>
      <c r="J4013" s="33">
        <v>54.4</v>
      </c>
      <c r="K4013" s="30">
        <v>5.9</v>
      </c>
      <c r="L4013" s="38">
        <v>5.8419999999999996</v>
      </c>
      <c r="M4013" s="33">
        <v>10.9</v>
      </c>
      <c r="O4013" s="38">
        <v>27.94</v>
      </c>
      <c r="P4013" s="33">
        <v>1</v>
      </c>
      <c r="Q4013" s="33">
        <v>39.200000000000003</v>
      </c>
      <c r="X4013" s="1">
        <v>33.781999999999996</v>
      </c>
      <c r="AB4013" s="33"/>
    </row>
    <row r="4014" spans="1:28" x14ac:dyDescent="0.25">
      <c r="A4014" s="22">
        <v>42365</v>
      </c>
      <c r="B4014" s="33">
        <v>30.8</v>
      </c>
      <c r="C4014" s="33">
        <v>41.3</v>
      </c>
      <c r="D4014" s="33">
        <v>55.9</v>
      </c>
      <c r="F4014" s="30">
        <v>36.4</v>
      </c>
      <c r="G4014" s="33">
        <v>36.9</v>
      </c>
      <c r="H4014" s="33">
        <v>0</v>
      </c>
      <c r="I4014" s="33">
        <v>25.5</v>
      </c>
      <c r="J4014" s="30">
        <v>56.2</v>
      </c>
      <c r="K4014" s="33">
        <v>0</v>
      </c>
      <c r="L4014" s="38">
        <v>19.049999999999997</v>
      </c>
      <c r="M4014" s="33">
        <v>9.8000000000000007</v>
      </c>
      <c r="O4014" s="38">
        <v>7.6199999999999992</v>
      </c>
      <c r="P4014" s="33">
        <v>1.5</v>
      </c>
      <c r="Q4014" s="33">
        <v>18.3</v>
      </c>
      <c r="X4014" s="1">
        <v>40.64</v>
      </c>
      <c r="AB4014" s="33"/>
    </row>
    <row r="4015" spans="1:28" x14ac:dyDescent="0.25">
      <c r="A4015" s="22">
        <v>42366</v>
      </c>
      <c r="B4015" s="33">
        <v>27.3</v>
      </c>
      <c r="C4015" s="33">
        <v>30.8</v>
      </c>
      <c r="D4015" s="33">
        <v>36.4</v>
      </c>
      <c r="F4015" s="30">
        <v>13.3</v>
      </c>
      <c r="G4015" s="33">
        <v>9.1999999999999993</v>
      </c>
      <c r="H4015" s="33">
        <v>46.5</v>
      </c>
      <c r="I4015" s="30">
        <v>12.1</v>
      </c>
      <c r="J4015" s="33">
        <v>42.3</v>
      </c>
      <c r="K4015" s="30">
        <v>101.7</v>
      </c>
      <c r="L4015" s="38">
        <v>7.3659999999999988</v>
      </c>
      <c r="M4015" s="33">
        <v>7.2</v>
      </c>
      <c r="O4015" s="38">
        <v>20.32</v>
      </c>
      <c r="P4015" s="33">
        <v>6.9</v>
      </c>
      <c r="Q4015" s="33">
        <v>3.6</v>
      </c>
      <c r="X4015" s="1">
        <v>43.18</v>
      </c>
      <c r="AB4015" s="33"/>
    </row>
    <row r="4016" spans="1:28" x14ac:dyDescent="0.25">
      <c r="A4016" s="22">
        <v>42367</v>
      </c>
      <c r="B4016" s="33">
        <v>40.700000000000003</v>
      </c>
      <c r="C4016" s="30">
        <v>7.8</v>
      </c>
      <c r="D4016" s="33">
        <v>13.4</v>
      </c>
      <c r="F4016" s="30">
        <v>5.5</v>
      </c>
      <c r="G4016" s="33">
        <v>4.5</v>
      </c>
      <c r="H4016" s="33">
        <v>5</v>
      </c>
      <c r="I4016" s="30">
        <v>3.2</v>
      </c>
      <c r="J4016" s="33">
        <v>17.2</v>
      </c>
      <c r="K4016" s="33">
        <v>20.100000000000001</v>
      </c>
      <c r="L4016" s="38">
        <v>2.032</v>
      </c>
      <c r="M4016" s="33">
        <v>4.5</v>
      </c>
      <c r="O4016" s="38">
        <v>4.3180000000000005</v>
      </c>
      <c r="P4016" s="33">
        <v>3.9</v>
      </c>
      <c r="Q4016" s="33">
        <v>2.2000000000000002</v>
      </c>
      <c r="X4016" s="1">
        <v>10.16</v>
      </c>
      <c r="AB4016" s="33"/>
    </row>
    <row r="4017" spans="1:28" x14ac:dyDescent="0.25">
      <c r="A4017" s="22">
        <v>42368</v>
      </c>
      <c r="B4017" s="33">
        <v>0</v>
      </c>
      <c r="C4017" s="33">
        <v>6.8</v>
      </c>
      <c r="D4017" s="33">
        <v>2.5</v>
      </c>
      <c r="F4017" s="30">
        <v>0.8</v>
      </c>
      <c r="G4017" s="33">
        <v>1.8</v>
      </c>
      <c r="H4017" s="33">
        <v>0.6</v>
      </c>
      <c r="I4017" s="30">
        <v>1.4</v>
      </c>
      <c r="J4017" s="33">
        <v>0.2</v>
      </c>
      <c r="K4017" s="30">
        <v>0</v>
      </c>
      <c r="L4017" s="38">
        <v>1.5239999999999998</v>
      </c>
      <c r="M4017" s="33">
        <v>2.2000000000000002</v>
      </c>
      <c r="O4017" s="38">
        <v>2.794</v>
      </c>
      <c r="P4017" s="33">
        <v>1.3</v>
      </c>
      <c r="Q4017" s="33">
        <v>0.6</v>
      </c>
      <c r="X4017" s="1">
        <v>0</v>
      </c>
      <c r="AB4017" s="33"/>
    </row>
    <row r="4018" spans="1:28" x14ac:dyDescent="0.25">
      <c r="A4018" s="22">
        <v>42369</v>
      </c>
      <c r="B4018" s="33">
        <v>0</v>
      </c>
      <c r="C4018" s="33">
        <v>3.1</v>
      </c>
      <c r="D4018" s="33">
        <v>1.1000000000000001</v>
      </c>
      <c r="F4018" s="30">
        <v>0</v>
      </c>
      <c r="G4018" s="33"/>
      <c r="H4018" s="33"/>
      <c r="I4018" s="30">
        <v>0</v>
      </c>
      <c r="J4018" s="33">
        <v>0</v>
      </c>
      <c r="K4018" s="30">
        <v>0</v>
      </c>
      <c r="L4018" s="38">
        <v>1.27</v>
      </c>
      <c r="M4018" s="33">
        <v>1.1000000000000001</v>
      </c>
      <c r="O4018" s="38">
        <v>2.794</v>
      </c>
      <c r="P4018" s="33">
        <v>2.7</v>
      </c>
      <c r="Q4018" s="33">
        <v>3.6</v>
      </c>
      <c r="X4018" s="1">
        <v>12.7</v>
      </c>
      <c r="AB4018" s="33"/>
    </row>
    <row r="4019" spans="1:28" x14ac:dyDescent="0.25">
      <c r="A4019" s="22">
        <v>42370</v>
      </c>
      <c r="B4019" s="2">
        <v>7.2</v>
      </c>
      <c r="C4019" s="1">
        <v>8.1</v>
      </c>
      <c r="D4019" s="1">
        <v>9.6</v>
      </c>
      <c r="F4019" s="1"/>
      <c r="G4019" s="1">
        <v>4.0999999999999996</v>
      </c>
      <c r="H4019" s="1">
        <v>5.0999999999999996</v>
      </c>
      <c r="I4019" s="2">
        <v>10</v>
      </c>
      <c r="J4019" s="1">
        <v>9</v>
      </c>
      <c r="K4019" s="2">
        <v>11.9</v>
      </c>
      <c r="L4019" s="1">
        <v>2.794</v>
      </c>
      <c r="M4019" s="1"/>
      <c r="O4019" s="1">
        <v>2.2859999999999996</v>
      </c>
      <c r="P4019" s="1"/>
      <c r="Q4019" s="1">
        <v>0</v>
      </c>
      <c r="R4019" s="1"/>
      <c r="X4019" s="1"/>
      <c r="AB4019" s="1"/>
    </row>
    <row r="4020" spans="1:28" x14ac:dyDescent="0.25">
      <c r="A4020" s="22">
        <v>42371</v>
      </c>
      <c r="B4020" s="2">
        <v>4.0999999999999996</v>
      </c>
      <c r="C4020" s="1">
        <v>0.5</v>
      </c>
      <c r="D4020" s="1">
        <v>1.8</v>
      </c>
      <c r="F4020" s="1"/>
      <c r="G4020" s="1">
        <v>3.2</v>
      </c>
      <c r="H4020" s="1">
        <v>0</v>
      </c>
      <c r="I4020" s="2">
        <v>0</v>
      </c>
      <c r="J4020" s="2">
        <v>0</v>
      </c>
      <c r="K4020" s="2">
        <v>0</v>
      </c>
      <c r="L4020" s="1">
        <v>2.2859999999999996</v>
      </c>
      <c r="M4020" s="1"/>
      <c r="O4020" s="1">
        <v>5.08</v>
      </c>
      <c r="P4020" s="1"/>
      <c r="Q4020" s="1">
        <v>6.4</v>
      </c>
      <c r="R4020" s="1"/>
      <c r="X4020" s="1"/>
      <c r="AB4020" s="1"/>
    </row>
    <row r="4021" spans="1:28" x14ac:dyDescent="0.25">
      <c r="A4021" s="22">
        <v>42372</v>
      </c>
      <c r="B4021" s="2">
        <v>0</v>
      </c>
      <c r="C4021" s="1">
        <v>4.4000000000000004</v>
      </c>
      <c r="D4021" s="1">
        <v>0</v>
      </c>
      <c r="F4021" s="1"/>
      <c r="G4021" s="1">
        <v>2.1</v>
      </c>
      <c r="H4021" s="1">
        <v>0</v>
      </c>
      <c r="I4021" s="2">
        <v>6</v>
      </c>
      <c r="J4021" s="2">
        <v>11.8</v>
      </c>
      <c r="K4021" s="2">
        <v>17.600000000000001</v>
      </c>
      <c r="L4021" s="1">
        <v>3.0479999999999996</v>
      </c>
      <c r="M4021" s="1"/>
      <c r="O4021" s="1">
        <v>2.54</v>
      </c>
      <c r="P4021" s="1"/>
      <c r="Q4021" s="1">
        <v>2.5</v>
      </c>
      <c r="R4021" s="1"/>
      <c r="X4021" s="1"/>
      <c r="AB4021" s="1"/>
    </row>
    <row r="4022" spans="1:28" x14ac:dyDescent="0.25">
      <c r="A4022" s="22">
        <v>42373</v>
      </c>
      <c r="B4022" s="2">
        <v>0</v>
      </c>
      <c r="C4022" s="1">
        <v>7.6</v>
      </c>
      <c r="D4022" s="1">
        <v>26.3</v>
      </c>
      <c r="F4022" s="1"/>
      <c r="G4022" s="1">
        <v>2.2000000000000002</v>
      </c>
      <c r="H4022" s="1">
        <v>0</v>
      </c>
      <c r="I4022" s="2">
        <v>13.7</v>
      </c>
      <c r="J4022" s="1">
        <v>6.7</v>
      </c>
      <c r="K4022" s="2">
        <v>0</v>
      </c>
      <c r="L4022" s="1">
        <v>6.6040000000000001</v>
      </c>
      <c r="M4022" s="1"/>
      <c r="O4022" s="1">
        <v>1.778</v>
      </c>
      <c r="P4022" s="1"/>
      <c r="Q4022" s="1">
        <v>2.4</v>
      </c>
      <c r="R4022" s="1"/>
      <c r="X4022" s="1"/>
      <c r="AB4022" s="1"/>
    </row>
    <row r="4023" spans="1:28" x14ac:dyDescent="0.25">
      <c r="A4023" s="22">
        <v>42374</v>
      </c>
      <c r="B4023" s="2">
        <v>2.4</v>
      </c>
      <c r="C4023" s="30" t="s">
        <v>9</v>
      </c>
      <c r="D4023" s="2">
        <v>3</v>
      </c>
      <c r="F4023" s="1"/>
      <c r="G4023" s="1">
        <v>1.7</v>
      </c>
      <c r="H4023" s="1">
        <v>0</v>
      </c>
      <c r="I4023" s="2">
        <v>4</v>
      </c>
      <c r="J4023" s="2">
        <v>0.3</v>
      </c>
      <c r="K4023" s="2">
        <v>0</v>
      </c>
      <c r="L4023" s="1">
        <v>2.2859999999999996</v>
      </c>
      <c r="M4023" s="1"/>
      <c r="O4023" s="1">
        <v>2.032</v>
      </c>
      <c r="P4023" s="1"/>
      <c r="Q4023" s="1">
        <v>0.5</v>
      </c>
      <c r="R4023" s="1"/>
      <c r="X4023" s="1"/>
      <c r="AB4023" s="1"/>
    </row>
    <row r="4024" spans="1:28" x14ac:dyDescent="0.25">
      <c r="A4024" s="22">
        <v>42375</v>
      </c>
      <c r="B4024" s="2">
        <v>0</v>
      </c>
      <c r="C4024" s="1">
        <v>1.2</v>
      </c>
      <c r="D4024" s="2">
        <v>0</v>
      </c>
      <c r="F4024" s="1"/>
      <c r="G4024" s="1">
        <v>6.9</v>
      </c>
      <c r="H4024" s="1">
        <v>3.5</v>
      </c>
      <c r="I4024" s="2">
        <v>0</v>
      </c>
      <c r="J4024" s="2">
        <v>0</v>
      </c>
      <c r="K4024" s="2">
        <v>0</v>
      </c>
      <c r="L4024" s="1">
        <v>0.7619999999999999</v>
      </c>
      <c r="M4024" s="1"/>
      <c r="O4024" s="1">
        <v>0.254</v>
      </c>
      <c r="P4024" s="1"/>
      <c r="Q4024" s="1">
        <v>5.7</v>
      </c>
      <c r="R4024" s="1"/>
      <c r="X4024" s="1"/>
      <c r="AB4024" s="1"/>
    </row>
    <row r="4025" spans="1:28" x14ac:dyDescent="0.25">
      <c r="A4025" s="22">
        <v>42376</v>
      </c>
      <c r="B4025" s="2">
        <v>7.1</v>
      </c>
      <c r="C4025" s="1">
        <v>3.3</v>
      </c>
      <c r="D4025" s="2">
        <v>5</v>
      </c>
      <c r="F4025" s="1"/>
      <c r="G4025" s="1">
        <v>0.8</v>
      </c>
      <c r="H4025" s="1">
        <v>5.2</v>
      </c>
      <c r="I4025" s="1">
        <v>2.1</v>
      </c>
      <c r="J4025" s="2">
        <v>3.8</v>
      </c>
      <c r="K4025" s="2">
        <v>0</v>
      </c>
      <c r="L4025" s="1">
        <v>3.0479999999999996</v>
      </c>
      <c r="M4025" s="1"/>
      <c r="O4025" s="1">
        <v>4.0640000000000001</v>
      </c>
      <c r="P4025" s="1"/>
      <c r="Q4025" s="1">
        <v>0</v>
      </c>
      <c r="R4025" s="1"/>
      <c r="X4025" s="1"/>
      <c r="AB4025" s="1"/>
    </row>
    <row r="4026" spans="1:28" x14ac:dyDescent="0.25">
      <c r="A4026" s="22">
        <v>42377</v>
      </c>
      <c r="B4026" s="2">
        <v>0</v>
      </c>
      <c r="C4026" s="30" t="s">
        <v>9</v>
      </c>
      <c r="D4026" s="1">
        <v>2.5</v>
      </c>
      <c r="F4026" s="1"/>
      <c r="G4026" s="1">
        <v>17.100000000000001</v>
      </c>
      <c r="H4026" s="1">
        <v>0</v>
      </c>
      <c r="I4026" s="2">
        <v>0</v>
      </c>
      <c r="J4026" s="2">
        <v>0</v>
      </c>
      <c r="K4026" s="2">
        <v>0</v>
      </c>
      <c r="L4026" s="1">
        <v>1.27</v>
      </c>
      <c r="M4026" s="1"/>
      <c r="O4026" s="1">
        <v>1.016</v>
      </c>
      <c r="P4026" s="1"/>
      <c r="Q4026" s="1">
        <v>15.5</v>
      </c>
      <c r="R4026" s="1"/>
      <c r="X4026" s="1"/>
      <c r="AB4026" s="2"/>
    </row>
    <row r="4027" spans="1:28" x14ac:dyDescent="0.25">
      <c r="A4027" s="22">
        <v>42378</v>
      </c>
      <c r="B4027" s="2">
        <v>6.3</v>
      </c>
      <c r="C4027" s="1">
        <v>21.4</v>
      </c>
      <c r="D4027" s="1">
        <v>41</v>
      </c>
      <c r="F4027" s="1"/>
      <c r="G4027" s="1">
        <v>11</v>
      </c>
      <c r="H4027" s="1">
        <v>3.7</v>
      </c>
      <c r="I4027" s="2">
        <v>4.5</v>
      </c>
      <c r="J4027" s="2">
        <v>0.3</v>
      </c>
      <c r="K4027" s="2">
        <v>0</v>
      </c>
      <c r="L4027" s="1">
        <v>16.763999999999999</v>
      </c>
      <c r="M4027" s="1"/>
      <c r="O4027" s="1">
        <v>17.779999999999998</v>
      </c>
      <c r="P4027" s="1"/>
      <c r="Q4027" s="1">
        <v>4.7</v>
      </c>
      <c r="R4027" s="1"/>
      <c r="X4027" s="1"/>
      <c r="AB4027" s="2"/>
    </row>
    <row r="4028" spans="1:28" x14ac:dyDescent="0.25">
      <c r="A4028" s="22">
        <v>42379</v>
      </c>
      <c r="B4028" s="2">
        <v>0</v>
      </c>
      <c r="C4028" s="1">
        <v>16.8</v>
      </c>
      <c r="D4028" s="1">
        <v>7.2</v>
      </c>
      <c r="F4028" s="1"/>
      <c r="G4028" s="1">
        <v>0</v>
      </c>
      <c r="H4028" s="1">
        <v>0</v>
      </c>
      <c r="I4028" s="2">
        <v>18.2</v>
      </c>
      <c r="J4028" s="2">
        <v>10.3</v>
      </c>
      <c r="K4028" s="2">
        <v>39.799999999999997</v>
      </c>
      <c r="L4028" s="1">
        <v>0</v>
      </c>
      <c r="M4028" s="1"/>
      <c r="O4028" s="1">
        <v>8.1280000000000001</v>
      </c>
      <c r="P4028" s="1"/>
      <c r="Q4028" s="1">
        <v>0</v>
      </c>
      <c r="R4028" s="1"/>
      <c r="X4028" s="1"/>
      <c r="AB4028" s="2"/>
    </row>
    <row r="4029" spans="1:28" x14ac:dyDescent="0.25">
      <c r="A4029" s="22">
        <v>42380</v>
      </c>
      <c r="B4029" s="2">
        <v>11</v>
      </c>
      <c r="C4029" s="30" t="s">
        <v>9</v>
      </c>
      <c r="D4029" s="1">
        <v>0</v>
      </c>
      <c r="F4029" s="1"/>
      <c r="G4029" s="1">
        <v>0</v>
      </c>
      <c r="H4029" s="1">
        <v>0</v>
      </c>
      <c r="I4029" s="2">
        <v>0</v>
      </c>
      <c r="J4029" s="2">
        <v>0</v>
      </c>
      <c r="K4029" s="2">
        <v>0</v>
      </c>
      <c r="L4029" s="1">
        <v>0</v>
      </c>
      <c r="M4029" s="1"/>
      <c r="O4029" s="1">
        <v>0</v>
      </c>
      <c r="P4029" s="1"/>
      <c r="Q4029" s="1">
        <v>0</v>
      </c>
      <c r="R4029" s="1"/>
      <c r="X4029" s="1"/>
      <c r="AB4029" s="2"/>
    </row>
    <row r="4030" spans="1:28" x14ac:dyDescent="0.25">
      <c r="A4030" s="22">
        <v>42381</v>
      </c>
      <c r="B4030" s="2">
        <v>0</v>
      </c>
      <c r="C4030" s="1">
        <v>0</v>
      </c>
      <c r="D4030" s="1">
        <v>0</v>
      </c>
      <c r="F4030" s="1"/>
      <c r="G4030" s="1">
        <v>0</v>
      </c>
      <c r="H4030" s="1">
        <v>0</v>
      </c>
      <c r="I4030" s="2">
        <v>0</v>
      </c>
      <c r="J4030" s="30" t="s">
        <v>9</v>
      </c>
      <c r="K4030" s="2">
        <v>0</v>
      </c>
      <c r="L4030" s="1">
        <v>1.5239999999999998</v>
      </c>
      <c r="M4030" s="1"/>
      <c r="O4030" s="1">
        <v>0</v>
      </c>
      <c r="P4030" s="1"/>
      <c r="Q4030" s="1">
        <v>0</v>
      </c>
      <c r="R4030" s="1"/>
      <c r="X4030" s="1"/>
      <c r="AB4030" s="2"/>
    </row>
    <row r="4031" spans="1:28" x14ac:dyDescent="0.25">
      <c r="A4031" s="22">
        <v>42382</v>
      </c>
      <c r="B4031" s="2">
        <v>14</v>
      </c>
      <c r="C4031" s="1">
        <v>0</v>
      </c>
      <c r="D4031" s="1">
        <v>0</v>
      </c>
      <c r="F4031" s="1"/>
      <c r="G4031" s="2">
        <v>9.8000000000000007</v>
      </c>
      <c r="H4031" s="1">
        <v>0</v>
      </c>
      <c r="I4031" s="2">
        <v>0</v>
      </c>
      <c r="J4031" s="1">
        <v>0</v>
      </c>
      <c r="K4031" s="2">
        <v>0</v>
      </c>
      <c r="L4031" s="1">
        <v>1.016</v>
      </c>
      <c r="M4031" s="1"/>
      <c r="O4031" s="1">
        <v>0</v>
      </c>
      <c r="P4031" s="1"/>
      <c r="Q4031" s="1">
        <v>10.199999999999999</v>
      </c>
      <c r="R4031" s="1"/>
      <c r="X4031" s="1"/>
      <c r="AB4031" s="2"/>
    </row>
    <row r="4032" spans="1:28" x14ac:dyDescent="0.25">
      <c r="A4032" s="22">
        <v>42383</v>
      </c>
      <c r="B4032" s="2">
        <v>0</v>
      </c>
      <c r="C4032" s="1">
        <v>2.5</v>
      </c>
      <c r="D4032" s="1">
        <v>7.5</v>
      </c>
      <c r="F4032" s="1"/>
      <c r="G4032" s="2">
        <v>0</v>
      </c>
      <c r="H4032" s="1">
        <v>0</v>
      </c>
      <c r="I4032" s="2">
        <v>3.5</v>
      </c>
      <c r="J4032" s="1">
        <v>0</v>
      </c>
      <c r="K4032" s="2">
        <v>0</v>
      </c>
      <c r="L4032" s="1">
        <v>6.8579999999999997</v>
      </c>
      <c r="M4032" s="1"/>
      <c r="O4032" s="1">
        <v>4.8259999999999996</v>
      </c>
      <c r="P4032" s="1"/>
      <c r="Q4032" s="1">
        <v>2.8</v>
      </c>
      <c r="R4032" s="1"/>
      <c r="X4032" s="1"/>
      <c r="AB4032" s="2"/>
    </row>
    <row r="4033" spans="1:28" x14ac:dyDescent="0.25">
      <c r="A4033" s="22">
        <v>42384</v>
      </c>
      <c r="B4033" s="2">
        <v>0</v>
      </c>
      <c r="C4033" s="1">
        <v>0</v>
      </c>
      <c r="D4033" s="1">
        <v>0</v>
      </c>
      <c r="F4033" s="1"/>
      <c r="G4033" s="2">
        <v>1.6</v>
      </c>
      <c r="H4033" s="1">
        <v>6.2</v>
      </c>
      <c r="I4033" s="2">
        <v>0</v>
      </c>
      <c r="J4033" s="30" t="s">
        <v>9</v>
      </c>
      <c r="K4033" s="2">
        <v>0</v>
      </c>
      <c r="L4033" s="1">
        <v>0</v>
      </c>
      <c r="M4033" s="1"/>
      <c r="O4033" s="1">
        <v>0</v>
      </c>
      <c r="P4033" s="1"/>
      <c r="Q4033" s="1">
        <v>0</v>
      </c>
      <c r="R4033" s="1">
        <v>0</v>
      </c>
      <c r="X4033" s="1"/>
      <c r="AB4033" s="1"/>
    </row>
    <row r="4034" spans="1:28" x14ac:dyDescent="0.25">
      <c r="A4034" s="22">
        <v>42385</v>
      </c>
      <c r="B4034" s="2">
        <v>0</v>
      </c>
      <c r="C4034" s="30" t="s">
        <v>9</v>
      </c>
      <c r="D4034" s="1">
        <v>0</v>
      </c>
      <c r="F4034" s="1"/>
      <c r="G4034" s="2">
        <v>4.5</v>
      </c>
      <c r="H4034" s="1">
        <v>0</v>
      </c>
      <c r="I4034" s="1">
        <v>0</v>
      </c>
      <c r="J4034" s="2">
        <v>0</v>
      </c>
      <c r="K4034" s="2">
        <v>0</v>
      </c>
      <c r="L4034" s="1">
        <v>2.032</v>
      </c>
      <c r="M4034" s="1"/>
      <c r="O4034" s="1">
        <v>0.7619999999999999</v>
      </c>
      <c r="P4034" s="1"/>
      <c r="Q4034" s="1">
        <v>3.2</v>
      </c>
      <c r="R4034" s="1">
        <v>2.2999999999999998</v>
      </c>
      <c r="X4034" s="1"/>
      <c r="AB4034" s="1"/>
    </row>
    <row r="4035" spans="1:28" x14ac:dyDescent="0.25">
      <c r="A4035" s="22">
        <v>42386</v>
      </c>
      <c r="B4035" s="2">
        <v>0</v>
      </c>
      <c r="C4035" s="30" t="s">
        <v>9</v>
      </c>
      <c r="D4035" s="1">
        <v>11.2</v>
      </c>
      <c r="F4035" s="1"/>
      <c r="G4035" s="1">
        <v>11.5</v>
      </c>
      <c r="H4035" s="1">
        <v>0</v>
      </c>
      <c r="I4035" s="2">
        <v>2.5</v>
      </c>
      <c r="J4035" s="2">
        <v>6.1</v>
      </c>
      <c r="K4035" s="2">
        <v>23.1</v>
      </c>
      <c r="L4035" s="1">
        <v>6.6040000000000001</v>
      </c>
      <c r="M4035" s="1"/>
      <c r="O4035" s="1">
        <v>7.6199999999999992</v>
      </c>
      <c r="P4035" s="1"/>
      <c r="Q4035" s="1">
        <v>10.3</v>
      </c>
      <c r="R4035" s="1">
        <v>8.1</v>
      </c>
      <c r="X4035" s="1"/>
      <c r="AB4035" s="2"/>
    </row>
    <row r="4036" spans="1:28" x14ac:dyDescent="0.25">
      <c r="A4036" s="22">
        <v>42387</v>
      </c>
      <c r="B4036" s="2">
        <v>3.9</v>
      </c>
      <c r="C4036" s="1">
        <v>13.1</v>
      </c>
      <c r="D4036" s="2">
        <v>9.8000000000000007</v>
      </c>
      <c r="F4036" s="1"/>
      <c r="G4036" s="1">
        <v>7.5</v>
      </c>
      <c r="H4036" s="1">
        <v>3.4</v>
      </c>
      <c r="I4036" s="2">
        <v>4</v>
      </c>
      <c r="J4036" s="1">
        <v>0.4</v>
      </c>
      <c r="K4036" s="2">
        <v>17.5</v>
      </c>
      <c r="L4036" s="1">
        <v>17.272000000000002</v>
      </c>
      <c r="M4036" s="1"/>
      <c r="O4036" s="1">
        <v>2.54</v>
      </c>
      <c r="P4036" s="1"/>
      <c r="Q4036" s="1">
        <v>2.2999999999999998</v>
      </c>
      <c r="R4036" s="1">
        <v>0</v>
      </c>
      <c r="X4036" s="1"/>
      <c r="AB4036" s="2"/>
    </row>
    <row r="4037" spans="1:28" x14ac:dyDescent="0.25">
      <c r="A4037" s="22">
        <v>42388</v>
      </c>
      <c r="B4037" s="2">
        <v>0</v>
      </c>
      <c r="C4037" s="1">
        <v>1.6</v>
      </c>
      <c r="D4037" s="1">
        <v>6.9</v>
      </c>
      <c r="F4037" s="1"/>
      <c r="G4037" s="1">
        <v>8.6</v>
      </c>
      <c r="H4037" s="1">
        <v>8.1999999999999993</v>
      </c>
      <c r="I4037" s="2">
        <v>5.0999999999999996</v>
      </c>
      <c r="J4037" s="1">
        <v>0.4</v>
      </c>
      <c r="K4037" s="2">
        <v>10.5</v>
      </c>
      <c r="L4037" s="1">
        <v>1.27</v>
      </c>
      <c r="M4037" s="1"/>
      <c r="O4037" s="1">
        <v>5.5880000000000001</v>
      </c>
      <c r="P4037" s="1"/>
      <c r="Q4037" s="1">
        <v>2.9</v>
      </c>
      <c r="R4037" s="1">
        <v>2.6</v>
      </c>
      <c r="X4037" s="1"/>
      <c r="AB4037" s="2"/>
    </row>
    <row r="4038" spans="1:28" x14ac:dyDescent="0.25">
      <c r="A4038" s="22">
        <v>42389</v>
      </c>
      <c r="B4038" s="2">
        <v>7.1</v>
      </c>
      <c r="C4038" s="1">
        <v>8.1999999999999993</v>
      </c>
      <c r="D4038" s="1">
        <v>10.199999999999999</v>
      </c>
      <c r="F4038" s="1"/>
      <c r="G4038" s="1">
        <v>4</v>
      </c>
      <c r="H4038" s="1">
        <v>3.3</v>
      </c>
      <c r="I4038" s="2">
        <v>3.5</v>
      </c>
      <c r="J4038" s="2">
        <v>0.9</v>
      </c>
      <c r="K4038" s="2">
        <v>0</v>
      </c>
      <c r="L4038" s="1">
        <v>6.0959999999999992</v>
      </c>
      <c r="M4038" s="1"/>
      <c r="O4038" s="1">
        <v>5.5880000000000001</v>
      </c>
      <c r="P4038" s="1"/>
      <c r="Q4038" s="1">
        <v>6.5</v>
      </c>
      <c r="R4038" s="1">
        <v>3.9</v>
      </c>
      <c r="X4038" s="1"/>
      <c r="AB4038" s="1"/>
    </row>
    <row r="4039" spans="1:28" x14ac:dyDescent="0.25">
      <c r="A4039" s="22">
        <v>42390</v>
      </c>
      <c r="B4039" s="2">
        <v>0</v>
      </c>
      <c r="C4039" s="1">
        <v>5.0999999999999996</v>
      </c>
      <c r="D4039" s="1">
        <v>10</v>
      </c>
      <c r="F4039" s="1"/>
      <c r="G4039" s="1">
        <v>1</v>
      </c>
      <c r="H4039" s="1">
        <v>4.4000000000000004</v>
      </c>
      <c r="I4039" s="2">
        <v>2</v>
      </c>
      <c r="J4039" s="1">
        <v>7.9</v>
      </c>
      <c r="K4039" s="1">
        <v>9</v>
      </c>
      <c r="L4039" s="1">
        <v>5.8419999999999996</v>
      </c>
      <c r="M4039" s="1"/>
      <c r="O4039" s="1">
        <v>5.8419999999999996</v>
      </c>
      <c r="P4039" s="1"/>
      <c r="Q4039" s="1">
        <v>0</v>
      </c>
      <c r="R4039" s="1"/>
      <c r="X4039" s="1"/>
      <c r="AB4039" s="1"/>
    </row>
    <row r="4040" spans="1:28" x14ac:dyDescent="0.25">
      <c r="A4040" s="22">
        <v>42391</v>
      </c>
      <c r="B4040" s="2">
        <v>4</v>
      </c>
      <c r="C4040" s="30" t="s">
        <v>9</v>
      </c>
      <c r="D4040" s="2">
        <v>0</v>
      </c>
      <c r="F4040" s="1"/>
      <c r="G4040" s="1">
        <v>1.6</v>
      </c>
      <c r="H4040" s="1">
        <v>2.8</v>
      </c>
      <c r="I4040" s="2">
        <v>1.4</v>
      </c>
      <c r="J4040" s="1">
        <v>0.3</v>
      </c>
      <c r="K4040" s="2">
        <v>0</v>
      </c>
      <c r="L4040" s="1">
        <v>0.7619999999999999</v>
      </c>
      <c r="M4040" s="1"/>
      <c r="O4040" s="1">
        <v>2.794</v>
      </c>
      <c r="P4040" s="1"/>
      <c r="Q4040" s="1">
        <v>0</v>
      </c>
      <c r="R4040" s="1"/>
      <c r="X4040" s="1"/>
      <c r="AB4040" s="2"/>
    </row>
    <row r="4041" spans="1:28" x14ac:dyDescent="0.25">
      <c r="A4041" s="22">
        <v>42392</v>
      </c>
      <c r="B4041" s="2">
        <v>0</v>
      </c>
      <c r="C4041" s="1">
        <v>1.9</v>
      </c>
      <c r="D4041" s="2">
        <v>1.7</v>
      </c>
      <c r="F4041" s="1"/>
      <c r="G4041" s="1">
        <v>0</v>
      </c>
      <c r="H4041" s="1">
        <v>0</v>
      </c>
      <c r="I4041" s="1">
        <v>0</v>
      </c>
      <c r="J4041" s="1">
        <v>0</v>
      </c>
      <c r="K4041" s="1">
        <v>1.7</v>
      </c>
      <c r="L4041" s="1">
        <v>0</v>
      </c>
      <c r="M4041" s="1"/>
      <c r="O4041" s="1">
        <v>0</v>
      </c>
      <c r="P4041" s="1"/>
      <c r="Q4041" s="1">
        <v>0</v>
      </c>
      <c r="R4041" s="1"/>
      <c r="X4041" s="1"/>
      <c r="AB4041" s="1"/>
    </row>
    <row r="4042" spans="1:28" x14ac:dyDescent="0.25">
      <c r="A4042" s="22">
        <v>42393</v>
      </c>
      <c r="B4042" s="2">
        <v>0</v>
      </c>
      <c r="C4042" s="1">
        <v>0.8</v>
      </c>
      <c r="D4042" s="2">
        <v>0</v>
      </c>
      <c r="F4042" s="1"/>
      <c r="G4042" s="1">
        <v>3</v>
      </c>
      <c r="H4042" s="1">
        <v>0</v>
      </c>
      <c r="I4042" s="2">
        <v>0</v>
      </c>
      <c r="J4042" s="1">
        <v>2.1</v>
      </c>
      <c r="K4042" s="1">
        <v>0</v>
      </c>
      <c r="L4042" s="1">
        <v>0</v>
      </c>
      <c r="M4042" s="1"/>
      <c r="O4042" s="1">
        <v>0</v>
      </c>
      <c r="P4042" s="1"/>
      <c r="Q4042" s="1">
        <v>0</v>
      </c>
      <c r="R4042" s="1"/>
      <c r="X4042" s="1"/>
      <c r="AB4042" s="1"/>
    </row>
    <row r="4043" spans="1:28" x14ac:dyDescent="0.25">
      <c r="A4043" s="22">
        <v>42394</v>
      </c>
      <c r="B4043" s="2">
        <v>8.1999999999999993</v>
      </c>
      <c r="C4043" s="1">
        <v>0.6</v>
      </c>
      <c r="D4043" s="2">
        <v>4.7</v>
      </c>
      <c r="F4043" s="1"/>
      <c r="G4043" s="1">
        <v>3.3</v>
      </c>
      <c r="H4043" s="1">
        <v>0</v>
      </c>
      <c r="I4043" s="1">
        <v>0</v>
      </c>
      <c r="J4043" s="2">
        <v>0</v>
      </c>
      <c r="K4043" s="1">
        <v>0.7</v>
      </c>
      <c r="L4043" s="1">
        <v>2.2859999999999996</v>
      </c>
      <c r="M4043" s="1"/>
      <c r="O4043" s="1">
        <v>4.0640000000000001</v>
      </c>
      <c r="P4043" s="1"/>
      <c r="Q4043" s="1">
        <v>0</v>
      </c>
      <c r="R4043" s="1"/>
      <c r="X4043" s="1"/>
      <c r="AB4043" s="1"/>
    </row>
    <row r="4044" spans="1:28" x14ac:dyDescent="0.25">
      <c r="A4044" s="22">
        <v>42395</v>
      </c>
      <c r="B4044" s="2">
        <v>5.4</v>
      </c>
      <c r="C4044" s="1">
        <v>6</v>
      </c>
      <c r="D4044" s="1">
        <v>1</v>
      </c>
      <c r="F4044" s="1"/>
      <c r="G4044" s="1">
        <v>1.2</v>
      </c>
      <c r="H4044" s="1">
        <v>2.1</v>
      </c>
      <c r="I4044" s="1">
        <v>0</v>
      </c>
      <c r="J4044" s="1">
        <v>2.9</v>
      </c>
      <c r="K4044" s="1">
        <v>3.8</v>
      </c>
      <c r="L4044" s="1">
        <v>0</v>
      </c>
      <c r="M4044" s="1"/>
      <c r="O4044" s="1">
        <v>1.27</v>
      </c>
      <c r="P4044" s="1"/>
      <c r="Q4044" s="1">
        <v>0</v>
      </c>
      <c r="R4044" s="1"/>
      <c r="X4044" s="1"/>
      <c r="AB4044" s="1"/>
    </row>
    <row r="4045" spans="1:28" x14ac:dyDescent="0.25">
      <c r="A4045" s="22">
        <v>42396</v>
      </c>
      <c r="B4045" s="2">
        <v>0</v>
      </c>
      <c r="C4045" s="30" t="s">
        <v>9</v>
      </c>
      <c r="D4045" s="1">
        <v>0.6</v>
      </c>
      <c r="F4045" s="1"/>
      <c r="G4045" s="1">
        <v>1.4</v>
      </c>
      <c r="H4045" s="1">
        <v>0</v>
      </c>
      <c r="I4045" s="1">
        <v>0</v>
      </c>
      <c r="J4045" s="2">
        <v>0.7</v>
      </c>
      <c r="K4045" s="2">
        <v>2.2999999999999998</v>
      </c>
      <c r="L4045" s="1">
        <v>1.016</v>
      </c>
      <c r="M4045" s="1"/>
      <c r="O4045" s="1">
        <v>5.08</v>
      </c>
      <c r="P4045" s="1"/>
      <c r="Q4045" s="1">
        <v>0.3</v>
      </c>
      <c r="R4045" s="1"/>
      <c r="X4045" s="1"/>
      <c r="AB4045" s="1"/>
    </row>
    <row r="4046" spans="1:28" x14ac:dyDescent="0.25">
      <c r="A4046" s="22">
        <v>42397</v>
      </c>
      <c r="B4046" s="2">
        <v>5.0999999999999996</v>
      </c>
      <c r="C4046" s="1">
        <v>2.6</v>
      </c>
      <c r="D4046" s="1">
        <v>1.2</v>
      </c>
      <c r="F4046" s="1"/>
      <c r="G4046" s="1">
        <v>2.2000000000000002</v>
      </c>
      <c r="H4046" s="1">
        <v>0</v>
      </c>
      <c r="I4046" s="2">
        <v>0</v>
      </c>
      <c r="J4046" s="1">
        <v>1.9</v>
      </c>
      <c r="K4046" s="2">
        <v>0</v>
      </c>
      <c r="L4046" s="1">
        <v>0</v>
      </c>
      <c r="M4046" s="1"/>
      <c r="O4046" s="1">
        <v>2.032</v>
      </c>
      <c r="P4046" s="1"/>
      <c r="Q4046" s="1">
        <v>0.4</v>
      </c>
      <c r="R4046" s="1"/>
      <c r="X4046" s="1"/>
      <c r="AB4046" s="1"/>
    </row>
    <row r="4047" spans="1:28" x14ac:dyDescent="0.25">
      <c r="A4047" s="22">
        <v>42398</v>
      </c>
      <c r="B4047" s="2">
        <v>3</v>
      </c>
      <c r="C4047" s="30" t="s">
        <v>9</v>
      </c>
      <c r="D4047" s="1">
        <v>7.5</v>
      </c>
      <c r="F4047" s="1"/>
      <c r="G4047" s="1">
        <v>0</v>
      </c>
      <c r="H4047" s="1">
        <v>2</v>
      </c>
      <c r="I4047" s="2">
        <v>3.6</v>
      </c>
      <c r="J4047" s="1">
        <v>1.8</v>
      </c>
      <c r="K4047" s="2">
        <v>0</v>
      </c>
      <c r="L4047" s="1">
        <v>0</v>
      </c>
      <c r="M4047" s="1"/>
      <c r="O4047" s="1">
        <v>5.3339999999999996</v>
      </c>
      <c r="P4047" s="1"/>
      <c r="Q4047" s="1">
        <v>0.5</v>
      </c>
      <c r="R4047" s="1"/>
      <c r="X4047" s="1"/>
      <c r="AB4047" s="1"/>
    </row>
    <row r="4048" spans="1:28" x14ac:dyDescent="0.25">
      <c r="A4048" s="22">
        <v>42399</v>
      </c>
      <c r="B4048" s="2">
        <v>2</v>
      </c>
      <c r="C4048" s="1">
        <v>3.1</v>
      </c>
      <c r="D4048" s="1">
        <v>0.6</v>
      </c>
      <c r="F4048" s="1"/>
      <c r="G4048" s="1">
        <v>1.6</v>
      </c>
      <c r="H4048" s="1">
        <v>0</v>
      </c>
      <c r="I4048" s="2">
        <v>0</v>
      </c>
      <c r="J4048" s="1">
        <v>0.2</v>
      </c>
      <c r="K4048" s="2">
        <v>0</v>
      </c>
      <c r="L4048" s="1">
        <v>1.016</v>
      </c>
      <c r="M4048" s="1"/>
      <c r="O4048" s="1">
        <v>0</v>
      </c>
      <c r="P4048" s="1"/>
      <c r="Q4048" s="1">
        <v>0.5</v>
      </c>
      <c r="R4048" s="1"/>
      <c r="X4048" s="1"/>
      <c r="AB4048" s="1"/>
    </row>
    <row r="4049" spans="1:28" x14ac:dyDescent="0.25">
      <c r="A4049" s="22">
        <v>42400</v>
      </c>
      <c r="B4049" s="2">
        <v>0</v>
      </c>
      <c r="C4049" s="30" t="s">
        <v>9</v>
      </c>
      <c r="D4049" s="1">
        <v>0.4</v>
      </c>
      <c r="F4049" s="1"/>
      <c r="G4049" s="1">
        <v>3</v>
      </c>
      <c r="H4049" s="1">
        <v>1.9</v>
      </c>
      <c r="I4049" s="2">
        <v>0</v>
      </c>
      <c r="J4049" s="1">
        <v>2.1</v>
      </c>
      <c r="K4049" s="1">
        <v>0</v>
      </c>
      <c r="L4049" s="1">
        <v>0</v>
      </c>
      <c r="M4049" s="1"/>
      <c r="O4049" s="1">
        <v>3.556</v>
      </c>
      <c r="P4049" s="1"/>
      <c r="Q4049" s="1">
        <v>0</v>
      </c>
      <c r="R4049" s="1"/>
      <c r="X4049" s="1"/>
      <c r="AB4049" s="1"/>
    </row>
    <row r="4050" spans="1:28" x14ac:dyDescent="0.25">
      <c r="A4050" s="22">
        <v>42401</v>
      </c>
      <c r="B4050" s="2">
        <v>0</v>
      </c>
      <c r="C4050" s="1">
        <v>7.1</v>
      </c>
      <c r="D4050" s="1">
        <v>3.1</v>
      </c>
      <c r="F4050" s="1"/>
      <c r="G4050" s="1">
        <v>0</v>
      </c>
      <c r="H4050" s="1">
        <v>0</v>
      </c>
      <c r="I4050" s="2">
        <v>2.5</v>
      </c>
      <c r="J4050" s="1">
        <v>14.6</v>
      </c>
      <c r="K4050" s="1">
        <v>27.3</v>
      </c>
      <c r="L4050" s="1">
        <v>2.2859999999999996</v>
      </c>
      <c r="M4050" s="1"/>
      <c r="O4050" s="1">
        <v>2.794</v>
      </c>
      <c r="P4050" s="1">
        <v>4.8</v>
      </c>
      <c r="Q4050" s="1">
        <v>0</v>
      </c>
      <c r="R4050" s="1"/>
      <c r="X4050" s="1"/>
      <c r="AB4050" s="1">
        <v>0.4</v>
      </c>
    </row>
    <row r="4051" spans="1:28" x14ac:dyDescent="0.25">
      <c r="A4051" s="22">
        <v>42402</v>
      </c>
      <c r="B4051" s="2">
        <v>0</v>
      </c>
      <c r="C4051" s="1">
        <v>0</v>
      </c>
      <c r="D4051" s="1">
        <v>0</v>
      </c>
      <c r="F4051" s="1"/>
      <c r="G4051" s="1">
        <v>0</v>
      </c>
      <c r="H4051" s="1">
        <v>0</v>
      </c>
      <c r="I4051" s="2">
        <v>0</v>
      </c>
      <c r="J4051" s="30" t="s">
        <v>9</v>
      </c>
      <c r="K4051" s="1">
        <v>0</v>
      </c>
      <c r="L4051" s="1">
        <v>0.50800000000000001</v>
      </c>
      <c r="M4051" s="1"/>
      <c r="O4051" s="1">
        <v>0.7619999999999999</v>
      </c>
      <c r="P4051" s="1">
        <v>0</v>
      </c>
      <c r="Q4051" s="1">
        <v>0</v>
      </c>
      <c r="R4051" s="1"/>
      <c r="X4051" s="1"/>
      <c r="AB4051" s="1">
        <v>0.4</v>
      </c>
    </row>
    <row r="4052" spans="1:28" x14ac:dyDescent="0.25">
      <c r="A4052" s="22">
        <v>42403</v>
      </c>
      <c r="B4052" s="2">
        <v>0</v>
      </c>
      <c r="C4052" s="1">
        <v>0</v>
      </c>
      <c r="D4052" s="1">
        <v>0</v>
      </c>
      <c r="F4052" s="1"/>
      <c r="G4052" s="1">
        <v>0</v>
      </c>
      <c r="H4052" s="1">
        <v>0</v>
      </c>
      <c r="I4052" s="2">
        <v>0</v>
      </c>
      <c r="J4052" s="30" t="s">
        <v>9</v>
      </c>
      <c r="K4052" s="1">
        <v>0</v>
      </c>
      <c r="L4052" s="1">
        <v>0</v>
      </c>
      <c r="M4052" s="1"/>
      <c r="O4052" s="1">
        <v>0</v>
      </c>
      <c r="P4052" s="1">
        <v>0</v>
      </c>
      <c r="Q4052" s="1">
        <v>0</v>
      </c>
      <c r="R4052" s="1"/>
      <c r="X4052" s="1"/>
      <c r="AB4052" s="1">
        <v>0</v>
      </c>
    </row>
    <row r="4053" spans="1:28" x14ac:dyDescent="0.25">
      <c r="A4053" s="22">
        <v>42404</v>
      </c>
      <c r="B4053" s="2">
        <v>0</v>
      </c>
      <c r="C4053" s="1">
        <v>0</v>
      </c>
      <c r="D4053" s="1">
        <v>0</v>
      </c>
      <c r="F4053" s="1"/>
      <c r="G4053" s="1">
        <v>0</v>
      </c>
      <c r="H4053" s="1">
        <v>0</v>
      </c>
      <c r="I4053" s="2">
        <v>0</v>
      </c>
      <c r="J4053" s="30" t="s">
        <v>9</v>
      </c>
      <c r="K4053" s="1">
        <v>0</v>
      </c>
      <c r="L4053" s="1">
        <v>0</v>
      </c>
      <c r="M4053" s="1"/>
      <c r="O4053" s="1">
        <v>0</v>
      </c>
      <c r="P4053" s="1">
        <v>0</v>
      </c>
      <c r="Q4053" s="1">
        <v>0</v>
      </c>
      <c r="R4053" s="1"/>
      <c r="X4053" s="1"/>
      <c r="AB4053" s="1">
        <v>0</v>
      </c>
    </row>
    <row r="4054" spans="1:28" x14ac:dyDescent="0.25">
      <c r="A4054" s="22">
        <v>42405</v>
      </c>
      <c r="B4054" s="2">
        <v>0</v>
      </c>
      <c r="C4054" s="1">
        <v>0</v>
      </c>
      <c r="D4054" s="2">
        <v>0</v>
      </c>
      <c r="F4054" s="1"/>
      <c r="G4054" s="1">
        <v>8.1999999999999993</v>
      </c>
      <c r="H4054" s="1">
        <v>0</v>
      </c>
      <c r="I4054" s="2">
        <v>0</v>
      </c>
      <c r="J4054" s="2">
        <v>0</v>
      </c>
      <c r="K4054" s="2">
        <v>0</v>
      </c>
      <c r="L4054" s="1">
        <v>0</v>
      </c>
      <c r="M4054" s="1"/>
      <c r="O4054" s="1">
        <v>0</v>
      </c>
      <c r="P4054" s="1">
        <v>0.6</v>
      </c>
      <c r="Q4054" s="1">
        <v>23.9</v>
      </c>
      <c r="R4054" s="1"/>
      <c r="X4054" s="1"/>
      <c r="AB4054" s="1">
        <v>0</v>
      </c>
    </row>
    <row r="4055" spans="1:28" x14ac:dyDescent="0.25">
      <c r="A4055" s="22">
        <v>42406</v>
      </c>
      <c r="B4055" s="2">
        <v>0</v>
      </c>
      <c r="C4055" s="1">
        <v>1.5</v>
      </c>
      <c r="D4055" s="2">
        <v>0</v>
      </c>
      <c r="F4055" s="1"/>
      <c r="G4055" s="1">
        <v>0</v>
      </c>
      <c r="H4055" s="1">
        <v>15.6</v>
      </c>
      <c r="I4055" s="2">
        <v>0</v>
      </c>
      <c r="J4055" s="2">
        <v>2.8</v>
      </c>
      <c r="K4055" s="2">
        <v>0</v>
      </c>
      <c r="L4055" s="1">
        <v>16.001999999999999</v>
      </c>
      <c r="M4055" s="1"/>
      <c r="O4055" s="1">
        <v>0</v>
      </c>
      <c r="P4055" s="1">
        <v>14.4</v>
      </c>
      <c r="Q4055" s="1">
        <v>0.2</v>
      </c>
      <c r="R4055" s="1"/>
      <c r="X4055" s="1"/>
      <c r="AB4055" s="1">
        <v>17.8</v>
      </c>
    </row>
    <row r="4056" spans="1:28" x14ac:dyDescent="0.25">
      <c r="A4056" s="22">
        <v>42407</v>
      </c>
      <c r="B4056" s="2">
        <v>4.2</v>
      </c>
      <c r="C4056" s="1">
        <v>0</v>
      </c>
      <c r="D4056" s="2">
        <v>0</v>
      </c>
      <c r="F4056" s="1"/>
      <c r="G4056" s="1">
        <v>0.9</v>
      </c>
      <c r="H4056" s="1">
        <v>0</v>
      </c>
      <c r="I4056" s="1">
        <v>0</v>
      </c>
      <c r="J4056" s="2">
        <v>1</v>
      </c>
      <c r="K4056" s="2">
        <v>0</v>
      </c>
      <c r="L4056" s="1">
        <v>1.778</v>
      </c>
      <c r="M4056" s="1"/>
      <c r="O4056" s="1">
        <v>2.794</v>
      </c>
      <c r="P4056" s="1">
        <v>2.5</v>
      </c>
      <c r="Q4056" s="1">
        <v>0</v>
      </c>
      <c r="R4056" s="1"/>
      <c r="X4056" s="1"/>
      <c r="AB4056" s="1">
        <v>0.2</v>
      </c>
    </row>
    <row r="4057" spans="1:28" x14ac:dyDescent="0.25">
      <c r="A4057" s="22">
        <v>42408</v>
      </c>
      <c r="B4057" s="2">
        <v>0</v>
      </c>
      <c r="C4057" s="1">
        <v>0</v>
      </c>
      <c r="D4057" s="1">
        <v>0</v>
      </c>
      <c r="F4057" s="1"/>
      <c r="G4057" s="1">
        <v>0</v>
      </c>
      <c r="H4057" s="1">
        <v>1</v>
      </c>
      <c r="I4057" s="2">
        <v>0</v>
      </c>
      <c r="J4057" s="2">
        <v>1.5</v>
      </c>
      <c r="K4057" s="1">
        <v>0</v>
      </c>
      <c r="L4057" s="1">
        <v>0</v>
      </c>
      <c r="M4057" s="1"/>
      <c r="O4057" s="1">
        <v>0</v>
      </c>
      <c r="P4057" s="1">
        <v>0</v>
      </c>
      <c r="Q4057" s="1">
        <v>0.4</v>
      </c>
      <c r="R4057" s="1"/>
      <c r="X4057" s="1"/>
      <c r="AB4057" s="1">
        <v>0</v>
      </c>
    </row>
    <row r="4058" spans="1:28" x14ac:dyDescent="0.25">
      <c r="A4058" s="22">
        <v>42409</v>
      </c>
      <c r="B4058" s="2">
        <v>7.5</v>
      </c>
      <c r="C4058" s="1">
        <v>0</v>
      </c>
      <c r="D4058" s="1">
        <v>1.2</v>
      </c>
      <c r="F4058" s="1"/>
      <c r="G4058" s="1">
        <v>0</v>
      </c>
      <c r="H4058" s="1">
        <v>0</v>
      </c>
      <c r="I4058" s="2">
        <v>0</v>
      </c>
      <c r="J4058" s="30" t="s">
        <v>9</v>
      </c>
      <c r="K4058" s="1">
        <v>0</v>
      </c>
      <c r="L4058" s="1">
        <v>0</v>
      </c>
      <c r="M4058" s="1"/>
      <c r="O4058" s="1">
        <v>0</v>
      </c>
      <c r="P4058" s="1">
        <v>0</v>
      </c>
      <c r="Q4058" s="1">
        <v>0</v>
      </c>
      <c r="R4058" s="1"/>
      <c r="X4058" s="1"/>
      <c r="AB4058" s="1">
        <v>0.8</v>
      </c>
    </row>
    <row r="4059" spans="1:28" x14ac:dyDescent="0.25">
      <c r="A4059" s="22">
        <v>42410</v>
      </c>
      <c r="B4059" s="2">
        <v>4.5</v>
      </c>
      <c r="C4059" s="1">
        <v>0</v>
      </c>
      <c r="D4059" s="1">
        <v>0</v>
      </c>
      <c r="F4059" s="1"/>
      <c r="G4059" s="1">
        <v>0</v>
      </c>
      <c r="H4059" s="1">
        <v>0</v>
      </c>
      <c r="I4059" s="2">
        <v>3.6</v>
      </c>
      <c r="J4059" s="2">
        <v>1.1000000000000001</v>
      </c>
      <c r="K4059" s="1">
        <v>0</v>
      </c>
      <c r="L4059" s="1">
        <v>0</v>
      </c>
      <c r="M4059" s="1"/>
      <c r="O4059" s="1">
        <v>0</v>
      </c>
      <c r="P4059" s="1">
        <v>0</v>
      </c>
      <c r="Q4059" s="1">
        <v>4.3</v>
      </c>
      <c r="R4059" s="1"/>
      <c r="X4059" s="1"/>
      <c r="AB4059" s="1">
        <v>0</v>
      </c>
    </row>
    <row r="4060" spans="1:28" x14ac:dyDescent="0.25">
      <c r="A4060" s="22">
        <v>42411</v>
      </c>
      <c r="B4060" s="2">
        <v>2</v>
      </c>
      <c r="C4060" s="1">
        <v>0</v>
      </c>
      <c r="D4060" s="1">
        <v>0</v>
      </c>
      <c r="F4060" s="1"/>
      <c r="G4060" s="1">
        <v>0</v>
      </c>
      <c r="H4060" s="1">
        <v>0</v>
      </c>
      <c r="I4060" s="2">
        <v>0</v>
      </c>
      <c r="J4060" s="2">
        <v>0.4</v>
      </c>
      <c r="K4060" s="1">
        <v>0</v>
      </c>
      <c r="L4060" s="1">
        <v>0</v>
      </c>
      <c r="M4060" s="1"/>
      <c r="O4060" s="1">
        <v>0</v>
      </c>
      <c r="P4060" s="1">
        <v>0</v>
      </c>
      <c r="Q4060" s="1">
        <v>0</v>
      </c>
      <c r="R4060" s="1"/>
      <c r="X4060" s="1"/>
      <c r="AB4060" s="1">
        <v>0.2</v>
      </c>
    </row>
    <row r="4061" spans="1:28" x14ac:dyDescent="0.25">
      <c r="A4061" s="22">
        <v>42412</v>
      </c>
      <c r="B4061" s="2">
        <v>1.3</v>
      </c>
      <c r="C4061" s="1">
        <v>3</v>
      </c>
      <c r="D4061" s="1">
        <v>0</v>
      </c>
      <c r="F4061" s="1"/>
      <c r="G4061" s="1">
        <v>0</v>
      </c>
      <c r="H4061" s="1">
        <v>0</v>
      </c>
      <c r="I4061" s="2">
        <v>0</v>
      </c>
      <c r="J4061" s="30" t="s">
        <v>9</v>
      </c>
      <c r="K4061" s="1">
        <v>0</v>
      </c>
      <c r="L4061" s="1">
        <v>2.2859999999999996</v>
      </c>
      <c r="M4061" s="1"/>
      <c r="O4061" s="1">
        <v>0</v>
      </c>
      <c r="P4061" s="1">
        <v>1.7</v>
      </c>
      <c r="Q4061" s="1">
        <v>0</v>
      </c>
      <c r="R4061" s="1"/>
      <c r="X4061" s="1"/>
      <c r="AB4061" s="1">
        <v>4.5999999999999996</v>
      </c>
    </row>
    <row r="4062" spans="1:28" x14ac:dyDescent="0.25">
      <c r="A4062" s="22">
        <v>42413</v>
      </c>
      <c r="B4062" s="2">
        <v>0</v>
      </c>
      <c r="C4062" s="1">
        <v>0</v>
      </c>
      <c r="D4062" s="1">
        <v>0</v>
      </c>
      <c r="F4062" s="1"/>
      <c r="G4062" s="2">
        <v>0</v>
      </c>
      <c r="H4062" s="1">
        <v>0</v>
      </c>
      <c r="I4062" s="2">
        <v>0</v>
      </c>
      <c r="J4062" s="30" t="s">
        <v>9</v>
      </c>
      <c r="K4062" s="1">
        <v>4.3</v>
      </c>
      <c r="L4062" s="1">
        <v>0</v>
      </c>
      <c r="M4062" s="1"/>
      <c r="O4062" s="1">
        <v>0</v>
      </c>
      <c r="P4062" s="1">
        <v>0</v>
      </c>
      <c r="Q4062" s="1">
        <v>0</v>
      </c>
      <c r="R4062" s="1"/>
      <c r="X4062" s="1"/>
      <c r="AB4062" s="1">
        <v>0</v>
      </c>
    </row>
    <row r="4063" spans="1:28" x14ac:dyDescent="0.25">
      <c r="A4063" s="22">
        <v>42414</v>
      </c>
      <c r="B4063" s="2">
        <v>0</v>
      </c>
      <c r="C4063" s="1">
        <v>0</v>
      </c>
      <c r="D4063" s="1">
        <v>0</v>
      </c>
      <c r="F4063" s="1"/>
      <c r="G4063" s="2">
        <v>0</v>
      </c>
      <c r="H4063" s="1">
        <v>0</v>
      </c>
      <c r="I4063" s="2">
        <v>0</v>
      </c>
      <c r="J4063" s="1">
        <v>0</v>
      </c>
      <c r="K4063" s="1">
        <v>0</v>
      </c>
      <c r="L4063" s="1">
        <v>0</v>
      </c>
      <c r="M4063" s="1"/>
      <c r="O4063" s="1">
        <v>0</v>
      </c>
      <c r="P4063" s="1">
        <v>0</v>
      </c>
      <c r="Q4063" s="1">
        <v>0</v>
      </c>
      <c r="R4063" s="1"/>
      <c r="X4063" s="1"/>
      <c r="AB4063" s="1">
        <v>1.4</v>
      </c>
    </row>
    <row r="4064" spans="1:28" x14ac:dyDescent="0.25">
      <c r="A4064" s="22">
        <v>42415</v>
      </c>
      <c r="B4064" s="2">
        <v>0</v>
      </c>
      <c r="C4064" s="1">
        <v>0</v>
      </c>
      <c r="D4064" s="1">
        <v>0</v>
      </c>
      <c r="F4064" s="1"/>
      <c r="G4064" s="2">
        <v>0</v>
      </c>
      <c r="H4064" s="1">
        <v>0</v>
      </c>
      <c r="I4064" s="2">
        <v>0</v>
      </c>
      <c r="J4064" s="2">
        <v>0</v>
      </c>
      <c r="K4064" s="1">
        <v>0</v>
      </c>
      <c r="L4064" s="1">
        <v>0</v>
      </c>
      <c r="M4064" s="1"/>
      <c r="O4064" s="1">
        <v>0</v>
      </c>
      <c r="P4064" s="1">
        <v>0</v>
      </c>
      <c r="Q4064" s="1">
        <v>0</v>
      </c>
      <c r="R4064" s="1"/>
      <c r="X4064" s="1"/>
      <c r="AB4064" s="1">
        <v>0</v>
      </c>
    </row>
    <row r="4065" spans="1:28" x14ac:dyDescent="0.25">
      <c r="A4065" s="22">
        <v>42416</v>
      </c>
      <c r="B4065" s="2">
        <v>0</v>
      </c>
      <c r="C4065" s="1">
        <v>0</v>
      </c>
      <c r="D4065" s="1">
        <v>0</v>
      </c>
      <c r="F4065" s="1"/>
      <c r="G4065" s="2">
        <v>0</v>
      </c>
      <c r="H4065" s="1">
        <v>0</v>
      </c>
      <c r="I4065" s="1">
        <v>0</v>
      </c>
      <c r="J4065" s="2">
        <v>0</v>
      </c>
      <c r="K4065" s="1">
        <v>0</v>
      </c>
      <c r="L4065" s="1">
        <v>7.8739999999999997</v>
      </c>
      <c r="M4065" s="1"/>
      <c r="O4065" s="1">
        <v>0</v>
      </c>
      <c r="P4065" s="1">
        <v>0</v>
      </c>
      <c r="Q4065" s="1">
        <v>0.3</v>
      </c>
      <c r="R4065" s="1"/>
      <c r="X4065" s="1"/>
      <c r="AB4065" s="1">
        <v>0</v>
      </c>
    </row>
    <row r="4066" spans="1:28" x14ac:dyDescent="0.25">
      <c r="A4066" s="22">
        <v>42417</v>
      </c>
      <c r="B4066" s="2">
        <v>0</v>
      </c>
      <c r="C4066" s="1">
        <v>0</v>
      </c>
      <c r="D4066" s="1">
        <v>0</v>
      </c>
      <c r="F4066" s="1"/>
      <c r="G4066" s="1">
        <v>4.2</v>
      </c>
      <c r="H4066" s="1">
        <v>1.2</v>
      </c>
      <c r="I4066" s="2">
        <v>0</v>
      </c>
      <c r="J4066" s="2">
        <v>7.0000000000000007E-2</v>
      </c>
      <c r="K4066" s="1">
        <v>0.5</v>
      </c>
      <c r="L4066" s="1">
        <v>3.302</v>
      </c>
      <c r="M4066" s="1"/>
      <c r="O4066" s="1">
        <v>0</v>
      </c>
      <c r="P4066" s="1">
        <v>1.8</v>
      </c>
      <c r="Q4066" s="1">
        <v>4.8</v>
      </c>
      <c r="R4066" s="1"/>
      <c r="X4066" s="1"/>
      <c r="AB4066" s="1">
        <v>8</v>
      </c>
    </row>
    <row r="4067" spans="1:28" x14ac:dyDescent="0.25">
      <c r="A4067" s="22">
        <v>42418</v>
      </c>
      <c r="B4067" s="2">
        <v>0</v>
      </c>
      <c r="C4067" s="1">
        <v>1.9</v>
      </c>
      <c r="D4067" s="2">
        <v>0.5</v>
      </c>
      <c r="F4067" s="1"/>
      <c r="G4067" s="1">
        <v>0</v>
      </c>
      <c r="H4067" s="1">
        <v>1</v>
      </c>
      <c r="I4067" s="2">
        <v>4.7</v>
      </c>
      <c r="J4067" s="1">
        <v>2.7</v>
      </c>
      <c r="K4067" s="2">
        <v>3.8</v>
      </c>
      <c r="L4067" s="1">
        <v>0</v>
      </c>
      <c r="M4067" s="1"/>
      <c r="O4067" s="1">
        <v>0</v>
      </c>
      <c r="P4067" s="1">
        <v>0</v>
      </c>
      <c r="Q4067" s="1">
        <v>0</v>
      </c>
      <c r="R4067" s="1"/>
      <c r="X4067" s="1"/>
      <c r="AB4067" s="1">
        <v>7.8</v>
      </c>
    </row>
    <row r="4068" spans="1:28" x14ac:dyDescent="0.25">
      <c r="A4068" s="22">
        <v>42419</v>
      </c>
      <c r="B4068" s="2">
        <v>0</v>
      </c>
      <c r="C4068" s="1">
        <v>1</v>
      </c>
      <c r="D4068" s="1">
        <v>0</v>
      </c>
      <c r="F4068" s="1"/>
      <c r="G4068" s="1">
        <v>0</v>
      </c>
      <c r="H4068" s="1">
        <v>0</v>
      </c>
      <c r="I4068" s="2">
        <v>0</v>
      </c>
      <c r="J4068" s="1">
        <v>1.8</v>
      </c>
      <c r="K4068" s="1">
        <v>2.6</v>
      </c>
      <c r="L4068" s="1">
        <v>0</v>
      </c>
      <c r="M4068" s="1"/>
      <c r="O4068" s="1">
        <v>0</v>
      </c>
      <c r="P4068" s="1">
        <v>0</v>
      </c>
      <c r="Q4068" s="1">
        <v>0</v>
      </c>
      <c r="R4068" s="1"/>
      <c r="X4068" s="1"/>
      <c r="AB4068" s="1">
        <v>1.2</v>
      </c>
    </row>
    <row r="4069" spans="1:28" x14ac:dyDescent="0.25">
      <c r="A4069" s="22">
        <v>42420</v>
      </c>
      <c r="B4069" s="2">
        <v>3.1</v>
      </c>
      <c r="C4069" s="1">
        <v>0</v>
      </c>
      <c r="D4069" s="1">
        <v>0</v>
      </c>
      <c r="F4069" s="1"/>
      <c r="G4069" s="1">
        <v>0</v>
      </c>
      <c r="H4069" s="1">
        <v>0</v>
      </c>
      <c r="I4069" s="2">
        <v>0</v>
      </c>
      <c r="J4069" s="2">
        <v>0.2</v>
      </c>
      <c r="K4069" s="1">
        <v>0</v>
      </c>
      <c r="L4069" s="1">
        <v>0</v>
      </c>
      <c r="M4069" s="1"/>
      <c r="O4069" s="1">
        <v>14.224</v>
      </c>
      <c r="P4069" s="1">
        <v>0</v>
      </c>
      <c r="Q4069" s="1">
        <v>1.7</v>
      </c>
      <c r="R4069" s="1"/>
      <c r="X4069" s="1"/>
      <c r="AB4069" s="1">
        <v>0</v>
      </c>
    </row>
    <row r="4070" spans="1:28" x14ac:dyDescent="0.25">
      <c r="A4070" s="22">
        <v>42421</v>
      </c>
      <c r="B4070" s="2">
        <v>0</v>
      </c>
      <c r="C4070" s="1">
        <v>0</v>
      </c>
      <c r="D4070" s="1">
        <v>0</v>
      </c>
      <c r="F4070" s="1"/>
      <c r="G4070" s="1">
        <v>0</v>
      </c>
      <c r="H4070" s="1">
        <v>0</v>
      </c>
      <c r="I4070" s="2">
        <v>2.2000000000000002</v>
      </c>
      <c r="J4070" s="1">
        <v>0.3</v>
      </c>
      <c r="K4070" s="1">
        <v>0</v>
      </c>
      <c r="L4070" s="1">
        <v>0</v>
      </c>
      <c r="M4070" s="1"/>
      <c r="O4070" s="1">
        <v>0</v>
      </c>
      <c r="P4070" s="1">
        <v>0</v>
      </c>
      <c r="Q4070" s="1">
        <v>2.1</v>
      </c>
      <c r="R4070" s="1"/>
      <c r="X4070" s="1"/>
      <c r="AB4070" s="1">
        <v>0.2</v>
      </c>
    </row>
    <row r="4071" spans="1:28" x14ac:dyDescent="0.25">
      <c r="A4071" s="22">
        <v>42422</v>
      </c>
      <c r="B4071" s="2">
        <v>0</v>
      </c>
      <c r="C4071" s="1">
        <v>0</v>
      </c>
      <c r="D4071" s="2">
        <v>0</v>
      </c>
      <c r="F4071" s="1"/>
      <c r="G4071" s="1">
        <v>0</v>
      </c>
      <c r="H4071" s="1">
        <v>0</v>
      </c>
      <c r="I4071" s="2">
        <v>0</v>
      </c>
      <c r="J4071" s="1">
        <v>1.2</v>
      </c>
      <c r="K4071" s="2">
        <v>0</v>
      </c>
      <c r="L4071" s="1">
        <v>2.794</v>
      </c>
      <c r="M4071" s="1"/>
      <c r="O4071" s="1">
        <v>0</v>
      </c>
      <c r="P4071" s="1">
        <v>0.6</v>
      </c>
      <c r="Q4071" s="1">
        <v>3.3</v>
      </c>
      <c r="R4071" s="1"/>
      <c r="X4071" s="1"/>
      <c r="AB4071" s="1">
        <v>3.2</v>
      </c>
    </row>
    <row r="4072" spans="1:28" x14ac:dyDescent="0.25">
      <c r="A4072" s="22">
        <v>42423</v>
      </c>
      <c r="B4072" s="2">
        <v>7.2</v>
      </c>
      <c r="C4072" s="1">
        <v>0</v>
      </c>
      <c r="D4072" s="2">
        <v>0</v>
      </c>
      <c r="F4072" s="1"/>
      <c r="G4072" s="1">
        <v>0</v>
      </c>
      <c r="H4072" s="1">
        <v>0</v>
      </c>
      <c r="I4072" s="1">
        <v>0</v>
      </c>
      <c r="J4072" s="30" t="s">
        <v>9</v>
      </c>
      <c r="K4072" s="2">
        <v>0</v>
      </c>
      <c r="L4072" s="1">
        <v>1.016</v>
      </c>
      <c r="M4072" s="1"/>
      <c r="O4072" s="1">
        <v>2.2859999999999996</v>
      </c>
      <c r="P4072" s="1">
        <v>0</v>
      </c>
      <c r="Q4072" s="1">
        <v>0</v>
      </c>
      <c r="R4072" s="1"/>
      <c r="X4072" s="1"/>
      <c r="AB4072" s="1">
        <v>3.4</v>
      </c>
    </row>
    <row r="4073" spans="1:28" x14ac:dyDescent="0.25">
      <c r="A4073" s="22">
        <v>42424</v>
      </c>
      <c r="B4073" s="2">
        <v>0</v>
      </c>
      <c r="C4073" s="1">
        <v>0</v>
      </c>
      <c r="D4073" s="2">
        <v>0</v>
      </c>
      <c r="F4073" s="1"/>
      <c r="G4073" s="1">
        <v>0</v>
      </c>
      <c r="H4073" s="1">
        <v>0</v>
      </c>
      <c r="I4073" s="2">
        <v>1.3</v>
      </c>
      <c r="J4073" s="30" t="s">
        <v>9</v>
      </c>
      <c r="K4073" s="2">
        <v>0</v>
      </c>
      <c r="L4073" s="1">
        <v>0</v>
      </c>
      <c r="M4073" s="1"/>
      <c r="O4073" s="1">
        <v>0.50800000000000001</v>
      </c>
      <c r="P4073" s="1">
        <v>0</v>
      </c>
      <c r="Q4073" s="1">
        <v>0</v>
      </c>
      <c r="R4073" s="1"/>
      <c r="X4073" s="1"/>
      <c r="AB4073" s="1">
        <v>0.2</v>
      </c>
    </row>
    <row r="4074" spans="1:28" x14ac:dyDescent="0.25">
      <c r="A4074" s="22">
        <v>42425</v>
      </c>
      <c r="B4074" s="2">
        <v>6.7</v>
      </c>
      <c r="C4074" s="1">
        <v>0</v>
      </c>
      <c r="D4074" s="2">
        <v>0</v>
      </c>
      <c r="F4074" s="1"/>
      <c r="G4074" s="1">
        <v>4.2</v>
      </c>
      <c r="H4074" s="1">
        <v>0</v>
      </c>
      <c r="I4074" s="1">
        <v>0</v>
      </c>
      <c r="J4074" s="30" t="s">
        <v>9</v>
      </c>
      <c r="K4074" s="2">
        <v>0</v>
      </c>
      <c r="L4074" s="1">
        <v>0</v>
      </c>
      <c r="M4074" s="1"/>
      <c r="O4074" s="1">
        <v>0</v>
      </c>
      <c r="P4074" s="1">
        <v>0</v>
      </c>
      <c r="Q4074" s="1">
        <v>1.9</v>
      </c>
      <c r="R4074" s="1"/>
      <c r="X4074" s="1"/>
      <c r="AB4074" s="1">
        <v>0</v>
      </c>
    </row>
    <row r="4075" spans="1:28" x14ac:dyDescent="0.25">
      <c r="A4075" s="22">
        <v>42426</v>
      </c>
      <c r="B4075" s="2">
        <v>0</v>
      </c>
      <c r="C4075" s="1">
        <v>1.8</v>
      </c>
      <c r="D4075" s="1">
        <v>4</v>
      </c>
      <c r="F4075" s="1"/>
      <c r="G4075" s="1">
        <v>0</v>
      </c>
      <c r="H4075" s="1">
        <v>0</v>
      </c>
      <c r="I4075" s="1">
        <v>1.3</v>
      </c>
      <c r="J4075" s="1">
        <v>9.8000000000000007</v>
      </c>
      <c r="K4075" s="1">
        <v>9.5</v>
      </c>
      <c r="L4075" s="1">
        <v>4.5719999999999992</v>
      </c>
      <c r="M4075" s="1"/>
      <c r="O4075" s="1">
        <v>1.778</v>
      </c>
      <c r="P4075" s="1">
        <v>2.1</v>
      </c>
      <c r="Q4075" s="1">
        <v>0</v>
      </c>
      <c r="R4075" s="1"/>
      <c r="X4075" s="1"/>
      <c r="AB4075" s="1">
        <v>4.5999999999999996</v>
      </c>
    </row>
    <row r="4076" spans="1:28" x14ac:dyDescent="0.25">
      <c r="A4076" s="22">
        <v>42427</v>
      </c>
      <c r="B4076" s="2">
        <v>5.3</v>
      </c>
      <c r="C4076" s="1">
        <v>0</v>
      </c>
      <c r="D4076" s="1">
        <v>0</v>
      </c>
      <c r="F4076" s="1"/>
      <c r="G4076" s="1">
        <v>17.5</v>
      </c>
      <c r="H4076" s="1">
        <v>0</v>
      </c>
      <c r="I4076" s="1">
        <v>0.7</v>
      </c>
      <c r="J4076" s="30" t="s">
        <v>9</v>
      </c>
      <c r="K4076" s="1">
        <v>0</v>
      </c>
      <c r="L4076" s="1">
        <v>0</v>
      </c>
      <c r="M4076" s="1"/>
      <c r="O4076" s="1">
        <v>0</v>
      </c>
      <c r="P4076" s="1">
        <v>4.0999999999999996</v>
      </c>
      <c r="Q4076" s="1">
        <v>0</v>
      </c>
      <c r="R4076" s="1"/>
      <c r="X4076" s="1"/>
      <c r="AB4076" s="1">
        <v>0.4</v>
      </c>
    </row>
    <row r="4077" spans="1:28" x14ac:dyDescent="0.25">
      <c r="A4077" s="22">
        <v>42428</v>
      </c>
      <c r="B4077" s="2">
        <v>2.5</v>
      </c>
      <c r="C4077" s="1">
        <v>4.4000000000000004</v>
      </c>
      <c r="D4077" s="1">
        <v>7</v>
      </c>
      <c r="F4077" s="1"/>
      <c r="G4077" s="1">
        <v>0</v>
      </c>
      <c r="H4077" s="1">
        <v>14.4</v>
      </c>
      <c r="I4077" s="2">
        <v>11</v>
      </c>
      <c r="J4077" s="1">
        <v>17.3</v>
      </c>
      <c r="K4077" s="1">
        <v>0</v>
      </c>
      <c r="L4077" s="1">
        <v>0</v>
      </c>
      <c r="M4077" s="1"/>
      <c r="O4077" s="1">
        <v>3.556</v>
      </c>
      <c r="P4077" s="1">
        <v>1.9</v>
      </c>
      <c r="Q4077" s="1">
        <v>0</v>
      </c>
      <c r="R4077" s="1"/>
      <c r="X4077" s="1"/>
      <c r="AB4077" s="1">
        <v>0.2</v>
      </c>
    </row>
    <row r="4078" spans="1:28" x14ac:dyDescent="0.25">
      <c r="A4078" s="22">
        <v>42429</v>
      </c>
      <c r="B4078" s="2">
        <v>0</v>
      </c>
      <c r="C4078" s="1">
        <v>0</v>
      </c>
      <c r="D4078" s="1">
        <v>0</v>
      </c>
      <c r="F4078" s="1"/>
      <c r="G4078" s="1">
        <v>0</v>
      </c>
      <c r="H4078" s="1">
        <v>0</v>
      </c>
      <c r="I4078" s="2">
        <v>0</v>
      </c>
      <c r="J4078" s="1">
        <v>0.2</v>
      </c>
      <c r="K4078" s="1">
        <v>0</v>
      </c>
      <c r="L4078" s="1">
        <v>0</v>
      </c>
      <c r="M4078" s="1"/>
      <c r="O4078" s="1">
        <v>0</v>
      </c>
      <c r="P4078" s="1">
        <v>0</v>
      </c>
      <c r="Q4078" s="1">
        <v>0.2</v>
      </c>
      <c r="R4078" s="1"/>
      <c r="X4078" s="1"/>
      <c r="AB4078" s="1">
        <v>0.2</v>
      </c>
    </row>
    <row r="4079" spans="1:28" x14ac:dyDescent="0.25">
      <c r="A4079" s="22">
        <v>42430</v>
      </c>
      <c r="B4079" s="2">
        <v>0</v>
      </c>
      <c r="C4079" s="1">
        <v>0</v>
      </c>
      <c r="D4079" s="1">
        <v>0</v>
      </c>
      <c r="F4079" s="1"/>
      <c r="G4079" s="1">
        <v>0</v>
      </c>
      <c r="H4079" s="1">
        <v>0</v>
      </c>
      <c r="I4079" s="2">
        <v>0</v>
      </c>
      <c r="J4079" s="1">
        <v>0</v>
      </c>
      <c r="K4079" s="2">
        <v>0</v>
      </c>
      <c r="L4079" s="1">
        <v>0</v>
      </c>
      <c r="M4079" s="1">
        <v>0.2</v>
      </c>
      <c r="O4079" s="1">
        <v>0</v>
      </c>
      <c r="P4079" s="1">
        <v>0</v>
      </c>
      <c r="Q4079" s="1">
        <v>0.5</v>
      </c>
      <c r="R4079" s="1">
        <v>0</v>
      </c>
      <c r="X4079" s="1"/>
      <c r="AB4079" s="1">
        <v>0.4</v>
      </c>
    </row>
    <row r="4080" spans="1:28" x14ac:dyDescent="0.25">
      <c r="A4080" s="22">
        <v>42431</v>
      </c>
      <c r="B4080" s="2">
        <v>0</v>
      </c>
      <c r="C4080" s="1">
        <v>0</v>
      </c>
      <c r="D4080" s="1">
        <v>0</v>
      </c>
      <c r="F4080" s="1"/>
      <c r="G4080" s="1">
        <v>0.4</v>
      </c>
      <c r="H4080" s="1">
        <v>0</v>
      </c>
      <c r="I4080" s="2">
        <v>0.7</v>
      </c>
      <c r="J4080" s="2">
        <v>0</v>
      </c>
      <c r="K4080" s="2">
        <v>0</v>
      </c>
      <c r="L4080" s="1">
        <v>0</v>
      </c>
      <c r="M4080" s="1">
        <v>0.6</v>
      </c>
      <c r="O4080" s="1">
        <v>0</v>
      </c>
      <c r="P4080" s="1">
        <v>0</v>
      </c>
      <c r="Q4080" s="1">
        <v>0</v>
      </c>
      <c r="R4080" s="1">
        <v>0</v>
      </c>
      <c r="X4080" s="1"/>
      <c r="AB4080" s="1">
        <v>0.4</v>
      </c>
    </row>
    <row r="4081" spans="1:28" x14ac:dyDescent="0.25">
      <c r="A4081" s="22">
        <v>42432</v>
      </c>
      <c r="B4081" s="2">
        <v>0</v>
      </c>
      <c r="C4081" s="1">
        <v>0</v>
      </c>
      <c r="D4081" s="1">
        <v>0</v>
      </c>
      <c r="F4081" s="1"/>
      <c r="G4081" s="1">
        <v>0.6</v>
      </c>
      <c r="H4081" s="1">
        <v>0</v>
      </c>
      <c r="I4081" s="2">
        <v>1.5</v>
      </c>
      <c r="J4081" s="2">
        <v>0</v>
      </c>
      <c r="K4081" s="2">
        <v>0</v>
      </c>
      <c r="L4081" s="1">
        <v>1.016</v>
      </c>
      <c r="M4081" s="1">
        <v>0</v>
      </c>
      <c r="O4081" s="1">
        <v>0</v>
      </c>
      <c r="P4081" s="1">
        <v>0</v>
      </c>
      <c r="Q4081" s="1">
        <v>2.2999999999999998</v>
      </c>
      <c r="R4081" s="1">
        <v>2.7</v>
      </c>
      <c r="X4081" s="1"/>
      <c r="AB4081" s="1">
        <v>0</v>
      </c>
    </row>
    <row r="4082" spans="1:28" x14ac:dyDescent="0.25">
      <c r="A4082" s="22">
        <v>42433</v>
      </c>
      <c r="B4082" s="2">
        <v>3.1</v>
      </c>
      <c r="C4082" s="1">
        <v>0</v>
      </c>
      <c r="D4082" s="1">
        <v>0</v>
      </c>
      <c r="F4082" s="1"/>
      <c r="G4082" s="1">
        <v>0</v>
      </c>
      <c r="H4082" s="1">
        <v>0.5</v>
      </c>
      <c r="I4082" s="2">
        <v>1</v>
      </c>
      <c r="J4082" s="1">
        <v>1.1000000000000001</v>
      </c>
      <c r="K4082" s="2">
        <v>0.5</v>
      </c>
      <c r="L4082" s="1">
        <v>1.016</v>
      </c>
      <c r="M4082" s="1">
        <v>0</v>
      </c>
      <c r="O4082" s="1">
        <v>1.27</v>
      </c>
      <c r="P4082" s="1">
        <v>0</v>
      </c>
      <c r="Q4082" s="1">
        <v>2.7</v>
      </c>
      <c r="R4082" s="1"/>
      <c r="X4082" s="1"/>
      <c r="AB4082" s="1">
        <v>0</v>
      </c>
    </row>
    <row r="4083" spans="1:28" x14ac:dyDescent="0.25">
      <c r="A4083" s="22">
        <v>42434</v>
      </c>
      <c r="B4083" s="2">
        <v>0</v>
      </c>
      <c r="C4083" s="1">
        <v>0</v>
      </c>
      <c r="D4083" s="2">
        <v>0</v>
      </c>
      <c r="F4083" s="1"/>
      <c r="G4083" s="1">
        <v>0</v>
      </c>
      <c r="H4083" s="1">
        <v>0</v>
      </c>
      <c r="I4083" s="2">
        <v>1</v>
      </c>
      <c r="J4083" s="2">
        <v>0.5</v>
      </c>
      <c r="K4083" s="2">
        <v>1.8</v>
      </c>
      <c r="L4083" s="1">
        <v>0</v>
      </c>
      <c r="M4083" s="1">
        <v>0</v>
      </c>
      <c r="O4083" s="1">
        <v>0</v>
      </c>
      <c r="P4083" s="1">
        <v>0.5</v>
      </c>
      <c r="Q4083" s="1">
        <v>0</v>
      </c>
      <c r="R4083" s="1"/>
      <c r="X4083" s="1"/>
      <c r="AB4083" s="1">
        <v>0</v>
      </c>
    </row>
    <row r="4084" spans="1:28" x14ac:dyDescent="0.25">
      <c r="A4084" s="22">
        <v>42435</v>
      </c>
      <c r="B4084" s="2">
        <v>2.4</v>
      </c>
      <c r="C4084" s="1">
        <v>0</v>
      </c>
      <c r="D4084" s="2">
        <v>0</v>
      </c>
      <c r="F4084" s="1"/>
      <c r="G4084" s="1">
        <v>0</v>
      </c>
      <c r="H4084" s="1">
        <v>0</v>
      </c>
      <c r="I4084" s="2">
        <v>0</v>
      </c>
      <c r="J4084" s="30" t="s">
        <v>9</v>
      </c>
      <c r="K4084" s="2">
        <v>0</v>
      </c>
      <c r="L4084" s="1">
        <v>0</v>
      </c>
      <c r="M4084" s="1">
        <v>0.8</v>
      </c>
      <c r="O4084" s="1">
        <v>0</v>
      </c>
      <c r="P4084" s="1">
        <v>0</v>
      </c>
      <c r="Q4084" s="1">
        <v>0.7</v>
      </c>
      <c r="R4084" s="1"/>
      <c r="X4084" s="1"/>
      <c r="AB4084" s="1">
        <v>17.8</v>
      </c>
    </row>
    <row r="4085" spans="1:28" x14ac:dyDescent="0.25">
      <c r="A4085" s="22">
        <v>42436</v>
      </c>
      <c r="B4085" s="2">
        <v>0</v>
      </c>
      <c r="C4085" s="1">
        <v>0</v>
      </c>
      <c r="D4085" s="2">
        <v>0</v>
      </c>
      <c r="F4085" s="1"/>
      <c r="G4085" s="1">
        <v>0</v>
      </c>
      <c r="H4085" s="1">
        <v>0</v>
      </c>
      <c r="I4085" s="1">
        <v>0</v>
      </c>
      <c r="J4085" s="2">
        <v>1.4</v>
      </c>
      <c r="K4085" s="2">
        <v>5.5</v>
      </c>
      <c r="L4085" s="1">
        <v>0</v>
      </c>
      <c r="M4085" s="1"/>
      <c r="O4085" s="1">
        <v>0.7619999999999999</v>
      </c>
      <c r="P4085" s="1">
        <v>0</v>
      </c>
      <c r="Q4085" s="1">
        <v>0</v>
      </c>
      <c r="R4085" s="1"/>
      <c r="X4085" s="1"/>
      <c r="AB4085" s="1">
        <v>0.2</v>
      </c>
    </row>
    <row r="4086" spans="1:28" x14ac:dyDescent="0.25">
      <c r="A4086" s="22">
        <v>42437</v>
      </c>
      <c r="B4086" s="2">
        <v>0</v>
      </c>
      <c r="C4086" s="1">
        <v>0</v>
      </c>
      <c r="D4086" s="1">
        <v>0</v>
      </c>
      <c r="F4086" s="1"/>
      <c r="G4086" s="1">
        <v>1.6</v>
      </c>
      <c r="H4086" s="1">
        <v>0</v>
      </c>
      <c r="I4086" s="2">
        <v>0</v>
      </c>
      <c r="J4086" s="2">
        <v>0</v>
      </c>
      <c r="K4086" s="2">
        <v>0</v>
      </c>
      <c r="L4086" s="1">
        <v>0</v>
      </c>
      <c r="M4086" s="1"/>
      <c r="O4086" s="1">
        <v>0</v>
      </c>
      <c r="P4086" s="1">
        <v>0</v>
      </c>
      <c r="Q4086" s="1">
        <v>4.5999999999999996</v>
      </c>
      <c r="R4086" s="1">
        <v>2.5</v>
      </c>
      <c r="X4086" s="1"/>
      <c r="AB4086" s="1">
        <v>0</v>
      </c>
    </row>
    <row r="4087" spans="1:28" x14ac:dyDescent="0.25">
      <c r="A4087" s="22">
        <v>42438</v>
      </c>
      <c r="B4087" s="2">
        <v>0</v>
      </c>
      <c r="C4087" s="1">
        <v>0</v>
      </c>
      <c r="D4087" s="1">
        <v>0</v>
      </c>
      <c r="F4087" s="1"/>
      <c r="G4087" s="1">
        <v>0</v>
      </c>
      <c r="H4087" s="1">
        <v>0</v>
      </c>
      <c r="I4087" s="2">
        <v>0.6</v>
      </c>
      <c r="J4087" s="2">
        <v>1.3</v>
      </c>
      <c r="K4087" s="2">
        <v>0</v>
      </c>
      <c r="L4087" s="1">
        <v>0</v>
      </c>
      <c r="M4087" s="1">
        <v>1.2</v>
      </c>
      <c r="O4087" s="1">
        <v>0.254</v>
      </c>
      <c r="P4087" s="1">
        <v>4.4000000000000004</v>
      </c>
      <c r="Q4087" s="1">
        <v>0.2</v>
      </c>
      <c r="R4087" s="1"/>
      <c r="X4087" s="1"/>
      <c r="AB4087" s="1">
        <v>0.8</v>
      </c>
    </row>
    <row r="4088" spans="1:28" x14ac:dyDescent="0.25">
      <c r="A4088" s="22">
        <v>42439</v>
      </c>
      <c r="B4088" s="2">
        <v>4.7</v>
      </c>
      <c r="C4088" s="1">
        <v>0</v>
      </c>
      <c r="D4088" s="1">
        <v>0</v>
      </c>
      <c r="F4088" s="1"/>
      <c r="G4088" s="1">
        <v>6.7</v>
      </c>
      <c r="H4088" s="1">
        <v>0</v>
      </c>
      <c r="I4088" s="2">
        <v>0</v>
      </c>
      <c r="J4088" s="30" t="s">
        <v>9</v>
      </c>
      <c r="K4088" s="2">
        <v>0</v>
      </c>
      <c r="L4088" s="1">
        <v>2.2859999999999996</v>
      </c>
      <c r="M4088" s="1"/>
      <c r="O4088" s="1">
        <v>0.50800000000000001</v>
      </c>
      <c r="P4088" s="1">
        <v>1.8</v>
      </c>
      <c r="Q4088" s="1">
        <v>4.9000000000000004</v>
      </c>
      <c r="R4088" s="1">
        <v>1.7</v>
      </c>
      <c r="X4088" s="1"/>
      <c r="AB4088" s="1">
        <v>0</v>
      </c>
    </row>
    <row r="4089" spans="1:28" x14ac:dyDescent="0.25">
      <c r="A4089" s="22">
        <v>42440</v>
      </c>
      <c r="B4089" s="2">
        <v>0</v>
      </c>
      <c r="C4089" s="1">
        <v>3.2</v>
      </c>
      <c r="D4089" s="1">
        <v>0.7</v>
      </c>
      <c r="F4089" s="1"/>
      <c r="G4089" s="1">
        <v>0</v>
      </c>
      <c r="H4089" s="1">
        <v>9.5</v>
      </c>
      <c r="I4089" s="2">
        <v>2.8</v>
      </c>
      <c r="J4089" s="2">
        <v>0.1</v>
      </c>
      <c r="K4089" s="2">
        <v>8.9</v>
      </c>
      <c r="L4089" s="1">
        <v>2.032</v>
      </c>
      <c r="M4089" s="1">
        <v>10.5</v>
      </c>
      <c r="O4089" s="1">
        <v>2.54</v>
      </c>
      <c r="P4089" s="1">
        <v>2.6</v>
      </c>
      <c r="Q4089" s="1">
        <v>0</v>
      </c>
      <c r="R4089" s="1">
        <v>0.7</v>
      </c>
      <c r="X4089" s="1"/>
      <c r="AB4089" s="1">
        <v>0.2</v>
      </c>
    </row>
    <row r="4090" spans="1:28" x14ac:dyDescent="0.25">
      <c r="A4090" s="22">
        <v>42441</v>
      </c>
      <c r="B4090" s="2">
        <v>3.4</v>
      </c>
      <c r="C4090" s="1">
        <v>0</v>
      </c>
      <c r="D4090" s="1">
        <v>0</v>
      </c>
      <c r="F4090" s="1"/>
      <c r="G4090" s="1">
        <v>0</v>
      </c>
      <c r="H4090" s="1">
        <v>0</v>
      </c>
      <c r="I4090" s="2">
        <v>0</v>
      </c>
      <c r="J4090" s="30" t="s">
        <v>9</v>
      </c>
      <c r="K4090" s="2">
        <v>0</v>
      </c>
      <c r="L4090" s="1">
        <v>7.8739999999999997</v>
      </c>
      <c r="M4090" s="1"/>
      <c r="O4090" s="1">
        <v>0</v>
      </c>
      <c r="P4090" s="1">
        <v>0</v>
      </c>
      <c r="Q4090" s="1">
        <v>0</v>
      </c>
      <c r="R4090" s="1"/>
      <c r="X4090" s="1"/>
      <c r="AB4090" s="1">
        <v>4.5999999999999996</v>
      </c>
    </row>
    <row r="4091" spans="1:28" x14ac:dyDescent="0.25">
      <c r="A4091" s="22">
        <v>42442</v>
      </c>
      <c r="B4091" s="2">
        <v>0</v>
      </c>
      <c r="C4091" s="1">
        <v>0</v>
      </c>
      <c r="D4091" s="1">
        <v>0</v>
      </c>
      <c r="F4091" s="1"/>
      <c r="G4091" s="2">
        <v>12.5</v>
      </c>
      <c r="H4091" s="1">
        <v>0</v>
      </c>
      <c r="I4091" s="2">
        <v>0</v>
      </c>
      <c r="J4091" s="1">
        <v>0</v>
      </c>
      <c r="K4091" s="2">
        <v>0</v>
      </c>
      <c r="L4091" s="1">
        <v>2.794</v>
      </c>
      <c r="M4091" s="1"/>
      <c r="O4091" s="1">
        <v>0</v>
      </c>
      <c r="P4091" s="1">
        <v>0.9</v>
      </c>
      <c r="Q4091" s="1">
        <v>0</v>
      </c>
      <c r="R4091" s="1"/>
      <c r="X4091" s="1"/>
      <c r="AB4091" s="1">
        <v>0</v>
      </c>
    </row>
    <row r="4092" spans="1:28" x14ac:dyDescent="0.25">
      <c r="A4092" s="22">
        <v>42443</v>
      </c>
      <c r="B4092" s="2">
        <v>0</v>
      </c>
      <c r="C4092" s="1">
        <v>0</v>
      </c>
      <c r="D4092" s="1">
        <v>0</v>
      </c>
      <c r="F4092" s="1"/>
      <c r="G4092" s="2">
        <v>0</v>
      </c>
      <c r="H4092" s="1">
        <v>1</v>
      </c>
      <c r="I4092" s="2">
        <v>2.5</v>
      </c>
      <c r="J4092" s="1">
        <v>10.4</v>
      </c>
      <c r="K4092" s="2">
        <v>0</v>
      </c>
      <c r="L4092" s="1">
        <v>0</v>
      </c>
      <c r="M4092" s="1">
        <v>6.6</v>
      </c>
      <c r="O4092" s="1">
        <v>1.016</v>
      </c>
      <c r="P4092" s="1">
        <v>0</v>
      </c>
      <c r="Q4092" s="1">
        <v>0.1</v>
      </c>
      <c r="R4092" s="1"/>
      <c r="X4092" s="1"/>
      <c r="AB4092" s="1">
        <v>1.4</v>
      </c>
    </row>
    <row r="4093" spans="1:28" x14ac:dyDescent="0.25">
      <c r="A4093" s="22">
        <v>42444</v>
      </c>
      <c r="B4093" s="2">
        <v>0</v>
      </c>
      <c r="C4093" s="1">
        <v>0</v>
      </c>
      <c r="D4093" s="1">
        <v>0</v>
      </c>
      <c r="F4093" s="1"/>
      <c r="G4093" s="2">
        <v>0</v>
      </c>
      <c r="H4093" s="1">
        <v>0</v>
      </c>
      <c r="I4093" s="2">
        <v>0</v>
      </c>
      <c r="J4093" s="2">
        <v>0</v>
      </c>
      <c r="K4093" s="2">
        <v>1.3</v>
      </c>
      <c r="L4093" s="1">
        <v>1.016</v>
      </c>
      <c r="M4093" s="1">
        <v>0.1</v>
      </c>
      <c r="O4093" s="1">
        <v>0</v>
      </c>
      <c r="P4093" s="1">
        <v>0</v>
      </c>
      <c r="Q4093" s="1">
        <v>0</v>
      </c>
      <c r="R4093" s="1"/>
      <c r="X4093" s="1"/>
      <c r="AB4093" s="1">
        <v>0</v>
      </c>
    </row>
    <row r="4094" spans="1:28" x14ac:dyDescent="0.25">
      <c r="A4094" s="22">
        <v>42445</v>
      </c>
      <c r="B4094" s="2">
        <v>0</v>
      </c>
      <c r="C4094" s="1">
        <v>0</v>
      </c>
      <c r="D4094" s="1">
        <v>0</v>
      </c>
      <c r="F4094" s="1"/>
      <c r="G4094" s="2">
        <v>0</v>
      </c>
      <c r="H4094" s="1">
        <v>0</v>
      </c>
      <c r="I4094" s="1">
        <v>0</v>
      </c>
      <c r="J4094" s="2">
        <v>0</v>
      </c>
      <c r="K4094" s="2">
        <v>0</v>
      </c>
      <c r="L4094" s="1">
        <v>0.254</v>
      </c>
      <c r="M4094" s="1"/>
      <c r="O4094" s="1">
        <v>0</v>
      </c>
      <c r="P4094" s="1">
        <v>5.6</v>
      </c>
      <c r="Q4094" s="1">
        <v>0</v>
      </c>
      <c r="R4094" s="1"/>
      <c r="X4094" s="1"/>
      <c r="AB4094" s="1">
        <v>0</v>
      </c>
    </row>
    <row r="4095" spans="1:28" x14ac:dyDescent="0.25">
      <c r="A4095" s="22">
        <v>42446</v>
      </c>
      <c r="B4095" s="2">
        <v>0</v>
      </c>
      <c r="C4095" s="1">
        <v>0</v>
      </c>
      <c r="D4095" s="1">
        <v>0</v>
      </c>
      <c r="F4095" s="1"/>
      <c r="G4095" s="1">
        <v>2.2999999999999998</v>
      </c>
      <c r="H4095" s="1">
        <v>1</v>
      </c>
      <c r="I4095" s="2">
        <v>0</v>
      </c>
      <c r="J4095" s="2">
        <v>0.2</v>
      </c>
      <c r="K4095" s="2">
        <v>0</v>
      </c>
      <c r="L4095" s="1">
        <v>0</v>
      </c>
      <c r="M4095" s="1"/>
      <c r="O4095" s="1">
        <v>0</v>
      </c>
      <c r="P4095" s="1">
        <v>0</v>
      </c>
      <c r="Q4095" s="1">
        <v>5.7</v>
      </c>
      <c r="R4095" s="1">
        <v>10.09</v>
      </c>
      <c r="X4095" s="1"/>
      <c r="AB4095" s="1">
        <v>8</v>
      </c>
    </row>
    <row r="4096" spans="1:28" x14ac:dyDescent="0.25">
      <c r="A4096" s="22">
        <v>42447</v>
      </c>
      <c r="B4096" s="2">
        <v>4.2</v>
      </c>
      <c r="C4096" s="1">
        <v>3.1</v>
      </c>
      <c r="D4096" s="2">
        <v>0</v>
      </c>
      <c r="F4096" s="1"/>
      <c r="G4096" s="1">
        <v>9.1</v>
      </c>
      <c r="H4096" s="1">
        <v>5</v>
      </c>
      <c r="I4096" s="2">
        <v>1.4</v>
      </c>
      <c r="J4096" s="1">
        <v>4.7</v>
      </c>
      <c r="K4096" s="1">
        <v>7.5</v>
      </c>
      <c r="L4096" s="1">
        <v>2.794</v>
      </c>
      <c r="M4096" s="1">
        <v>2.4</v>
      </c>
      <c r="O4096" s="1">
        <v>1.778</v>
      </c>
      <c r="P4096" s="1">
        <v>2.4</v>
      </c>
      <c r="Q4096" s="1">
        <v>12.6</v>
      </c>
      <c r="R4096" s="1">
        <v>5.05</v>
      </c>
      <c r="X4096" s="1"/>
      <c r="AB4096" s="1">
        <v>7.8</v>
      </c>
    </row>
    <row r="4097" spans="1:28" x14ac:dyDescent="0.25">
      <c r="A4097" s="22">
        <v>42448</v>
      </c>
      <c r="B4097" s="2">
        <v>2.1</v>
      </c>
      <c r="C4097" s="1">
        <v>4.5999999999999996</v>
      </c>
      <c r="D4097" s="1">
        <v>21.5</v>
      </c>
      <c r="F4097" s="1"/>
      <c r="G4097" s="1">
        <v>1.2</v>
      </c>
      <c r="H4097" s="1">
        <v>0</v>
      </c>
      <c r="I4097" s="2">
        <v>2.9</v>
      </c>
      <c r="J4097" s="1">
        <v>6.9</v>
      </c>
      <c r="K4097" s="2">
        <v>6.5</v>
      </c>
      <c r="L4097" s="1">
        <v>3.8099999999999996</v>
      </c>
      <c r="M4097" s="1">
        <v>8.5</v>
      </c>
      <c r="O4097" s="1">
        <v>0</v>
      </c>
      <c r="P4097" s="1">
        <v>3.2</v>
      </c>
      <c r="Q4097" s="1">
        <v>3.2</v>
      </c>
      <c r="R4097" s="1">
        <v>0</v>
      </c>
      <c r="X4097" s="1"/>
      <c r="AB4097" s="1">
        <v>1.2</v>
      </c>
    </row>
    <row r="4098" spans="1:28" x14ac:dyDescent="0.25">
      <c r="A4098" s="22">
        <v>42449</v>
      </c>
      <c r="B4098" s="2">
        <v>3.4</v>
      </c>
      <c r="C4098" s="1">
        <v>0</v>
      </c>
      <c r="D4098" s="1">
        <v>0</v>
      </c>
      <c r="F4098" s="1"/>
      <c r="G4098" s="1">
        <v>0</v>
      </c>
      <c r="H4098" s="1">
        <v>1</v>
      </c>
      <c r="I4098" s="2">
        <v>1</v>
      </c>
      <c r="J4098" s="2">
        <v>4.4000000000000004</v>
      </c>
      <c r="K4098" s="1">
        <v>0</v>
      </c>
      <c r="L4098" s="1">
        <v>1.016</v>
      </c>
      <c r="M4098" s="1">
        <v>1.2</v>
      </c>
      <c r="O4098" s="1">
        <v>0</v>
      </c>
      <c r="P4098" s="1">
        <v>0.6</v>
      </c>
      <c r="Q4098" s="1">
        <v>0.4</v>
      </c>
      <c r="R4098" s="1"/>
      <c r="X4098" s="1"/>
      <c r="AB4098" s="1">
        <v>0</v>
      </c>
    </row>
    <row r="4099" spans="1:28" x14ac:dyDescent="0.25">
      <c r="A4099" s="22">
        <v>42450</v>
      </c>
      <c r="B4099" s="2">
        <v>1.7</v>
      </c>
      <c r="C4099" s="1">
        <v>0</v>
      </c>
      <c r="D4099" s="1">
        <v>5</v>
      </c>
      <c r="F4099" s="1"/>
      <c r="G4099" s="1">
        <v>3</v>
      </c>
      <c r="H4099" s="1">
        <v>1</v>
      </c>
      <c r="I4099" s="2">
        <v>0.8</v>
      </c>
      <c r="J4099" s="1">
        <v>0.5</v>
      </c>
      <c r="K4099" s="1">
        <v>5.7</v>
      </c>
      <c r="L4099" s="1">
        <v>2.794</v>
      </c>
      <c r="M4099" s="1"/>
      <c r="O4099" s="1">
        <v>6.6040000000000001</v>
      </c>
      <c r="P4099" s="1">
        <v>1.4</v>
      </c>
      <c r="Q4099" s="1">
        <v>2.8</v>
      </c>
      <c r="R4099" s="1">
        <v>2.0099999999999998</v>
      </c>
      <c r="X4099" s="1"/>
      <c r="AB4099" s="1">
        <v>0.2</v>
      </c>
    </row>
    <row r="4100" spans="1:28" x14ac:dyDescent="0.25">
      <c r="A4100" s="22">
        <v>42451</v>
      </c>
      <c r="B4100" s="2">
        <v>2.6</v>
      </c>
      <c r="C4100" s="1">
        <v>7.3</v>
      </c>
      <c r="D4100" s="2">
        <v>0</v>
      </c>
      <c r="F4100" s="1"/>
      <c r="G4100" s="1">
        <v>12.4</v>
      </c>
      <c r="H4100" s="1">
        <v>10</v>
      </c>
      <c r="I4100" s="2">
        <v>0.5</v>
      </c>
      <c r="J4100" s="1">
        <v>4</v>
      </c>
      <c r="K4100" s="1">
        <v>8.9</v>
      </c>
      <c r="L4100" s="1">
        <v>7.8739999999999997</v>
      </c>
      <c r="M4100" s="1">
        <v>5.5</v>
      </c>
      <c r="O4100" s="1">
        <v>5.08</v>
      </c>
      <c r="P4100" s="1">
        <v>4.3</v>
      </c>
      <c r="Q4100" s="1">
        <v>3.2</v>
      </c>
      <c r="R4100" s="1">
        <v>2</v>
      </c>
      <c r="X4100" s="1"/>
      <c r="AB4100" s="1">
        <v>3.2</v>
      </c>
    </row>
    <row r="4101" spans="1:28" x14ac:dyDescent="0.25">
      <c r="A4101" s="22">
        <v>42452</v>
      </c>
      <c r="B4101" s="2">
        <v>3</v>
      </c>
      <c r="C4101" s="1">
        <v>12.6</v>
      </c>
      <c r="D4101" s="2">
        <v>13</v>
      </c>
      <c r="F4101" s="1"/>
      <c r="G4101" s="1">
        <v>1.3</v>
      </c>
      <c r="H4101" s="1">
        <v>0</v>
      </c>
      <c r="I4101" s="1">
        <v>0.8</v>
      </c>
      <c r="J4101" s="1">
        <v>5.7</v>
      </c>
      <c r="K4101" s="1">
        <v>5.8</v>
      </c>
      <c r="L4101" s="1">
        <v>3.0479999999999996</v>
      </c>
      <c r="M4101" s="1">
        <v>9.4</v>
      </c>
      <c r="O4101" s="1">
        <v>2.794</v>
      </c>
      <c r="P4101" s="1">
        <v>3.4</v>
      </c>
      <c r="Q4101" s="1">
        <v>1.3</v>
      </c>
      <c r="R4101" s="1"/>
      <c r="X4101" s="1"/>
      <c r="AB4101" s="1">
        <v>3.4</v>
      </c>
    </row>
    <row r="4102" spans="1:28" x14ac:dyDescent="0.25">
      <c r="A4102" s="22">
        <v>42453</v>
      </c>
      <c r="B4102" s="2">
        <v>0</v>
      </c>
      <c r="C4102" s="1">
        <v>3.7</v>
      </c>
      <c r="D4102" s="2">
        <v>0</v>
      </c>
      <c r="F4102" s="1"/>
      <c r="G4102" s="1">
        <v>1.1000000000000001</v>
      </c>
      <c r="H4102" s="1">
        <v>0</v>
      </c>
      <c r="I4102" s="2">
        <v>0.1</v>
      </c>
      <c r="J4102" s="1">
        <v>1.2</v>
      </c>
      <c r="K4102" s="2">
        <v>0</v>
      </c>
      <c r="L4102" s="1">
        <v>0</v>
      </c>
      <c r="M4102" s="1"/>
      <c r="O4102" s="1">
        <v>1.778</v>
      </c>
      <c r="P4102" s="1">
        <v>0.8</v>
      </c>
      <c r="Q4102" s="1">
        <v>1.4</v>
      </c>
      <c r="R4102" s="1"/>
      <c r="X4102" s="1"/>
      <c r="AB4102" s="1">
        <v>0.2</v>
      </c>
    </row>
    <row r="4103" spans="1:28" x14ac:dyDescent="0.25">
      <c r="A4103" s="22">
        <v>42454</v>
      </c>
      <c r="B4103" s="2">
        <v>0</v>
      </c>
      <c r="C4103" s="1">
        <v>1.4</v>
      </c>
      <c r="D4103" s="2">
        <v>2.2000000000000002</v>
      </c>
      <c r="F4103" s="1"/>
      <c r="G4103" s="1">
        <v>0</v>
      </c>
      <c r="H4103" s="1">
        <v>0</v>
      </c>
      <c r="I4103" s="1">
        <v>0</v>
      </c>
      <c r="J4103" s="2">
        <v>5.3</v>
      </c>
      <c r="K4103" s="2">
        <v>3.6</v>
      </c>
      <c r="L4103" s="1">
        <v>0</v>
      </c>
      <c r="M4103" s="1"/>
      <c r="O4103" s="1">
        <v>0</v>
      </c>
      <c r="P4103" s="1">
        <v>2.2000000000000002</v>
      </c>
      <c r="Q4103" s="1">
        <v>1.1000000000000001</v>
      </c>
      <c r="R4103" s="1">
        <v>3.2</v>
      </c>
      <c r="X4103" s="1"/>
      <c r="AB4103" s="1">
        <v>0</v>
      </c>
    </row>
    <row r="4104" spans="1:28" x14ac:dyDescent="0.25">
      <c r="A4104" s="22">
        <v>42455</v>
      </c>
      <c r="B4104" s="2">
        <v>0</v>
      </c>
      <c r="C4104" s="1">
        <v>0</v>
      </c>
      <c r="D4104" s="1">
        <v>3.1</v>
      </c>
      <c r="F4104" s="1"/>
      <c r="G4104" s="1">
        <v>3.2</v>
      </c>
      <c r="H4104" s="1">
        <v>0</v>
      </c>
      <c r="I4104" s="1">
        <v>0</v>
      </c>
      <c r="J4104" s="1">
        <v>0.6</v>
      </c>
      <c r="K4104" s="2">
        <v>0</v>
      </c>
      <c r="L4104" s="1">
        <v>0.254</v>
      </c>
      <c r="M4104" s="1"/>
      <c r="O4104" s="1">
        <v>0</v>
      </c>
      <c r="P4104" s="1">
        <v>0.5</v>
      </c>
      <c r="Q4104" s="1">
        <v>0</v>
      </c>
      <c r="R4104" s="1"/>
      <c r="X4104" s="1"/>
      <c r="AB4104" s="1">
        <v>4.5999999999999996</v>
      </c>
    </row>
    <row r="4105" spans="1:28" x14ac:dyDescent="0.25">
      <c r="A4105" s="22">
        <v>42456</v>
      </c>
      <c r="B4105" s="2">
        <v>0</v>
      </c>
      <c r="C4105" s="1">
        <v>0</v>
      </c>
      <c r="D4105" s="1">
        <v>0.8</v>
      </c>
      <c r="F4105" s="1"/>
      <c r="G4105" s="1">
        <v>0</v>
      </c>
      <c r="H4105" s="1">
        <v>0</v>
      </c>
      <c r="I4105" s="1">
        <v>0</v>
      </c>
      <c r="J4105" s="2">
        <v>0.5</v>
      </c>
      <c r="K4105" s="1">
        <v>0</v>
      </c>
      <c r="L4105" s="1">
        <v>0</v>
      </c>
      <c r="M4105" s="1"/>
      <c r="O4105" s="1">
        <v>0</v>
      </c>
      <c r="P4105" s="1">
        <v>1.1000000000000001</v>
      </c>
      <c r="Q4105" s="1">
        <v>0</v>
      </c>
      <c r="R4105" s="1"/>
      <c r="X4105" s="1"/>
      <c r="AB4105" s="1">
        <v>0.4</v>
      </c>
    </row>
    <row r="4106" spans="1:28" x14ac:dyDescent="0.25">
      <c r="A4106" s="22">
        <v>42457</v>
      </c>
      <c r="B4106" s="2">
        <v>0</v>
      </c>
      <c r="C4106" s="1">
        <v>0</v>
      </c>
      <c r="D4106" s="1">
        <v>0</v>
      </c>
      <c r="F4106" s="1"/>
      <c r="G4106" s="1">
        <v>2.8</v>
      </c>
      <c r="H4106" s="1">
        <v>1.3</v>
      </c>
      <c r="I4106" s="2">
        <v>1.5</v>
      </c>
      <c r="J4106" s="1">
        <v>0</v>
      </c>
      <c r="K4106" s="1">
        <v>0</v>
      </c>
      <c r="L4106" s="1">
        <v>1.27</v>
      </c>
      <c r="M4106" s="1">
        <v>2.5</v>
      </c>
      <c r="O4106" s="1">
        <v>0</v>
      </c>
      <c r="P4106" s="1">
        <v>0</v>
      </c>
      <c r="Q4106" s="1">
        <v>2.9</v>
      </c>
      <c r="R4106" s="1"/>
      <c r="X4106" s="1"/>
      <c r="AB4106" s="1">
        <v>0.2</v>
      </c>
    </row>
    <row r="4107" spans="1:28" x14ac:dyDescent="0.25">
      <c r="A4107" s="22">
        <v>42458</v>
      </c>
      <c r="B4107" s="2">
        <v>0</v>
      </c>
      <c r="C4107" s="1">
        <v>3.5</v>
      </c>
      <c r="D4107" s="1">
        <v>4</v>
      </c>
      <c r="F4107" s="1"/>
      <c r="G4107" s="1">
        <v>0</v>
      </c>
      <c r="H4107" s="1">
        <v>0</v>
      </c>
      <c r="I4107" s="2">
        <v>2.5</v>
      </c>
      <c r="J4107" s="1">
        <v>5</v>
      </c>
      <c r="K4107" s="1">
        <v>6.7</v>
      </c>
      <c r="L4107" s="1">
        <v>7.8739999999999997</v>
      </c>
      <c r="M4107" s="1"/>
      <c r="O4107" s="1">
        <v>10.16</v>
      </c>
      <c r="P4107" s="1">
        <v>7.6</v>
      </c>
      <c r="Q4107" s="1">
        <v>0.9</v>
      </c>
      <c r="R4107" s="1">
        <v>0.5</v>
      </c>
      <c r="X4107" s="1"/>
      <c r="AB4107" s="1">
        <v>0.2</v>
      </c>
    </row>
    <row r="4108" spans="1:28" x14ac:dyDescent="0.25">
      <c r="A4108" s="22">
        <v>42459</v>
      </c>
      <c r="B4108" s="2">
        <v>28.8</v>
      </c>
      <c r="C4108" s="1">
        <v>0</v>
      </c>
      <c r="D4108" s="1">
        <v>1.2</v>
      </c>
      <c r="F4108" s="1"/>
      <c r="G4108" s="1">
        <v>0</v>
      </c>
      <c r="H4108" s="1">
        <v>0</v>
      </c>
      <c r="I4108" s="2">
        <v>0.8</v>
      </c>
      <c r="J4108" s="1">
        <v>0.2</v>
      </c>
      <c r="K4108" s="1">
        <v>0</v>
      </c>
      <c r="L4108" s="1">
        <v>1.5239999999999998</v>
      </c>
      <c r="M4108" s="1"/>
      <c r="O4108" s="1">
        <v>1.27</v>
      </c>
      <c r="P4108" s="1">
        <v>4.3</v>
      </c>
      <c r="Q4108" s="1">
        <v>0.4</v>
      </c>
      <c r="R4108" s="1"/>
      <c r="X4108" s="1"/>
      <c r="AB4108" s="1"/>
    </row>
    <row r="4109" spans="1:28" x14ac:dyDescent="0.25">
      <c r="A4109" s="22">
        <v>42460</v>
      </c>
      <c r="B4109" s="2"/>
      <c r="C4109" s="1">
        <v>0</v>
      </c>
      <c r="D4109" s="1"/>
      <c r="F4109" s="1"/>
      <c r="G4109" s="1">
        <v>0</v>
      </c>
      <c r="H4109" s="1"/>
      <c r="I4109" s="2"/>
      <c r="J4109" s="1"/>
      <c r="K4109" s="1">
        <v>2.6</v>
      </c>
      <c r="L4109" s="1">
        <v>0</v>
      </c>
      <c r="M4109" s="1"/>
      <c r="O4109" s="1">
        <v>0</v>
      </c>
      <c r="P4109" s="1">
        <v>0.6</v>
      </c>
      <c r="Q4109" s="1">
        <v>2.8</v>
      </c>
      <c r="R4109" s="1">
        <v>6.6</v>
      </c>
      <c r="X4109" s="1"/>
      <c r="AB4109" s="1"/>
    </row>
    <row r="4110" spans="1:28" x14ac:dyDescent="0.25">
      <c r="A4110" s="22">
        <v>42461</v>
      </c>
      <c r="B4110" s="2">
        <v>0</v>
      </c>
      <c r="C4110" s="1">
        <v>7.5</v>
      </c>
      <c r="D4110" s="1">
        <v>0</v>
      </c>
      <c r="F4110" s="1"/>
      <c r="G4110" s="1">
        <v>11.3</v>
      </c>
      <c r="H4110" s="1">
        <v>0</v>
      </c>
      <c r="I4110" s="2">
        <v>0</v>
      </c>
      <c r="J4110" s="1">
        <v>3.4</v>
      </c>
      <c r="K4110" s="2">
        <v>11.2</v>
      </c>
      <c r="L4110" s="1">
        <v>9.1439999999999984</v>
      </c>
      <c r="M4110" s="1">
        <v>0.1</v>
      </c>
      <c r="O4110" s="1">
        <v>2.54</v>
      </c>
      <c r="P4110" s="1">
        <v>2.5</v>
      </c>
      <c r="Q4110" s="1">
        <v>20.6</v>
      </c>
      <c r="R4110" s="1">
        <v>12</v>
      </c>
      <c r="X4110" s="1"/>
      <c r="AB4110" s="1"/>
    </row>
    <row r="4111" spans="1:28" x14ac:dyDescent="0.25">
      <c r="A4111" s="22">
        <v>42462</v>
      </c>
      <c r="B4111" s="2">
        <v>0</v>
      </c>
      <c r="C4111" s="1">
        <v>8</v>
      </c>
      <c r="D4111" s="1">
        <v>0</v>
      </c>
      <c r="F4111" s="1"/>
      <c r="G4111" s="1">
        <v>8.6</v>
      </c>
      <c r="H4111" s="1">
        <v>10.3</v>
      </c>
      <c r="I4111" s="2">
        <v>4.3</v>
      </c>
      <c r="J4111" s="2">
        <v>7.9</v>
      </c>
      <c r="K4111" s="2">
        <v>0</v>
      </c>
      <c r="L4111" s="1">
        <v>0</v>
      </c>
      <c r="M4111" s="1">
        <v>13.6</v>
      </c>
      <c r="O4111" s="1">
        <v>0</v>
      </c>
      <c r="P4111" s="1">
        <v>1.8</v>
      </c>
      <c r="Q4111" s="1">
        <v>2.7</v>
      </c>
      <c r="R4111" s="1">
        <v>3.2</v>
      </c>
      <c r="X4111" s="1"/>
      <c r="AB4111" s="1"/>
    </row>
    <row r="4112" spans="1:28" x14ac:dyDescent="0.25">
      <c r="A4112" s="22">
        <v>42463</v>
      </c>
      <c r="B4112" s="2">
        <v>13</v>
      </c>
      <c r="C4112" s="1">
        <v>0</v>
      </c>
      <c r="D4112" s="1">
        <v>0</v>
      </c>
      <c r="F4112" s="1"/>
      <c r="G4112" s="1">
        <v>0</v>
      </c>
      <c r="H4112" s="1">
        <v>7.2</v>
      </c>
      <c r="I4112" s="2">
        <v>3.9</v>
      </c>
      <c r="J4112" s="2">
        <v>8.5</v>
      </c>
      <c r="K4112" s="2">
        <v>0</v>
      </c>
      <c r="L4112" s="1">
        <v>9.6519999999999992</v>
      </c>
      <c r="M4112" s="1">
        <v>8.8000000000000007</v>
      </c>
      <c r="O4112" s="1">
        <v>0</v>
      </c>
      <c r="P4112" s="1">
        <v>0</v>
      </c>
      <c r="Q4112" s="1">
        <v>11.5</v>
      </c>
      <c r="R4112" s="1">
        <v>2.1</v>
      </c>
      <c r="X4112" s="1"/>
      <c r="AB4112" s="1"/>
    </row>
    <row r="4113" spans="1:28" x14ac:dyDescent="0.25">
      <c r="A4113" s="22">
        <v>42464</v>
      </c>
      <c r="B4113" s="2">
        <v>0</v>
      </c>
      <c r="C4113" s="1">
        <v>0</v>
      </c>
      <c r="D4113" s="1">
        <v>0</v>
      </c>
      <c r="F4113" s="1"/>
      <c r="G4113" s="1">
        <v>0</v>
      </c>
      <c r="H4113" s="1">
        <v>0</v>
      </c>
      <c r="I4113" s="2">
        <v>0</v>
      </c>
      <c r="J4113" s="1">
        <v>0.1</v>
      </c>
      <c r="K4113" s="2">
        <v>0</v>
      </c>
      <c r="L4113" s="1">
        <v>0</v>
      </c>
      <c r="M4113" s="1">
        <v>0</v>
      </c>
      <c r="O4113" s="1">
        <v>14.224</v>
      </c>
      <c r="P4113" s="1">
        <v>0</v>
      </c>
      <c r="Q4113" s="1">
        <v>0.6</v>
      </c>
      <c r="R4113" s="1">
        <v>2</v>
      </c>
      <c r="X4113" s="1"/>
      <c r="AB4113" s="1"/>
    </row>
    <row r="4114" spans="1:28" x14ac:dyDescent="0.25">
      <c r="A4114" s="22">
        <v>42465</v>
      </c>
      <c r="B4114" s="2">
        <v>10.4</v>
      </c>
      <c r="C4114" s="1">
        <v>0</v>
      </c>
      <c r="D4114" s="2">
        <v>0</v>
      </c>
      <c r="F4114" s="1"/>
      <c r="G4114" s="1">
        <v>0</v>
      </c>
      <c r="H4114" s="1">
        <v>0</v>
      </c>
      <c r="I4114" s="2">
        <v>0</v>
      </c>
      <c r="J4114" s="2">
        <v>0.1</v>
      </c>
      <c r="K4114" s="2">
        <v>3.1</v>
      </c>
      <c r="L4114" s="1">
        <v>0</v>
      </c>
      <c r="M4114" s="1">
        <v>0</v>
      </c>
      <c r="O4114" s="1">
        <v>1.778</v>
      </c>
      <c r="P4114" s="1">
        <v>0</v>
      </c>
      <c r="Q4114" s="1">
        <v>0</v>
      </c>
      <c r="R4114" s="1">
        <v>0</v>
      </c>
      <c r="X4114" s="1"/>
      <c r="AB4114" s="1"/>
    </row>
    <row r="4115" spans="1:28" x14ac:dyDescent="0.25">
      <c r="A4115" s="22">
        <v>42466</v>
      </c>
      <c r="B4115" s="2">
        <v>16.600000000000001</v>
      </c>
      <c r="C4115" s="1">
        <v>0</v>
      </c>
      <c r="D4115" s="2">
        <v>0</v>
      </c>
      <c r="F4115" s="1"/>
      <c r="G4115" s="1">
        <v>0.7</v>
      </c>
      <c r="H4115" s="1">
        <v>0</v>
      </c>
      <c r="I4115" s="2">
        <v>0</v>
      </c>
      <c r="J4115" s="2">
        <v>4.3</v>
      </c>
      <c r="K4115" s="2">
        <v>2.2999999999999998</v>
      </c>
      <c r="L4115" s="1">
        <v>1.778</v>
      </c>
      <c r="M4115" s="1">
        <v>0</v>
      </c>
      <c r="O4115" s="1">
        <v>0.7619999999999999</v>
      </c>
      <c r="P4115" s="1">
        <v>0</v>
      </c>
      <c r="Q4115" s="1">
        <v>0</v>
      </c>
      <c r="R4115" s="1">
        <v>0</v>
      </c>
      <c r="X4115" s="1"/>
      <c r="AB4115" s="1"/>
    </row>
    <row r="4116" spans="1:28" x14ac:dyDescent="0.25">
      <c r="A4116" s="22">
        <v>42467</v>
      </c>
      <c r="B4116" s="2">
        <v>0</v>
      </c>
      <c r="C4116" s="1">
        <v>0</v>
      </c>
      <c r="D4116" s="2">
        <v>0</v>
      </c>
      <c r="F4116" s="1"/>
      <c r="G4116" s="1">
        <v>0</v>
      </c>
      <c r="H4116" s="1">
        <v>0</v>
      </c>
      <c r="I4116" s="1">
        <v>0</v>
      </c>
      <c r="J4116" s="30" t="s">
        <v>9</v>
      </c>
      <c r="K4116" s="2">
        <v>0</v>
      </c>
      <c r="L4116" s="1">
        <v>0</v>
      </c>
      <c r="M4116" s="1">
        <v>1.7</v>
      </c>
      <c r="O4116" s="1">
        <v>0</v>
      </c>
      <c r="P4116" s="1">
        <v>0</v>
      </c>
      <c r="Q4116" s="1">
        <v>0.2</v>
      </c>
      <c r="R4116" s="1">
        <v>0</v>
      </c>
      <c r="X4116" s="1"/>
      <c r="AB4116" s="1"/>
    </row>
    <row r="4117" spans="1:28" x14ac:dyDescent="0.25">
      <c r="A4117" s="22">
        <v>42468</v>
      </c>
      <c r="B4117" s="2">
        <v>0</v>
      </c>
      <c r="C4117" s="1">
        <v>0</v>
      </c>
      <c r="D4117" s="1">
        <v>0</v>
      </c>
      <c r="F4117" s="1"/>
      <c r="G4117" s="1">
        <v>5</v>
      </c>
      <c r="H4117" s="1">
        <v>0</v>
      </c>
      <c r="I4117" s="2">
        <v>0</v>
      </c>
      <c r="J4117" s="2">
        <v>0.1</v>
      </c>
      <c r="K4117" s="2">
        <v>1.6</v>
      </c>
      <c r="L4117" s="1">
        <v>0</v>
      </c>
      <c r="M4117" s="1">
        <v>0.4</v>
      </c>
      <c r="O4117" s="1">
        <v>0.7619999999999999</v>
      </c>
      <c r="P4117" s="1">
        <v>0</v>
      </c>
      <c r="Q4117" s="1">
        <v>0.1</v>
      </c>
      <c r="R4117" s="1">
        <v>0</v>
      </c>
      <c r="X4117" s="1"/>
      <c r="AB4117" s="1"/>
    </row>
    <row r="4118" spans="1:28" x14ac:dyDescent="0.25">
      <c r="A4118" s="22">
        <v>42469</v>
      </c>
      <c r="B4118" s="2">
        <v>0</v>
      </c>
      <c r="C4118" s="1">
        <v>0</v>
      </c>
      <c r="D4118" s="1">
        <v>0</v>
      </c>
      <c r="F4118" s="1"/>
      <c r="G4118" s="1">
        <v>0.9</v>
      </c>
      <c r="H4118" s="1">
        <v>0</v>
      </c>
      <c r="I4118" s="2">
        <v>0.3</v>
      </c>
      <c r="J4118" s="2">
        <v>1.8</v>
      </c>
      <c r="K4118" s="2">
        <v>3.3</v>
      </c>
      <c r="L4118" s="1">
        <v>0</v>
      </c>
      <c r="M4118" s="1">
        <v>0</v>
      </c>
      <c r="O4118" s="1">
        <v>0</v>
      </c>
      <c r="P4118" s="1">
        <v>0</v>
      </c>
      <c r="Q4118" s="1">
        <v>0.4</v>
      </c>
      <c r="R4118" s="1">
        <v>0</v>
      </c>
      <c r="X4118" s="1"/>
      <c r="AB4118" s="1"/>
    </row>
    <row r="4119" spans="1:28" x14ac:dyDescent="0.25">
      <c r="A4119" s="22">
        <v>42470</v>
      </c>
      <c r="B4119" s="2">
        <v>17.3</v>
      </c>
      <c r="C4119" s="1">
        <v>5.4</v>
      </c>
      <c r="D4119" s="1">
        <v>0</v>
      </c>
      <c r="F4119" s="1"/>
      <c r="G4119" s="1">
        <v>0</v>
      </c>
      <c r="H4119" s="1">
        <v>1.2</v>
      </c>
      <c r="I4119" s="2">
        <v>0.2</v>
      </c>
      <c r="J4119" s="2">
        <v>6.7</v>
      </c>
      <c r="K4119" s="2">
        <v>8.5</v>
      </c>
      <c r="L4119" s="1">
        <v>3.0479999999999996</v>
      </c>
      <c r="M4119" s="1">
        <v>0</v>
      </c>
      <c r="O4119" s="1">
        <v>0</v>
      </c>
      <c r="P4119" s="1">
        <v>0.5</v>
      </c>
      <c r="Q4119" s="1">
        <v>0</v>
      </c>
      <c r="R4119" s="1">
        <v>0</v>
      </c>
      <c r="X4119" s="1"/>
      <c r="AB4119" s="1"/>
    </row>
    <row r="4120" spans="1:28" x14ac:dyDescent="0.25">
      <c r="A4120" s="22">
        <v>42471</v>
      </c>
      <c r="B4120" s="2">
        <v>0</v>
      </c>
      <c r="C4120" s="1">
        <v>7.1</v>
      </c>
      <c r="D4120" s="1">
        <v>0.7</v>
      </c>
      <c r="F4120" s="1"/>
      <c r="G4120" s="1">
        <v>0</v>
      </c>
      <c r="H4120" s="1">
        <v>0</v>
      </c>
      <c r="I4120" s="2">
        <v>0</v>
      </c>
      <c r="J4120" s="2">
        <v>1.9</v>
      </c>
      <c r="K4120" s="2">
        <v>1.8</v>
      </c>
      <c r="L4120" s="1">
        <v>0</v>
      </c>
      <c r="M4120" s="1">
        <v>0</v>
      </c>
      <c r="O4120" s="1">
        <v>7.6199999999999992</v>
      </c>
      <c r="P4120" s="1">
        <v>0</v>
      </c>
      <c r="Q4120" s="1">
        <v>0</v>
      </c>
      <c r="R4120" s="1">
        <v>0</v>
      </c>
      <c r="X4120" s="1"/>
      <c r="AB4120" s="1"/>
    </row>
    <row r="4121" spans="1:28" x14ac:dyDescent="0.25">
      <c r="A4121" s="22">
        <v>42472</v>
      </c>
      <c r="B4121" s="2">
        <v>0.2</v>
      </c>
      <c r="C4121" s="1">
        <v>3</v>
      </c>
      <c r="D4121" s="1">
        <v>0</v>
      </c>
      <c r="F4121" s="1"/>
      <c r="G4121" s="1">
        <v>0</v>
      </c>
      <c r="H4121" s="1">
        <v>0</v>
      </c>
      <c r="I4121" s="2">
        <v>0</v>
      </c>
      <c r="J4121" s="30" t="s">
        <v>9</v>
      </c>
      <c r="K4121" s="2">
        <v>0</v>
      </c>
      <c r="L4121" s="1">
        <v>0</v>
      </c>
      <c r="M4121" s="1">
        <v>0</v>
      </c>
      <c r="O4121" s="1">
        <v>0.50800000000000001</v>
      </c>
      <c r="P4121" s="1">
        <v>0</v>
      </c>
      <c r="Q4121" s="1">
        <v>0</v>
      </c>
      <c r="R4121" s="1">
        <v>0</v>
      </c>
      <c r="X4121" s="1"/>
      <c r="AB4121" s="1"/>
    </row>
    <row r="4122" spans="1:28" x14ac:dyDescent="0.25">
      <c r="A4122" s="22">
        <v>42473</v>
      </c>
      <c r="B4122" s="2">
        <v>0</v>
      </c>
      <c r="C4122" s="1">
        <v>0</v>
      </c>
      <c r="D4122" s="1">
        <v>0</v>
      </c>
      <c r="F4122" s="1"/>
      <c r="G4122" s="2">
        <v>0</v>
      </c>
      <c r="H4122" s="1">
        <v>0</v>
      </c>
      <c r="I4122" s="2">
        <v>0</v>
      </c>
      <c r="J4122" s="30" t="s">
        <v>9</v>
      </c>
      <c r="K4122" s="2">
        <v>0</v>
      </c>
      <c r="L4122" s="1">
        <v>0</v>
      </c>
      <c r="M4122" s="1">
        <v>0</v>
      </c>
      <c r="O4122" s="1">
        <v>0</v>
      </c>
      <c r="P4122" s="1">
        <v>0</v>
      </c>
      <c r="Q4122" s="1">
        <v>0</v>
      </c>
      <c r="R4122" s="1">
        <v>0</v>
      </c>
      <c r="X4122" s="1"/>
      <c r="AB4122" s="1"/>
    </row>
    <row r="4123" spans="1:28" x14ac:dyDescent="0.25">
      <c r="A4123" s="22">
        <v>42474</v>
      </c>
      <c r="B4123" s="2">
        <v>14.4</v>
      </c>
      <c r="C4123" s="1">
        <v>0</v>
      </c>
      <c r="D4123" s="1">
        <v>0</v>
      </c>
      <c r="F4123" s="1"/>
      <c r="G4123" s="2">
        <v>0</v>
      </c>
      <c r="H4123" s="1">
        <v>0</v>
      </c>
      <c r="I4123" s="2">
        <v>0</v>
      </c>
      <c r="J4123" s="30" t="s">
        <v>9</v>
      </c>
      <c r="K4123" s="2">
        <v>0</v>
      </c>
      <c r="L4123" s="1">
        <v>0</v>
      </c>
      <c r="M4123" s="1">
        <v>0</v>
      </c>
      <c r="O4123" s="1">
        <v>0</v>
      </c>
      <c r="P4123" s="1">
        <v>0</v>
      </c>
      <c r="Q4123" s="1">
        <v>0</v>
      </c>
      <c r="R4123" s="1">
        <v>0</v>
      </c>
      <c r="X4123" s="1"/>
      <c r="AB4123" s="1"/>
    </row>
    <row r="4124" spans="1:28" x14ac:dyDescent="0.25">
      <c r="A4124" s="22">
        <v>42475</v>
      </c>
      <c r="B4124" s="2">
        <v>0</v>
      </c>
      <c r="C4124" s="1">
        <v>0</v>
      </c>
      <c r="D4124" s="1">
        <v>0</v>
      </c>
      <c r="F4124" s="1"/>
      <c r="G4124" s="2">
        <v>1.3</v>
      </c>
      <c r="H4124" s="1">
        <v>0</v>
      </c>
      <c r="I4124" s="2">
        <v>0</v>
      </c>
      <c r="J4124" s="30" t="s">
        <v>9</v>
      </c>
      <c r="K4124" s="2">
        <v>0</v>
      </c>
      <c r="L4124" s="1">
        <v>0</v>
      </c>
      <c r="M4124" s="1">
        <v>0</v>
      </c>
      <c r="O4124" s="1">
        <v>0</v>
      </c>
      <c r="P4124" s="1">
        <v>0</v>
      </c>
      <c r="Q4124" s="1">
        <v>0</v>
      </c>
      <c r="R4124" s="1">
        <v>0</v>
      </c>
      <c r="X4124" s="1"/>
      <c r="AB4124" s="1"/>
    </row>
    <row r="4125" spans="1:28" x14ac:dyDescent="0.25">
      <c r="A4125" s="22">
        <v>42476</v>
      </c>
      <c r="B4125" s="2">
        <v>11.8</v>
      </c>
      <c r="C4125" s="1">
        <v>0</v>
      </c>
      <c r="D4125" s="1">
        <v>0</v>
      </c>
      <c r="F4125" s="1"/>
      <c r="G4125" s="2">
        <v>0</v>
      </c>
      <c r="H4125" s="1">
        <v>0</v>
      </c>
      <c r="I4125" s="1">
        <v>0</v>
      </c>
      <c r="J4125" s="30" t="s">
        <v>9</v>
      </c>
      <c r="K4125" s="2">
        <v>0</v>
      </c>
      <c r="L4125" s="1">
        <v>0</v>
      </c>
      <c r="M4125" s="1">
        <v>0</v>
      </c>
      <c r="O4125" s="1">
        <v>0</v>
      </c>
      <c r="P4125" s="1">
        <v>0</v>
      </c>
      <c r="Q4125" s="1">
        <v>0</v>
      </c>
      <c r="R4125" s="1">
        <v>0</v>
      </c>
      <c r="X4125" s="1"/>
      <c r="AB4125" s="1"/>
    </row>
    <row r="4126" spans="1:28" x14ac:dyDescent="0.25">
      <c r="A4126" s="22">
        <v>42477</v>
      </c>
      <c r="B4126" s="2">
        <v>0</v>
      </c>
      <c r="C4126" s="1">
        <v>0</v>
      </c>
      <c r="D4126" s="1">
        <v>0</v>
      </c>
      <c r="F4126" s="1"/>
      <c r="G4126" s="1">
        <v>0</v>
      </c>
      <c r="H4126" s="1">
        <v>0</v>
      </c>
      <c r="I4126" s="2">
        <v>0</v>
      </c>
      <c r="J4126" s="2">
        <v>0.9</v>
      </c>
      <c r="K4126" s="2">
        <v>0</v>
      </c>
      <c r="L4126" s="1">
        <v>0</v>
      </c>
      <c r="M4126" s="1">
        <v>0</v>
      </c>
      <c r="O4126" s="1">
        <v>0</v>
      </c>
      <c r="P4126" s="1">
        <v>0</v>
      </c>
      <c r="Q4126" s="1">
        <v>0</v>
      </c>
      <c r="R4126" s="1">
        <v>0</v>
      </c>
      <c r="X4126" s="1"/>
      <c r="AB4126" s="1"/>
    </row>
    <row r="4127" spans="1:28" x14ac:dyDescent="0.25">
      <c r="A4127" s="22">
        <v>42478</v>
      </c>
      <c r="B4127" s="2">
        <v>10.3</v>
      </c>
      <c r="C4127" s="1">
        <v>0</v>
      </c>
      <c r="D4127" s="2">
        <v>0</v>
      </c>
      <c r="F4127" s="1"/>
      <c r="G4127" s="1">
        <v>0</v>
      </c>
      <c r="H4127" s="1">
        <v>0</v>
      </c>
      <c r="I4127" s="2">
        <v>0</v>
      </c>
      <c r="J4127" s="1">
        <v>0</v>
      </c>
      <c r="K4127" s="1">
        <v>0</v>
      </c>
      <c r="L4127" s="1">
        <v>0</v>
      </c>
      <c r="M4127" s="1">
        <v>0</v>
      </c>
      <c r="O4127" s="1">
        <v>0</v>
      </c>
      <c r="P4127" s="1">
        <v>0</v>
      </c>
      <c r="Q4127" s="1">
        <v>0</v>
      </c>
      <c r="R4127" s="1">
        <v>0</v>
      </c>
      <c r="X4127" s="1"/>
      <c r="AB4127" s="1"/>
    </row>
    <row r="4128" spans="1:28" x14ac:dyDescent="0.25">
      <c r="A4128" s="22">
        <v>42479</v>
      </c>
      <c r="B4128" s="2">
        <v>20.9</v>
      </c>
      <c r="C4128" s="1">
        <v>0</v>
      </c>
      <c r="D4128" s="1">
        <v>21.5</v>
      </c>
      <c r="F4128" s="1"/>
      <c r="G4128" s="1">
        <v>0</v>
      </c>
      <c r="H4128" s="1">
        <v>0</v>
      </c>
      <c r="I4128" s="2">
        <v>0</v>
      </c>
      <c r="J4128" s="1">
        <v>0</v>
      </c>
      <c r="K4128" s="2">
        <v>0</v>
      </c>
      <c r="L4128" s="1">
        <v>0</v>
      </c>
      <c r="M4128" s="1">
        <v>0</v>
      </c>
      <c r="O4128" s="1">
        <v>0</v>
      </c>
      <c r="P4128" s="1">
        <v>0</v>
      </c>
      <c r="Q4128" s="1">
        <v>0</v>
      </c>
      <c r="R4128" s="1">
        <v>0</v>
      </c>
      <c r="X4128" s="1"/>
      <c r="AB4128" s="1"/>
    </row>
    <row r="4129" spans="1:28" x14ac:dyDescent="0.25">
      <c r="A4129" s="22">
        <v>42480</v>
      </c>
      <c r="B4129" s="2">
        <v>0</v>
      </c>
      <c r="C4129" s="1">
        <v>0</v>
      </c>
      <c r="D4129" s="1">
        <v>0</v>
      </c>
      <c r="F4129" s="1"/>
      <c r="G4129" s="1">
        <v>0</v>
      </c>
      <c r="H4129" s="1">
        <v>0</v>
      </c>
      <c r="I4129" s="2">
        <v>0</v>
      </c>
      <c r="J4129" s="2">
        <v>0</v>
      </c>
      <c r="K4129" s="1">
        <v>0</v>
      </c>
      <c r="L4129" s="1">
        <v>0</v>
      </c>
      <c r="M4129" s="1">
        <v>0</v>
      </c>
      <c r="O4129" s="1">
        <v>0</v>
      </c>
      <c r="P4129" s="1">
        <v>0</v>
      </c>
      <c r="Q4129" s="1">
        <v>0</v>
      </c>
      <c r="R4129" s="1">
        <v>0</v>
      </c>
      <c r="X4129" s="1"/>
      <c r="AB4129" s="1"/>
    </row>
    <row r="4130" spans="1:28" x14ac:dyDescent="0.25">
      <c r="A4130" s="22">
        <v>42481</v>
      </c>
      <c r="B4130" s="2">
        <v>0</v>
      </c>
      <c r="C4130" s="1">
        <v>0</v>
      </c>
      <c r="D4130" s="1">
        <v>5</v>
      </c>
      <c r="F4130" s="1"/>
      <c r="G4130" s="1">
        <v>0</v>
      </c>
      <c r="H4130" s="1">
        <v>0</v>
      </c>
      <c r="I4130" s="2">
        <v>0</v>
      </c>
      <c r="J4130" s="1">
        <v>0</v>
      </c>
      <c r="K4130" s="1">
        <v>0</v>
      </c>
      <c r="L4130" s="1">
        <v>0</v>
      </c>
      <c r="M4130" s="1">
        <v>0</v>
      </c>
      <c r="O4130" s="1">
        <v>0.50800000000000001</v>
      </c>
      <c r="P4130" s="1">
        <v>0</v>
      </c>
      <c r="Q4130" s="1">
        <v>0</v>
      </c>
      <c r="R4130" s="1">
        <v>0</v>
      </c>
      <c r="X4130" s="1"/>
      <c r="AB4130" s="1"/>
    </row>
    <row r="4131" spans="1:28" x14ac:dyDescent="0.25">
      <c r="A4131" s="22">
        <v>42482</v>
      </c>
      <c r="B4131" s="2">
        <v>7.1</v>
      </c>
      <c r="C4131" s="1">
        <v>0</v>
      </c>
      <c r="D4131" s="2">
        <v>0</v>
      </c>
      <c r="F4131" s="1"/>
      <c r="G4131" s="1">
        <v>0</v>
      </c>
      <c r="H4131" s="1">
        <v>0</v>
      </c>
      <c r="I4131" s="2">
        <v>0</v>
      </c>
      <c r="J4131" s="1">
        <v>0</v>
      </c>
      <c r="K4131" s="1">
        <v>1</v>
      </c>
      <c r="L4131" s="1">
        <v>0</v>
      </c>
      <c r="M4131" s="1">
        <v>0</v>
      </c>
      <c r="O4131" s="1">
        <v>0.7619999999999999</v>
      </c>
      <c r="P4131" s="1">
        <v>0</v>
      </c>
      <c r="Q4131" s="1">
        <v>0</v>
      </c>
      <c r="R4131" s="1">
        <v>0</v>
      </c>
      <c r="X4131" s="1"/>
      <c r="AB4131" s="1"/>
    </row>
    <row r="4132" spans="1:28" x14ac:dyDescent="0.25">
      <c r="A4132" s="22">
        <v>42483</v>
      </c>
      <c r="B4132" s="2">
        <v>0</v>
      </c>
      <c r="C4132" s="1">
        <v>0</v>
      </c>
      <c r="D4132" s="2">
        <v>13</v>
      </c>
      <c r="F4132" s="1"/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O4132" s="1">
        <v>0</v>
      </c>
      <c r="P4132" s="1">
        <v>0</v>
      </c>
      <c r="Q4132" s="1">
        <v>0</v>
      </c>
      <c r="R4132" s="1">
        <v>0</v>
      </c>
      <c r="X4132" s="1"/>
      <c r="AB4132" s="1"/>
    </row>
    <row r="4133" spans="1:28" x14ac:dyDescent="0.25">
      <c r="A4133" s="22">
        <v>42484</v>
      </c>
      <c r="B4133" s="2">
        <v>0</v>
      </c>
      <c r="C4133" s="1">
        <v>0</v>
      </c>
      <c r="D4133" s="2">
        <v>0</v>
      </c>
      <c r="F4133" s="1"/>
      <c r="G4133" s="1">
        <v>0</v>
      </c>
      <c r="H4133" s="1">
        <v>0</v>
      </c>
      <c r="I4133" s="2">
        <v>0</v>
      </c>
      <c r="J4133" s="1">
        <v>0</v>
      </c>
      <c r="K4133" s="2">
        <v>0</v>
      </c>
      <c r="L4133" s="1">
        <v>0</v>
      </c>
      <c r="M4133" s="1">
        <v>0</v>
      </c>
      <c r="O4133" s="1">
        <v>0</v>
      </c>
      <c r="P4133" s="1">
        <v>0</v>
      </c>
      <c r="Q4133" s="1">
        <v>0</v>
      </c>
      <c r="R4133" s="1">
        <v>0</v>
      </c>
      <c r="X4133" s="1"/>
      <c r="AB4133" s="1"/>
    </row>
    <row r="4134" spans="1:28" x14ac:dyDescent="0.25">
      <c r="A4134" s="22">
        <v>42485</v>
      </c>
      <c r="B4134" s="2">
        <v>9.3000000000000007</v>
      </c>
      <c r="C4134" s="1">
        <v>0</v>
      </c>
      <c r="D4134" s="2">
        <v>2.2000000000000002</v>
      </c>
      <c r="F4134" s="1"/>
      <c r="G4134" s="1">
        <v>0</v>
      </c>
      <c r="H4134" s="1">
        <v>0</v>
      </c>
      <c r="I4134" s="1">
        <v>0</v>
      </c>
      <c r="J4134" s="2">
        <v>0</v>
      </c>
      <c r="K4134" s="2">
        <v>0</v>
      </c>
      <c r="L4134" s="1">
        <v>0</v>
      </c>
      <c r="M4134" s="1">
        <v>0</v>
      </c>
      <c r="O4134" s="1">
        <v>2.032</v>
      </c>
      <c r="P4134" s="1">
        <v>0</v>
      </c>
      <c r="Q4134" s="1">
        <v>0.1</v>
      </c>
      <c r="R4134" s="1">
        <v>0</v>
      </c>
      <c r="X4134" s="1"/>
      <c r="AB4134" s="1"/>
    </row>
    <row r="4135" spans="1:28" x14ac:dyDescent="0.25">
      <c r="A4135" s="22">
        <v>42486</v>
      </c>
      <c r="B4135" s="2">
        <v>10.4</v>
      </c>
      <c r="C4135" s="1">
        <v>0.9</v>
      </c>
      <c r="D4135" s="1">
        <v>3.1</v>
      </c>
      <c r="F4135" s="1"/>
      <c r="G4135" s="1">
        <v>0</v>
      </c>
      <c r="H4135" s="1">
        <v>0</v>
      </c>
      <c r="I4135" s="1">
        <v>0</v>
      </c>
      <c r="J4135" s="1">
        <v>0</v>
      </c>
      <c r="K4135" s="2">
        <v>0</v>
      </c>
      <c r="L4135" s="1">
        <v>0</v>
      </c>
      <c r="M4135" s="1">
        <v>0</v>
      </c>
      <c r="O4135" s="1">
        <v>0.50800000000000001</v>
      </c>
      <c r="P4135" s="1">
        <v>0</v>
      </c>
      <c r="Q4135" s="1">
        <v>0.7</v>
      </c>
      <c r="R4135" s="1">
        <v>0</v>
      </c>
      <c r="X4135" s="1"/>
      <c r="AB4135" s="1"/>
    </row>
    <row r="4136" spans="1:28" x14ac:dyDescent="0.25">
      <c r="A4136" s="22">
        <v>42487</v>
      </c>
      <c r="B4136" s="2">
        <v>2.2999999999999998</v>
      </c>
      <c r="C4136" s="1">
        <v>0.6</v>
      </c>
      <c r="D4136" s="1">
        <v>0.8</v>
      </c>
      <c r="F4136" s="1"/>
      <c r="G4136" s="1">
        <v>0</v>
      </c>
      <c r="H4136" s="1">
        <v>0</v>
      </c>
      <c r="I4136" s="1">
        <v>0</v>
      </c>
      <c r="J4136" s="2">
        <v>0.6</v>
      </c>
      <c r="K4136" s="1">
        <v>0</v>
      </c>
      <c r="L4136" s="1">
        <v>0.7619999999999999</v>
      </c>
      <c r="M4136" s="1">
        <v>0</v>
      </c>
      <c r="O4136" s="1">
        <v>3.8099999999999996</v>
      </c>
      <c r="P4136" s="1">
        <v>1</v>
      </c>
      <c r="Q4136" s="1">
        <v>0</v>
      </c>
      <c r="R4136" s="1">
        <v>0</v>
      </c>
      <c r="X4136" s="1"/>
      <c r="AB4136" s="1"/>
    </row>
    <row r="4137" spans="1:28" x14ac:dyDescent="0.25">
      <c r="A4137" s="22">
        <v>42488</v>
      </c>
      <c r="B4137" s="2">
        <v>15.6</v>
      </c>
      <c r="C4137" s="1">
        <v>3.5</v>
      </c>
      <c r="D4137" s="1">
        <v>0</v>
      </c>
      <c r="F4137" s="1"/>
      <c r="G4137" s="1">
        <v>1</v>
      </c>
      <c r="H4137" s="1">
        <v>0</v>
      </c>
      <c r="I4137" s="2">
        <v>0</v>
      </c>
      <c r="J4137" s="1">
        <v>0</v>
      </c>
      <c r="K4137" s="1">
        <v>0.6</v>
      </c>
      <c r="L4137" s="1">
        <v>0</v>
      </c>
      <c r="M4137" s="1">
        <v>1.3</v>
      </c>
      <c r="O4137" s="1">
        <v>2.2859999999999996</v>
      </c>
      <c r="P4137" s="1">
        <v>0</v>
      </c>
      <c r="Q4137" s="1">
        <v>0.4</v>
      </c>
      <c r="R4137" s="1">
        <v>0</v>
      </c>
      <c r="X4137" s="1"/>
      <c r="AB4137" s="1"/>
    </row>
    <row r="4138" spans="1:28" x14ac:dyDescent="0.25">
      <c r="A4138" s="22">
        <v>42489</v>
      </c>
      <c r="B4138" s="2">
        <v>7.9</v>
      </c>
      <c r="C4138" s="1">
        <v>0</v>
      </c>
      <c r="D4138" s="1">
        <v>4</v>
      </c>
      <c r="F4138" s="1"/>
      <c r="G4138" s="1">
        <v>10.1</v>
      </c>
      <c r="H4138" s="1">
        <v>0</v>
      </c>
      <c r="I4138" s="2">
        <v>0.5</v>
      </c>
      <c r="J4138" s="1">
        <v>5.9</v>
      </c>
      <c r="K4138" s="1">
        <v>12.2</v>
      </c>
      <c r="L4138" s="1">
        <v>0</v>
      </c>
      <c r="M4138" s="1">
        <v>0</v>
      </c>
      <c r="O4138" s="1">
        <v>1.27</v>
      </c>
      <c r="P4138" s="1">
        <v>0</v>
      </c>
      <c r="Q4138" s="1">
        <v>0</v>
      </c>
      <c r="R4138" s="1">
        <v>0</v>
      </c>
      <c r="X4138" s="1"/>
      <c r="AB4138" s="1"/>
    </row>
    <row r="4139" spans="1:28" x14ac:dyDescent="0.25">
      <c r="A4139" s="22">
        <v>42490</v>
      </c>
      <c r="B4139" s="2">
        <v>4.0999999999999996</v>
      </c>
      <c r="C4139" s="1">
        <v>4.8</v>
      </c>
      <c r="D4139" s="1">
        <v>1.2</v>
      </c>
      <c r="F4139" s="1"/>
      <c r="G4139" s="1">
        <v>57.5</v>
      </c>
      <c r="H4139" s="1">
        <v>0</v>
      </c>
      <c r="I4139" s="2">
        <v>0</v>
      </c>
      <c r="J4139" s="1">
        <v>0</v>
      </c>
      <c r="K4139" s="1">
        <v>0</v>
      </c>
      <c r="L4139" s="1">
        <v>0</v>
      </c>
      <c r="M4139" s="1">
        <v>0</v>
      </c>
      <c r="O4139" s="1">
        <v>0</v>
      </c>
      <c r="P4139" s="1">
        <v>0</v>
      </c>
      <c r="Q4139" s="1">
        <v>41.5</v>
      </c>
      <c r="R4139" s="1">
        <v>40.299999999999997</v>
      </c>
      <c r="X4139" s="1"/>
      <c r="AB4139" s="1"/>
    </row>
    <row r="4140" spans="1:28" x14ac:dyDescent="0.25">
      <c r="A4140" s="22">
        <v>42491</v>
      </c>
      <c r="B4140" s="2"/>
      <c r="C4140" s="1">
        <v>60</v>
      </c>
      <c r="D4140" s="1">
        <v>70.5</v>
      </c>
      <c r="F4140" s="1">
        <v>73.7</v>
      </c>
      <c r="G4140" s="1">
        <v>1.9</v>
      </c>
      <c r="H4140" s="1">
        <v>68.400000000000006</v>
      </c>
      <c r="I4140" s="2">
        <v>18.7</v>
      </c>
      <c r="J4140" s="1">
        <v>67</v>
      </c>
      <c r="K4140" s="2">
        <v>1.3</v>
      </c>
      <c r="L4140" s="1">
        <v>34.798000000000002</v>
      </c>
      <c r="M4140" s="1">
        <v>66.900000000000006</v>
      </c>
      <c r="O4140" s="1">
        <v>62.991999999999997</v>
      </c>
      <c r="P4140" s="1">
        <v>45.2</v>
      </c>
      <c r="Q4140" s="1">
        <v>1.2</v>
      </c>
      <c r="R4140" s="1">
        <v>0</v>
      </c>
      <c r="X4140" s="1"/>
      <c r="AB4140" s="1"/>
    </row>
    <row r="4141" spans="1:28" x14ac:dyDescent="0.25">
      <c r="A4141" s="22">
        <v>42492</v>
      </c>
      <c r="B4141" s="2"/>
      <c r="C4141" s="1">
        <v>20.2</v>
      </c>
      <c r="D4141" s="1">
        <v>5.5</v>
      </c>
      <c r="F4141" s="1">
        <v>0</v>
      </c>
      <c r="G4141" s="1">
        <v>7.6</v>
      </c>
      <c r="H4141" s="1">
        <v>1.6</v>
      </c>
      <c r="I4141" s="2">
        <v>2.5</v>
      </c>
      <c r="J4141" s="2">
        <v>0.1</v>
      </c>
      <c r="K4141" s="2">
        <v>2.7</v>
      </c>
      <c r="L4141" s="1">
        <v>1.27</v>
      </c>
      <c r="M4141" s="1">
        <v>1.6</v>
      </c>
      <c r="O4141" s="1">
        <v>0</v>
      </c>
      <c r="P4141" s="1">
        <v>1.1000000000000001</v>
      </c>
      <c r="Q4141" s="1">
        <v>1.2</v>
      </c>
      <c r="R4141" s="1">
        <v>0.9</v>
      </c>
      <c r="X4141" s="1"/>
      <c r="AB4141" s="1"/>
    </row>
    <row r="4142" spans="1:28" x14ac:dyDescent="0.25">
      <c r="A4142" s="22">
        <v>42493</v>
      </c>
      <c r="B4142" s="2"/>
      <c r="C4142" s="1">
        <v>2</v>
      </c>
      <c r="D4142" s="1">
        <v>5.7</v>
      </c>
      <c r="F4142" s="1">
        <v>0</v>
      </c>
      <c r="G4142" s="1">
        <v>20.2</v>
      </c>
      <c r="H4142" s="1">
        <v>2.8</v>
      </c>
      <c r="I4142" s="2">
        <v>7.5</v>
      </c>
      <c r="J4142" s="2">
        <v>3.9</v>
      </c>
      <c r="K4142" s="2">
        <v>14.9</v>
      </c>
      <c r="L4142" s="1">
        <v>0.7619999999999999</v>
      </c>
      <c r="M4142" s="1">
        <v>5.2</v>
      </c>
      <c r="O4142" s="1">
        <v>2.2859999999999996</v>
      </c>
      <c r="P4142" s="1">
        <v>0</v>
      </c>
      <c r="Q4142" s="1">
        <v>13.8</v>
      </c>
      <c r="R4142" s="1">
        <v>8.4</v>
      </c>
      <c r="X4142" s="1"/>
      <c r="AB4142" s="1"/>
    </row>
    <row r="4143" spans="1:28" x14ac:dyDescent="0.25">
      <c r="A4143" s="22">
        <v>42494</v>
      </c>
      <c r="B4143" s="2"/>
      <c r="C4143" s="1">
        <v>2</v>
      </c>
      <c r="D4143" s="1">
        <v>11.3</v>
      </c>
      <c r="F4143" s="1">
        <v>16.399999999999999</v>
      </c>
      <c r="G4143" s="1">
        <v>1.2</v>
      </c>
      <c r="H4143" s="1">
        <v>10</v>
      </c>
      <c r="I4143" s="2">
        <v>16.5</v>
      </c>
      <c r="J4143" s="1">
        <v>20.5</v>
      </c>
      <c r="K4143" s="2">
        <v>2.6</v>
      </c>
      <c r="L4143" s="1">
        <v>18.033999999999999</v>
      </c>
      <c r="M4143" s="1">
        <v>18.600000000000001</v>
      </c>
      <c r="O4143" s="1">
        <v>10.667999999999999</v>
      </c>
      <c r="P4143" s="1">
        <v>0</v>
      </c>
      <c r="Q4143" s="1">
        <v>1.9</v>
      </c>
      <c r="R4143" s="1">
        <v>1.2</v>
      </c>
      <c r="X4143" s="1"/>
      <c r="AB4143" s="1"/>
    </row>
    <row r="4144" spans="1:28" x14ac:dyDescent="0.25">
      <c r="A4144" s="22">
        <v>42495</v>
      </c>
      <c r="B4144" s="2"/>
      <c r="C4144" s="1">
        <v>1.3</v>
      </c>
      <c r="D4144" s="2">
        <v>3</v>
      </c>
      <c r="F4144" s="2">
        <v>0</v>
      </c>
      <c r="G4144" s="1">
        <v>1.4</v>
      </c>
      <c r="H4144" s="1">
        <v>3.4</v>
      </c>
      <c r="I4144" s="2">
        <v>3.9</v>
      </c>
      <c r="J4144" s="2">
        <v>2.2000000000000002</v>
      </c>
      <c r="K4144" s="2">
        <v>0</v>
      </c>
      <c r="L4144" s="1">
        <v>0</v>
      </c>
      <c r="M4144" s="1">
        <v>1.4</v>
      </c>
      <c r="O4144" s="1">
        <v>2.032</v>
      </c>
      <c r="P4144" s="1">
        <v>1.4</v>
      </c>
      <c r="Q4144" s="1">
        <v>0</v>
      </c>
      <c r="R4144" s="1">
        <v>0</v>
      </c>
      <c r="X4144" s="1"/>
      <c r="AB4144" s="1"/>
    </row>
    <row r="4145" spans="1:28" x14ac:dyDescent="0.25">
      <c r="A4145" s="22">
        <v>42496</v>
      </c>
      <c r="B4145" s="2"/>
      <c r="C4145" s="1">
        <v>0</v>
      </c>
      <c r="D4145" s="2">
        <v>0</v>
      </c>
      <c r="F4145" s="2">
        <v>1</v>
      </c>
      <c r="G4145" s="1">
        <v>2.1</v>
      </c>
      <c r="H4145" s="1">
        <v>0</v>
      </c>
      <c r="I4145" s="2">
        <v>0</v>
      </c>
      <c r="J4145" s="30" t="s">
        <v>9</v>
      </c>
      <c r="K4145" s="2">
        <v>0</v>
      </c>
      <c r="L4145" s="1">
        <v>0</v>
      </c>
      <c r="M4145" s="1">
        <v>0</v>
      </c>
      <c r="O4145" s="1">
        <v>0</v>
      </c>
      <c r="P4145" s="1">
        <v>0</v>
      </c>
      <c r="Q4145" s="1">
        <v>0.6</v>
      </c>
      <c r="R4145" s="1">
        <v>0</v>
      </c>
      <c r="X4145" s="1"/>
      <c r="AB4145" s="1"/>
    </row>
    <row r="4146" spans="1:28" x14ac:dyDescent="0.25">
      <c r="A4146" s="22">
        <v>42497</v>
      </c>
      <c r="B4146" s="2"/>
      <c r="C4146" s="1">
        <v>0</v>
      </c>
      <c r="D4146" s="2">
        <v>0</v>
      </c>
      <c r="F4146" s="2">
        <v>0</v>
      </c>
      <c r="G4146" s="1">
        <v>2.6</v>
      </c>
      <c r="H4146" s="1">
        <v>0</v>
      </c>
      <c r="I4146" s="1">
        <v>0</v>
      </c>
      <c r="J4146" s="30" t="s">
        <v>9</v>
      </c>
      <c r="K4146" s="2">
        <v>0</v>
      </c>
      <c r="L4146" s="1">
        <v>0</v>
      </c>
      <c r="M4146" s="1">
        <v>0</v>
      </c>
      <c r="O4146" s="1">
        <v>0</v>
      </c>
      <c r="P4146" s="1">
        <v>0</v>
      </c>
      <c r="Q4146" s="1">
        <v>0</v>
      </c>
      <c r="R4146" s="1">
        <v>0</v>
      </c>
      <c r="X4146" s="1"/>
      <c r="AB4146" s="1"/>
    </row>
    <row r="4147" spans="1:28" x14ac:dyDescent="0.25">
      <c r="A4147" s="22">
        <v>42498</v>
      </c>
      <c r="B4147" s="2"/>
      <c r="C4147" s="1">
        <v>0</v>
      </c>
      <c r="D4147" s="1">
        <v>0</v>
      </c>
      <c r="F4147" s="1">
        <v>0</v>
      </c>
      <c r="G4147" s="1">
        <v>6.1</v>
      </c>
      <c r="H4147" s="1">
        <v>0</v>
      </c>
      <c r="I4147" s="2">
        <v>1.3</v>
      </c>
      <c r="J4147" s="2">
        <v>3</v>
      </c>
      <c r="K4147" s="2">
        <v>0</v>
      </c>
      <c r="L4147" s="1">
        <v>0</v>
      </c>
      <c r="M4147" s="1">
        <v>4.2</v>
      </c>
      <c r="O4147" s="1">
        <v>0</v>
      </c>
      <c r="P4147" s="1">
        <v>0.5</v>
      </c>
      <c r="Q4147" s="1">
        <v>3.5</v>
      </c>
      <c r="R4147" s="1">
        <v>1.9</v>
      </c>
      <c r="X4147" s="1"/>
      <c r="AB4147" s="1"/>
    </row>
    <row r="4148" spans="1:28" x14ac:dyDescent="0.25">
      <c r="A4148" s="22">
        <v>42499</v>
      </c>
      <c r="B4148" s="2"/>
      <c r="C4148" s="1">
        <v>7.1</v>
      </c>
      <c r="D4148" s="1">
        <v>14.8</v>
      </c>
      <c r="F4148" s="1">
        <v>0</v>
      </c>
      <c r="G4148" s="1">
        <v>14.2</v>
      </c>
      <c r="H4148" s="1">
        <v>4.8</v>
      </c>
      <c r="I4148" s="2">
        <v>5.6</v>
      </c>
      <c r="J4148" s="2">
        <v>4.0999999999999996</v>
      </c>
      <c r="K4148" s="2">
        <v>6.6</v>
      </c>
      <c r="L4148" s="1">
        <v>18.033999999999999</v>
      </c>
      <c r="M4148" s="1">
        <v>5.7</v>
      </c>
      <c r="O4148" s="1">
        <v>9.3979999999999997</v>
      </c>
      <c r="P4148" s="1">
        <v>5.4</v>
      </c>
      <c r="Q4148" s="1">
        <v>5.0999999999999996</v>
      </c>
      <c r="R4148" s="1">
        <v>3.2</v>
      </c>
      <c r="X4148" s="1"/>
      <c r="AB4148" s="1"/>
    </row>
    <row r="4149" spans="1:28" x14ac:dyDescent="0.25">
      <c r="A4149" s="22">
        <v>42500</v>
      </c>
      <c r="B4149" s="2"/>
      <c r="C4149" s="1">
        <v>2.7</v>
      </c>
      <c r="D4149" s="1">
        <v>6.2</v>
      </c>
      <c r="F4149" s="1">
        <v>11.1</v>
      </c>
      <c r="G4149" s="1">
        <v>37.5</v>
      </c>
      <c r="H4149" s="1">
        <v>4.8</v>
      </c>
      <c r="I4149" s="2">
        <v>9.3000000000000007</v>
      </c>
      <c r="J4149" s="2">
        <v>2.2000000000000002</v>
      </c>
      <c r="K4149" s="2">
        <v>19.8</v>
      </c>
      <c r="L4149" s="1">
        <v>2.794</v>
      </c>
      <c r="M4149" s="1">
        <v>10.3</v>
      </c>
      <c r="O4149" s="1">
        <v>1.5239999999999998</v>
      </c>
      <c r="P4149" s="1">
        <v>0</v>
      </c>
      <c r="Q4149" s="1">
        <v>2.2000000000000002</v>
      </c>
      <c r="R4149" s="1">
        <v>0.2</v>
      </c>
      <c r="X4149" s="1"/>
      <c r="AB4149" s="1"/>
    </row>
    <row r="4150" spans="1:28" x14ac:dyDescent="0.25">
      <c r="A4150" s="22">
        <v>42501</v>
      </c>
      <c r="B4150" s="2"/>
      <c r="C4150" s="1">
        <v>9.3000000000000007</v>
      </c>
      <c r="D4150" s="1">
        <v>6.4</v>
      </c>
      <c r="F4150" s="1">
        <v>16.899999999999999</v>
      </c>
      <c r="G4150" s="1">
        <v>0.7</v>
      </c>
      <c r="H4150" s="1">
        <v>13</v>
      </c>
      <c r="I4150" s="2">
        <v>17</v>
      </c>
      <c r="J4150" s="2">
        <v>27.2</v>
      </c>
      <c r="K4150" s="2">
        <v>1.6</v>
      </c>
      <c r="L4150" s="1">
        <v>0.254</v>
      </c>
      <c r="M4150" s="1">
        <v>35.799999999999997</v>
      </c>
      <c r="O4150" s="1">
        <v>4.5719999999999992</v>
      </c>
      <c r="P4150" s="1">
        <v>0</v>
      </c>
      <c r="Q4150" s="1">
        <v>0</v>
      </c>
      <c r="R4150" s="1">
        <v>0</v>
      </c>
      <c r="X4150" s="1"/>
      <c r="AB4150" s="1"/>
    </row>
    <row r="4151" spans="1:28" x14ac:dyDescent="0.25">
      <c r="A4151" s="22">
        <v>42502</v>
      </c>
      <c r="B4151" s="2"/>
      <c r="C4151" s="1">
        <v>0</v>
      </c>
      <c r="D4151" s="1">
        <v>0</v>
      </c>
      <c r="F4151" s="1">
        <v>0</v>
      </c>
      <c r="G4151" s="1">
        <v>1.3</v>
      </c>
      <c r="H4151" s="1">
        <v>0.6</v>
      </c>
      <c r="I4151" s="2">
        <v>5.5</v>
      </c>
      <c r="J4151" s="1">
        <v>1</v>
      </c>
      <c r="K4151" s="2">
        <v>6.6</v>
      </c>
      <c r="L4151" s="1">
        <v>3.8099999999999996</v>
      </c>
      <c r="M4151" s="1">
        <v>3.4</v>
      </c>
      <c r="O4151" s="1">
        <v>0</v>
      </c>
      <c r="P4151" s="1">
        <v>1.5</v>
      </c>
      <c r="Q4151" s="1">
        <v>4.7</v>
      </c>
      <c r="R4151" s="1">
        <v>4.5</v>
      </c>
      <c r="X4151" s="1"/>
      <c r="AB4151" s="1"/>
    </row>
    <row r="4152" spans="1:28" x14ac:dyDescent="0.25">
      <c r="A4152" s="22">
        <v>42503</v>
      </c>
      <c r="B4152" s="2"/>
      <c r="C4152" s="1">
        <v>2.5</v>
      </c>
      <c r="D4152" s="1">
        <v>6.9</v>
      </c>
      <c r="F4152" s="1">
        <v>2.8</v>
      </c>
      <c r="G4152" s="2">
        <v>40.200000000000003</v>
      </c>
      <c r="H4152" s="1">
        <v>3.9</v>
      </c>
      <c r="I4152" s="2">
        <v>3.9</v>
      </c>
      <c r="J4152" s="1">
        <v>7.6</v>
      </c>
      <c r="K4152" s="2">
        <v>37.799999999999997</v>
      </c>
      <c r="L4152" s="1">
        <v>0</v>
      </c>
      <c r="M4152" s="1">
        <v>7.1</v>
      </c>
      <c r="O4152" s="1">
        <v>1.778</v>
      </c>
      <c r="P4152" s="1">
        <v>3.3</v>
      </c>
      <c r="Q4152" s="1">
        <v>20.5</v>
      </c>
      <c r="R4152" s="1">
        <v>12</v>
      </c>
      <c r="X4152" s="1"/>
      <c r="AB4152" s="1"/>
    </row>
    <row r="4153" spans="1:28" x14ac:dyDescent="0.25">
      <c r="A4153" s="22">
        <v>42504</v>
      </c>
      <c r="B4153" s="2"/>
      <c r="C4153" s="1">
        <v>29.9</v>
      </c>
      <c r="D4153" s="1">
        <v>41</v>
      </c>
      <c r="F4153" s="1">
        <v>14.7</v>
      </c>
      <c r="G4153" s="2">
        <v>12.1</v>
      </c>
      <c r="H4153" s="1">
        <v>29</v>
      </c>
      <c r="I4153" s="2">
        <v>23.6</v>
      </c>
      <c r="J4153" s="1">
        <v>41.2</v>
      </c>
      <c r="K4153" s="2">
        <v>21</v>
      </c>
      <c r="L4153" s="1">
        <v>17.272000000000002</v>
      </c>
      <c r="M4153" s="1">
        <v>36.4</v>
      </c>
      <c r="O4153" s="1">
        <v>0</v>
      </c>
      <c r="P4153" s="1">
        <v>26.4</v>
      </c>
      <c r="Q4153" s="1">
        <v>30.5</v>
      </c>
      <c r="R4153" s="1">
        <v>0</v>
      </c>
      <c r="X4153" s="1"/>
      <c r="AB4153" s="1"/>
    </row>
    <row r="4154" spans="1:28" x14ac:dyDescent="0.25">
      <c r="A4154" s="22">
        <v>42505</v>
      </c>
      <c r="B4154" s="2"/>
      <c r="C4154" s="1">
        <v>24.6</v>
      </c>
      <c r="D4154" s="1">
        <v>26</v>
      </c>
      <c r="F4154" s="1">
        <v>12.1</v>
      </c>
      <c r="G4154" s="2">
        <v>0.2</v>
      </c>
      <c r="H4154" s="1">
        <v>11.2</v>
      </c>
      <c r="I4154" s="2">
        <v>10.7</v>
      </c>
      <c r="J4154" s="2">
        <v>20.9</v>
      </c>
      <c r="K4154" s="2">
        <v>19.5</v>
      </c>
      <c r="L4154" s="1">
        <v>13.97</v>
      </c>
      <c r="M4154" s="1">
        <v>12.7</v>
      </c>
      <c r="O4154" s="1">
        <v>0</v>
      </c>
      <c r="P4154" s="1">
        <v>19.3</v>
      </c>
      <c r="Q4154" s="1">
        <v>0</v>
      </c>
      <c r="R4154" s="1">
        <v>0</v>
      </c>
      <c r="X4154" s="1"/>
      <c r="AB4154" s="1"/>
    </row>
    <row r="4155" spans="1:28" x14ac:dyDescent="0.25">
      <c r="A4155" s="22">
        <v>42506</v>
      </c>
      <c r="B4155" s="2"/>
      <c r="C4155" s="1">
        <v>0</v>
      </c>
      <c r="D4155" s="1">
        <v>0</v>
      </c>
      <c r="F4155" s="1">
        <v>0.5</v>
      </c>
      <c r="G4155" s="2">
        <v>5.7</v>
      </c>
      <c r="H4155" s="1">
        <v>0</v>
      </c>
      <c r="I4155" s="1">
        <v>0</v>
      </c>
      <c r="J4155" s="2">
        <v>0.3</v>
      </c>
      <c r="K4155" s="2">
        <v>8.9</v>
      </c>
      <c r="L4155" s="1">
        <v>0</v>
      </c>
      <c r="M4155" s="1">
        <v>0.7</v>
      </c>
      <c r="O4155" s="1">
        <v>0</v>
      </c>
      <c r="P4155" s="1">
        <v>0</v>
      </c>
      <c r="Q4155" s="1">
        <v>1.5</v>
      </c>
      <c r="R4155" s="1">
        <v>18.5</v>
      </c>
      <c r="X4155" s="1"/>
      <c r="AB4155" s="1"/>
    </row>
    <row r="4156" spans="1:28" x14ac:dyDescent="0.25">
      <c r="A4156" s="22">
        <v>42507</v>
      </c>
      <c r="B4156" s="2"/>
      <c r="C4156" s="1">
        <v>7.8</v>
      </c>
      <c r="D4156" s="1">
        <v>7.2</v>
      </c>
      <c r="F4156" s="1">
        <v>3.8</v>
      </c>
      <c r="G4156" s="1">
        <v>1.6</v>
      </c>
      <c r="H4156" s="1">
        <v>3.5</v>
      </c>
      <c r="I4156" s="2">
        <v>8.1999999999999993</v>
      </c>
      <c r="J4156" s="2">
        <v>4.3</v>
      </c>
      <c r="K4156" s="2">
        <v>13.2</v>
      </c>
      <c r="L4156" s="1">
        <v>1.5239999999999998</v>
      </c>
      <c r="M4156" s="1">
        <v>5.7</v>
      </c>
      <c r="O4156" s="1">
        <v>45.72</v>
      </c>
      <c r="P4156" s="1">
        <v>0.7</v>
      </c>
      <c r="Q4156" s="1">
        <v>3.6</v>
      </c>
      <c r="R4156" s="1">
        <v>1.5</v>
      </c>
      <c r="X4156" s="1"/>
      <c r="AB4156" s="1"/>
    </row>
    <row r="4157" spans="1:28" x14ac:dyDescent="0.25">
      <c r="A4157" s="22">
        <v>42508</v>
      </c>
      <c r="B4157" s="2"/>
      <c r="C4157" s="1">
        <v>9</v>
      </c>
      <c r="D4157" s="2">
        <v>9.9</v>
      </c>
      <c r="F4157" s="2">
        <v>0</v>
      </c>
      <c r="G4157" s="1">
        <v>3.9</v>
      </c>
      <c r="H4157" s="1">
        <v>0</v>
      </c>
      <c r="I4157" s="2">
        <v>1.8</v>
      </c>
      <c r="J4157" s="1">
        <v>7.5</v>
      </c>
      <c r="K4157" s="1">
        <v>0</v>
      </c>
      <c r="L4157" s="1">
        <v>3.8099999999999996</v>
      </c>
      <c r="M4157" s="1">
        <v>1.6</v>
      </c>
      <c r="O4157" s="1">
        <v>15.239999999999998</v>
      </c>
      <c r="P4157" s="1">
        <v>2.2000000000000002</v>
      </c>
      <c r="Q4157" s="1">
        <v>3.3</v>
      </c>
      <c r="R4157" s="1">
        <v>0.3</v>
      </c>
      <c r="X4157" s="1"/>
      <c r="AB4157" s="1"/>
    </row>
    <row r="4158" spans="1:28" x14ac:dyDescent="0.25">
      <c r="A4158" s="22">
        <v>42509</v>
      </c>
      <c r="B4158" s="2"/>
      <c r="C4158" s="1">
        <v>0</v>
      </c>
      <c r="D4158" s="1">
        <v>5.2</v>
      </c>
      <c r="F4158" s="1">
        <v>0</v>
      </c>
      <c r="G4158" s="1">
        <v>4</v>
      </c>
      <c r="H4158" s="1">
        <v>1.6</v>
      </c>
      <c r="I4158" s="2">
        <v>1</v>
      </c>
      <c r="J4158" s="1">
        <v>6</v>
      </c>
      <c r="K4158" s="2">
        <v>3.3</v>
      </c>
      <c r="L4158" s="1">
        <v>4.3180000000000005</v>
      </c>
      <c r="M4158" s="1">
        <v>1.9</v>
      </c>
      <c r="O4158" s="1">
        <v>4.0640000000000001</v>
      </c>
      <c r="P4158" s="1">
        <v>3.4</v>
      </c>
      <c r="Q4158" s="1">
        <v>0.4</v>
      </c>
      <c r="R4158" s="1">
        <v>0</v>
      </c>
      <c r="X4158" s="1"/>
      <c r="AB4158" s="1"/>
    </row>
    <row r="4159" spans="1:28" x14ac:dyDescent="0.25">
      <c r="A4159" s="22">
        <v>42510</v>
      </c>
      <c r="B4159" s="2"/>
      <c r="C4159" s="1">
        <v>0</v>
      </c>
      <c r="D4159" s="1">
        <v>0.8</v>
      </c>
      <c r="F4159" s="1">
        <v>4.5</v>
      </c>
      <c r="G4159" s="1">
        <v>12.5</v>
      </c>
      <c r="H4159" s="1">
        <v>0.8</v>
      </c>
      <c r="I4159" s="2">
        <v>2</v>
      </c>
      <c r="J4159" s="2">
        <v>0.6</v>
      </c>
      <c r="K4159" s="1">
        <v>0</v>
      </c>
      <c r="L4159" s="1">
        <v>1.778</v>
      </c>
      <c r="M4159" s="1">
        <v>4.3</v>
      </c>
      <c r="O4159" s="1">
        <v>3.8099999999999996</v>
      </c>
      <c r="P4159" s="1">
        <v>0</v>
      </c>
      <c r="Q4159" s="1">
        <v>19.399999999999999</v>
      </c>
      <c r="R4159" s="1">
        <v>12.2</v>
      </c>
      <c r="X4159" s="1"/>
      <c r="AB4159" s="1"/>
    </row>
    <row r="4160" spans="1:28" x14ac:dyDescent="0.25">
      <c r="A4160" s="22">
        <v>42511</v>
      </c>
      <c r="B4160" s="2"/>
      <c r="C4160" s="1">
        <v>1.3</v>
      </c>
      <c r="D4160" s="1">
        <v>27.5</v>
      </c>
      <c r="F4160" s="1">
        <v>0</v>
      </c>
      <c r="G4160" s="1">
        <v>3.6</v>
      </c>
      <c r="H4160" s="1">
        <v>18</v>
      </c>
      <c r="I4160" s="2">
        <v>13.5</v>
      </c>
      <c r="J4160" s="1">
        <v>13.7</v>
      </c>
      <c r="K4160" s="1">
        <v>29.6</v>
      </c>
      <c r="L4160" s="1">
        <v>4.3180000000000005</v>
      </c>
      <c r="M4160" s="1">
        <v>0</v>
      </c>
      <c r="O4160" s="1">
        <v>0</v>
      </c>
      <c r="P4160" s="1">
        <v>4.8</v>
      </c>
      <c r="Q4160" s="1">
        <v>0.3</v>
      </c>
      <c r="R4160" s="1">
        <v>0</v>
      </c>
      <c r="X4160" s="1"/>
      <c r="AB4160" s="1"/>
    </row>
    <row r="4161" spans="1:28" x14ac:dyDescent="0.25">
      <c r="A4161" s="22">
        <v>42512</v>
      </c>
      <c r="B4161" s="2"/>
      <c r="C4161" s="1">
        <v>0</v>
      </c>
      <c r="D4161" s="2">
        <v>0.4</v>
      </c>
      <c r="F4161" s="2">
        <v>0</v>
      </c>
      <c r="G4161" s="1">
        <v>21.2</v>
      </c>
      <c r="H4161" s="1">
        <v>7</v>
      </c>
      <c r="I4161" s="2">
        <v>11.7</v>
      </c>
      <c r="J4161" s="1">
        <v>0.1</v>
      </c>
      <c r="K4161" s="1">
        <v>36.799999999999997</v>
      </c>
      <c r="L4161" s="1">
        <v>1.016</v>
      </c>
      <c r="M4161" s="1">
        <v>17.100000000000001</v>
      </c>
      <c r="O4161" s="1">
        <v>0</v>
      </c>
      <c r="P4161" s="1">
        <v>0.5</v>
      </c>
      <c r="Q4161" s="1">
        <v>19.399999999999999</v>
      </c>
      <c r="R4161" s="1">
        <v>14.6</v>
      </c>
      <c r="X4161" s="1"/>
      <c r="AB4161" s="1"/>
    </row>
    <row r="4162" spans="1:28" x14ac:dyDescent="0.25">
      <c r="A4162" s="22">
        <v>42513</v>
      </c>
      <c r="B4162" s="2"/>
      <c r="C4162" s="1">
        <v>34.5</v>
      </c>
      <c r="D4162" s="2">
        <v>36.6</v>
      </c>
      <c r="F4162" s="2">
        <v>0</v>
      </c>
      <c r="G4162" s="1">
        <v>0</v>
      </c>
      <c r="H4162" s="1">
        <v>13.3</v>
      </c>
      <c r="I4162" s="1">
        <v>16.8</v>
      </c>
      <c r="J4162" s="1">
        <v>28.5</v>
      </c>
      <c r="K4162" s="1">
        <v>0</v>
      </c>
      <c r="L4162" s="1">
        <v>17.018000000000001</v>
      </c>
      <c r="M4162" s="1">
        <v>10.199999999999999</v>
      </c>
      <c r="O4162" s="1">
        <v>41.655999999999992</v>
      </c>
      <c r="P4162" s="1">
        <v>17.3</v>
      </c>
      <c r="Q4162" s="1">
        <v>0</v>
      </c>
      <c r="R4162" s="1">
        <v>0</v>
      </c>
      <c r="X4162" s="1"/>
      <c r="AB4162" s="1"/>
    </row>
    <row r="4163" spans="1:28" x14ac:dyDescent="0.25">
      <c r="A4163" s="22">
        <v>42514</v>
      </c>
      <c r="B4163" s="2"/>
      <c r="C4163" s="1">
        <v>0</v>
      </c>
      <c r="D4163" s="2">
        <v>0</v>
      </c>
      <c r="F4163" s="2">
        <v>0</v>
      </c>
      <c r="G4163" s="1">
        <v>0</v>
      </c>
      <c r="H4163" s="1">
        <v>0</v>
      </c>
      <c r="I4163" s="2">
        <v>1.8</v>
      </c>
      <c r="J4163" s="30" t="s">
        <v>9</v>
      </c>
      <c r="K4163" s="2">
        <v>0</v>
      </c>
      <c r="L4163" s="1">
        <v>0.7619999999999999</v>
      </c>
      <c r="M4163" s="1">
        <v>0</v>
      </c>
      <c r="O4163" s="1">
        <v>1.27</v>
      </c>
      <c r="P4163" s="1">
        <v>0</v>
      </c>
      <c r="Q4163" s="1">
        <v>6.1</v>
      </c>
      <c r="R4163" s="1">
        <v>4</v>
      </c>
      <c r="X4163" s="1"/>
      <c r="AB4163" s="1"/>
    </row>
    <row r="4164" spans="1:28" x14ac:dyDescent="0.25">
      <c r="A4164" s="22">
        <v>42515</v>
      </c>
      <c r="B4164" s="2"/>
      <c r="C4164" s="1">
        <v>3</v>
      </c>
      <c r="D4164" s="2">
        <v>5.0999999999999996</v>
      </c>
      <c r="F4164" s="2">
        <v>0</v>
      </c>
      <c r="G4164" s="1">
        <v>0.3</v>
      </c>
      <c r="H4164" s="1">
        <v>0</v>
      </c>
      <c r="I4164" s="1"/>
      <c r="J4164" s="2">
        <v>4.3</v>
      </c>
      <c r="K4164" s="2">
        <v>0</v>
      </c>
      <c r="L4164" s="1">
        <v>3.0479999999999996</v>
      </c>
      <c r="M4164" s="1">
        <v>0</v>
      </c>
      <c r="O4164" s="1">
        <v>2.54</v>
      </c>
      <c r="P4164" s="1">
        <v>0.7</v>
      </c>
      <c r="Q4164" s="1">
        <v>0</v>
      </c>
      <c r="R4164" s="1">
        <v>0</v>
      </c>
      <c r="X4164" s="1"/>
      <c r="AB4164" s="1"/>
    </row>
    <row r="4165" spans="1:28" x14ac:dyDescent="0.25">
      <c r="A4165" s="22">
        <v>42516</v>
      </c>
      <c r="B4165" s="2"/>
      <c r="C4165" s="1">
        <v>0</v>
      </c>
      <c r="D4165" s="1">
        <v>2</v>
      </c>
      <c r="F4165" s="1">
        <v>0</v>
      </c>
      <c r="G4165" s="1">
        <v>5</v>
      </c>
      <c r="H4165" s="1">
        <v>0</v>
      </c>
      <c r="I4165" s="1">
        <v>1.5</v>
      </c>
      <c r="J4165" s="30" t="s">
        <v>9</v>
      </c>
      <c r="K4165" s="2">
        <v>0</v>
      </c>
      <c r="L4165" s="1">
        <v>0</v>
      </c>
      <c r="M4165" s="1">
        <v>0</v>
      </c>
      <c r="O4165" s="1">
        <v>0</v>
      </c>
      <c r="P4165" s="1"/>
      <c r="Q4165" s="1">
        <v>1.6</v>
      </c>
      <c r="R4165" s="1">
        <v>1</v>
      </c>
      <c r="X4165" s="1"/>
      <c r="AB4165" s="1"/>
    </row>
    <row r="4166" spans="1:28" x14ac:dyDescent="0.25">
      <c r="A4166" s="22">
        <v>42517</v>
      </c>
      <c r="B4166" s="2"/>
      <c r="C4166" s="1">
        <v>0</v>
      </c>
      <c r="D4166" s="1">
        <v>0</v>
      </c>
      <c r="F4166" s="1">
        <v>0</v>
      </c>
      <c r="G4166" s="1">
        <v>5.4</v>
      </c>
      <c r="H4166" s="1">
        <v>0</v>
      </c>
      <c r="I4166" s="1">
        <v>7.5</v>
      </c>
      <c r="J4166" s="2">
        <v>2.2000000000000002</v>
      </c>
      <c r="K4166" s="1">
        <v>0</v>
      </c>
      <c r="L4166" s="1">
        <v>0</v>
      </c>
      <c r="M4166" s="1">
        <v>0</v>
      </c>
      <c r="O4166" s="1">
        <v>0.254</v>
      </c>
      <c r="P4166" s="1">
        <v>0.9</v>
      </c>
      <c r="Q4166" s="1">
        <v>4.2</v>
      </c>
      <c r="R4166" s="1">
        <v>1.4</v>
      </c>
      <c r="X4166" s="1"/>
      <c r="AB4166" s="1"/>
    </row>
    <row r="4167" spans="1:28" x14ac:dyDescent="0.25">
      <c r="A4167" s="22">
        <v>42518</v>
      </c>
      <c r="B4167" s="2"/>
      <c r="C4167" s="1">
        <v>0</v>
      </c>
      <c r="D4167" s="1">
        <v>39.200000000000003</v>
      </c>
      <c r="F4167" s="1">
        <v>0</v>
      </c>
      <c r="G4167" s="1">
        <v>7.3</v>
      </c>
      <c r="H4167" s="1">
        <v>6.1</v>
      </c>
      <c r="I4167" s="1">
        <v>1.8</v>
      </c>
      <c r="J4167" s="1">
        <v>2.5</v>
      </c>
      <c r="K4167" s="1">
        <v>0</v>
      </c>
      <c r="L4167" s="1">
        <v>8.1280000000000001</v>
      </c>
      <c r="M4167" s="1">
        <v>8.1999999999999993</v>
      </c>
      <c r="O4167" s="1">
        <v>0</v>
      </c>
      <c r="P4167" s="1">
        <v>1.1000000000000001</v>
      </c>
      <c r="Q4167" s="1">
        <v>5.8</v>
      </c>
      <c r="R4167" s="1">
        <v>3.4</v>
      </c>
      <c r="X4167" s="1"/>
      <c r="AB4167" s="1"/>
    </row>
    <row r="4168" spans="1:28" x14ac:dyDescent="0.25">
      <c r="A4168" s="22">
        <v>42519</v>
      </c>
      <c r="B4168" s="2"/>
      <c r="C4168" s="1">
        <v>14.2</v>
      </c>
      <c r="D4168" s="1">
        <v>15.1</v>
      </c>
      <c r="F4168" s="1">
        <v>3.8</v>
      </c>
      <c r="G4168" s="1">
        <v>17.2</v>
      </c>
      <c r="H4168" s="1">
        <v>0</v>
      </c>
      <c r="I4168" s="2">
        <v>0</v>
      </c>
      <c r="J4168" s="1">
        <v>6.7</v>
      </c>
      <c r="K4168" s="1">
        <v>0</v>
      </c>
      <c r="L4168" s="1">
        <v>12.191999999999998</v>
      </c>
      <c r="M4168" s="1">
        <v>3.8</v>
      </c>
      <c r="O4168" s="1">
        <v>0</v>
      </c>
      <c r="P4168" s="1">
        <v>14.1</v>
      </c>
      <c r="Q4168" s="1">
        <v>24.4</v>
      </c>
      <c r="R4168" s="1">
        <v>11.8</v>
      </c>
      <c r="X4168" s="1"/>
      <c r="AB4168" s="1"/>
    </row>
    <row r="4169" spans="1:28" x14ac:dyDescent="0.25">
      <c r="A4169" s="22">
        <v>42520</v>
      </c>
      <c r="B4169" s="2"/>
      <c r="C4169" s="1">
        <v>35.200000000000003</v>
      </c>
      <c r="D4169" s="1">
        <v>19.899999999999999</v>
      </c>
      <c r="F4169" s="1">
        <v>12.8</v>
      </c>
      <c r="G4169" s="1">
        <v>0.6</v>
      </c>
      <c r="H4169" s="1">
        <v>11.5</v>
      </c>
      <c r="I4169" s="2">
        <v>0</v>
      </c>
      <c r="J4169" s="1">
        <v>20.6</v>
      </c>
      <c r="K4169" s="1">
        <v>0</v>
      </c>
      <c r="L4169" s="1">
        <v>21.081999999999997</v>
      </c>
      <c r="M4169" s="1">
        <v>12.2</v>
      </c>
      <c r="O4169" s="1">
        <v>53.593999999999994</v>
      </c>
      <c r="P4169" s="1">
        <v>3.9</v>
      </c>
      <c r="Q4169" s="1">
        <v>0</v>
      </c>
      <c r="R4169" s="1">
        <v>0</v>
      </c>
      <c r="X4169" s="1"/>
      <c r="AB4169" s="1"/>
    </row>
    <row r="4170" spans="1:28" x14ac:dyDescent="0.25">
      <c r="A4170" s="22">
        <v>42521</v>
      </c>
      <c r="B4170" s="2"/>
      <c r="C4170" s="1">
        <v>0.9</v>
      </c>
      <c r="D4170" s="1">
        <v>0</v>
      </c>
      <c r="F4170" s="1">
        <v>0</v>
      </c>
      <c r="G4170" s="1">
        <v>2.9</v>
      </c>
      <c r="H4170" s="1"/>
      <c r="I4170" s="2">
        <v>19</v>
      </c>
      <c r="J4170" s="1">
        <v>0.5</v>
      </c>
      <c r="K4170" s="1">
        <v>35.299999999999997</v>
      </c>
      <c r="L4170" s="1">
        <v>0</v>
      </c>
      <c r="M4170" s="1">
        <v>0</v>
      </c>
      <c r="O4170" s="1">
        <v>2.032</v>
      </c>
      <c r="P4170" s="1">
        <v>0.7</v>
      </c>
      <c r="Q4170" s="1">
        <v>0.1</v>
      </c>
      <c r="R4170" s="1">
        <v>0</v>
      </c>
      <c r="X4170" s="1"/>
      <c r="AB4170" s="1"/>
    </row>
    <row r="4171" spans="1:28" x14ac:dyDescent="0.25">
      <c r="A4171" s="22">
        <v>42522</v>
      </c>
      <c r="B4171" s="2"/>
      <c r="C4171" s="1">
        <v>12.3</v>
      </c>
      <c r="D4171" s="1">
        <v>16.3</v>
      </c>
      <c r="F4171" s="1">
        <v>1</v>
      </c>
      <c r="G4171" s="1">
        <v>13</v>
      </c>
      <c r="H4171" s="1"/>
      <c r="I4171" s="2">
        <v>31.1</v>
      </c>
      <c r="J4171" s="1">
        <v>9</v>
      </c>
      <c r="K4171" s="2">
        <v>0</v>
      </c>
      <c r="L4171" s="1">
        <v>0</v>
      </c>
      <c r="M4171" s="1">
        <v>2.1</v>
      </c>
      <c r="O4171" s="1">
        <v>6.35</v>
      </c>
      <c r="P4171" s="1">
        <v>0</v>
      </c>
      <c r="Q4171" s="1">
        <v>5.5</v>
      </c>
      <c r="R4171" s="1">
        <v>3.5</v>
      </c>
      <c r="X4171" s="1"/>
      <c r="AB4171" s="1"/>
    </row>
    <row r="4172" spans="1:28" x14ac:dyDescent="0.25">
      <c r="A4172" s="22">
        <v>42523</v>
      </c>
      <c r="B4172" s="2"/>
      <c r="C4172" s="1">
        <v>12.2</v>
      </c>
      <c r="D4172" s="1">
        <v>7.4</v>
      </c>
      <c r="F4172" s="1">
        <v>5.5</v>
      </c>
      <c r="G4172" s="1">
        <v>16.399999999999999</v>
      </c>
      <c r="H4172" s="1"/>
      <c r="I4172" s="2">
        <v>13</v>
      </c>
      <c r="J4172" s="2">
        <v>10.8</v>
      </c>
      <c r="K4172" s="2">
        <v>0</v>
      </c>
      <c r="L4172" s="1">
        <v>10.667999999999999</v>
      </c>
      <c r="M4172" s="1">
        <v>0</v>
      </c>
      <c r="O4172" s="1">
        <v>14.731999999999998</v>
      </c>
      <c r="P4172" s="1">
        <v>14.2</v>
      </c>
      <c r="Q4172" s="1">
        <v>3.4</v>
      </c>
      <c r="R4172" s="1">
        <v>2.1</v>
      </c>
      <c r="X4172" s="1"/>
      <c r="AB4172" s="1"/>
    </row>
    <row r="4173" spans="1:28" x14ac:dyDescent="0.25">
      <c r="A4173" s="22">
        <v>42524</v>
      </c>
      <c r="B4173" s="2"/>
      <c r="C4173" s="1">
        <v>11</v>
      </c>
      <c r="D4173" s="1">
        <v>16.5</v>
      </c>
      <c r="F4173" s="1">
        <v>6.1</v>
      </c>
      <c r="G4173" s="1">
        <v>15.5</v>
      </c>
      <c r="H4173" s="1"/>
      <c r="I4173" s="2">
        <v>12</v>
      </c>
      <c r="J4173" s="2">
        <v>12.7</v>
      </c>
      <c r="K4173" s="2">
        <v>0</v>
      </c>
      <c r="L4173" s="1">
        <v>6.0959999999999992</v>
      </c>
      <c r="M4173" s="1">
        <v>0</v>
      </c>
      <c r="O4173" s="1">
        <v>9.9060000000000006</v>
      </c>
      <c r="P4173" s="1">
        <v>7.2</v>
      </c>
      <c r="Q4173" s="1">
        <v>7.1</v>
      </c>
      <c r="R4173" s="1">
        <v>4.9000000000000004</v>
      </c>
      <c r="X4173" s="1"/>
      <c r="AB4173" s="1"/>
    </row>
    <row r="4174" spans="1:28" x14ac:dyDescent="0.25">
      <c r="A4174" s="22">
        <v>42525</v>
      </c>
      <c r="B4174" s="2"/>
      <c r="C4174" s="1">
        <v>0</v>
      </c>
      <c r="D4174" s="1">
        <v>21.6</v>
      </c>
      <c r="F4174" s="1">
        <v>12.4</v>
      </c>
      <c r="G4174" s="1">
        <v>68.7</v>
      </c>
      <c r="H4174" s="1"/>
      <c r="I4174" s="2">
        <v>3.1</v>
      </c>
      <c r="J4174" s="1">
        <v>13</v>
      </c>
      <c r="K4174" s="2">
        <v>0</v>
      </c>
      <c r="L4174" s="1">
        <v>8.1280000000000001</v>
      </c>
      <c r="M4174" s="1">
        <v>0</v>
      </c>
      <c r="O4174" s="1">
        <v>0</v>
      </c>
      <c r="P4174" s="1">
        <v>7.9</v>
      </c>
      <c r="Q4174" s="1">
        <v>5.5</v>
      </c>
      <c r="R4174" s="1">
        <v>46.9</v>
      </c>
      <c r="X4174" s="1"/>
      <c r="AB4174" s="1"/>
    </row>
    <row r="4175" spans="1:28" x14ac:dyDescent="0.25">
      <c r="A4175" s="22">
        <v>42526</v>
      </c>
      <c r="B4175" s="2"/>
      <c r="C4175" s="1">
        <v>9.3000000000000007</v>
      </c>
      <c r="D4175" s="2">
        <v>8.8000000000000007</v>
      </c>
      <c r="F4175" s="2">
        <v>3</v>
      </c>
      <c r="G4175" s="1">
        <v>4.9000000000000004</v>
      </c>
      <c r="H4175" s="1"/>
      <c r="I4175" s="2">
        <v>4.9000000000000004</v>
      </c>
      <c r="J4175" s="2">
        <v>11</v>
      </c>
      <c r="K4175" s="2">
        <v>86.9</v>
      </c>
      <c r="L4175" s="1">
        <v>0</v>
      </c>
      <c r="M4175" s="1">
        <v>0</v>
      </c>
      <c r="O4175" s="1">
        <v>0</v>
      </c>
      <c r="P4175" s="1">
        <v>2.2000000000000002</v>
      </c>
      <c r="Q4175" s="1">
        <v>54.3</v>
      </c>
      <c r="R4175" s="1">
        <v>37.299999999999997</v>
      </c>
      <c r="X4175" s="1"/>
      <c r="AB4175" s="1"/>
    </row>
    <row r="4176" spans="1:28" x14ac:dyDescent="0.25">
      <c r="A4176" s="22">
        <v>42527</v>
      </c>
      <c r="B4176" s="2"/>
      <c r="C4176" s="1">
        <v>39.5</v>
      </c>
      <c r="D4176" s="2">
        <v>60.1</v>
      </c>
      <c r="F4176" s="2">
        <v>65.599999999999994</v>
      </c>
      <c r="G4176" s="1">
        <v>4.9000000000000004</v>
      </c>
      <c r="H4176" s="1"/>
      <c r="I4176" s="2">
        <v>64.2</v>
      </c>
      <c r="J4176" s="2">
        <v>74.7</v>
      </c>
      <c r="K4176" s="2">
        <v>0</v>
      </c>
      <c r="L4176" s="1">
        <v>43.942</v>
      </c>
      <c r="M4176" s="1">
        <v>0</v>
      </c>
      <c r="O4176" s="1">
        <v>56.133999999999993</v>
      </c>
      <c r="P4176" s="1">
        <v>45.1</v>
      </c>
      <c r="Q4176" s="1">
        <v>3.8</v>
      </c>
      <c r="R4176" s="1">
        <v>0</v>
      </c>
      <c r="X4176" s="1"/>
      <c r="AB4176" s="1"/>
    </row>
    <row r="4177" spans="1:28" x14ac:dyDescent="0.25">
      <c r="A4177" s="22">
        <v>42528</v>
      </c>
      <c r="B4177" s="2"/>
      <c r="C4177" s="1">
        <v>5</v>
      </c>
      <c r="D4177" s="2">
        <v>5</v>
      </c>
      <c r="F4177" s="2">
        <v>6.3</v>
      </c>
      <c r="G4177" s="1">
        <v>12.4</v>
      </c>
      <c r="H4177" s="1"/>
      <c r="I4177" s="1">
        <v>3.5</v>
      </c>
      <c r="J4177" s="2">
        <v>4.7</v>
      </c>
      <c r="K4177" s="2">
        <v>0</v>
      </c>
      <c r="L4177" s="1">
        <v>7.8739999999999997</v>
      </c>
      <c r="M4177" s="1">
        <v>4.4000000000000004</v>
      </c>
      <c r="O4177" s="1">
        <v>2.54</v>
      </c>
      <c r="P4177" s="1">
        <v>5.4</v>
      </c>
      <c r="Q4177" s="1">
        <v>6.6</v>
      </c>
      <c r="R4177" s="1">
        <v>7.1</v>
      </c>
      <c r="X4177" s="1"/>
      <c r="AB4177" s="1"/>
    </row>
    <row r="4178" spans="1:28" x14ac:dyDescent="0.25">
      <c r="A4178" s="22">
        <v>42529</v>
      </c>
      <c r="B4178" s="2"/>
      <c r="C4178" s="1">
        <v>14</v>
      </c>
      <c r="D4178" s="1">
        <v>17.600000000000001</v>
      </c>
      <c r="F4178" s="1">
        <v>12.3</v>
      </c>
      <c r="G4178" s="1">
        <v>0</v>
      </c>
      <c r="H4178" s="1"/>
      <c r="I4178" s="2">
        <v>8.3000000000000007</v>
      </c>
      <c r="J4178" s="2">
        <v>13.4</v>
      </c>
      <c r="K4178" s="2">
        <v>0</v>
      </c>
      <c r="L4178" s="1">
        <v>7.3659999999999988</v>
      </c>
      <c r="M4178" s="1">
        <v>0</v>
      </c>
      <c r="O4178" s="1">
        <v>10.921999999999999</v>
      </c>
      <c r="P4178" s="1">
        <v>13.4</v>
      </c>
      <c r="Q4178" s="1">
        <v>0</v>
      </c>
      <c r="R4178" s="1">
        <v>0</v>
      </c>
      <c r="X4178" s="1"/>
      <c r="AB4178" s="1"/>
    </row>
    <row r="4179" spans="1:28" x14ac:dyDescent="0.25">
      <c r="A4179" s="22">
        <v>42530</v>
      </c>
      <c r="B4179" s="2"/>
      <c r="C4179" s="1">
        <v>0</v>
      </c>
      <c r="D4179" s="1">
        <v>9.8000000000000007</v>
      </c>
      <c r="F4179" s="1">
        <v>0</v>
      </c>
      <c r="G4179" s="1">
        <v>1.9</v>
      </c>
      <c r="H4179" s="1"/>
      <c r="I4179" s="2">
        <v>0</v>
      </c>
      <c r="J4179" s="2">
        <v>0.1</v>
      </c>
      <c r="K4179" s="2">
        <v>0</v>
      </c>
      <c r="L4179" s="1">
        <v>0</v>
      </c>
      <c r="M4179" s="1">
        <v>0</v>
      </c>
      <c r="O4179" s="1">
        <v>1.016</v>
      </c>
      <c r="P4179" s="1">
        <v>0</v>
      </c>
      <c r="Q4179" s="1">
        <v>0.5</v>
      </c>
      <c r="R4179" s="1">
        <v>0.2</v>
      </c>
      <c r="X4179" s="1"/>
      <c r="AB4179" s="1"/>
    </row>
    <row r="4180" spans="1:28" x14ac:dyDescent="0.25">
      <c r="A4180" s="22">
        <v>42531</v>
      </c>
      <c r="B4180" s="2">
        <v>205.5</v>
      </c>
      <c r="C4180" s="1">
        <v>0</v>
      </c>
      <c r="D4180" s="1"/>
      <c r="F4180" s="1">
        <v>0</v>
      </c>
      <c r="G4180" s="1">
        <v>1.2</v>
      </c>
      <c r="H4180" s="1"/>
      <c r="I4180" s="2">
        <v>0</v>
      </c>
      <c r="J4180" s="2">
        <v>2.9</v>
      </c>
      <c r="K4180" s="2">
        <v>0</v>
      </c>
      <c r="L4180" s="1">
        <v>1.27</v>
      </c>
      <c r="M4180" s="1">
        <v>0</v>
      </c>
      <c r="O4180" s="1">
        <v>2.032</v>
      </c>
      <c r="P4180" s="1">
        <v>0.5</v>
      </c>
      <c r="Q4180" s="1">
        <v>0</v>
      </c>
      <c r="R4180" s="1">
        <v>0</v>
      </c>
      <c r="X4180" s="1"/>
      <c r="AB4180" s="1"/>
    </row>
    <row r="4181" spans="1:28" x14ac:dyDescent="0.25">
      <c r="A4181" s="22">
        <v>42532</v>
      </c>
      <c r="B4181" s="2"/>
      <c r="C4181" s="1">
        <v>0</v>
      </c>
      <c r="D4181" s="1"/>
      <c r="F4181" s="1">
        <v>0</v>
      </c>
      <c r="G4181" s="1">
        <v>9.1</v>
      </c>
      <c r="H4181" s="1"/>
      <c r="I4181" s="2">
        <v>0</v>
      </c>
      <c r="J4181" s="30" t="s">
        <v>9</v>
      </c>
      <c r="K4181" s="1">
        <v>0</v>
      </c>
      <c r="L4181" s="1">
        <v>0</v>
      </c>
      <c r="M4181" s="1">
        <v>0</v>
      </c>
      <c r="O4181" s="1">
        <v>0</v>
      </c>
      <c r="P4181" s="1">
        <v>0</v>
      </c>
      <c r="Q4181" s="1">
        <v>3.3</v>
      </c>
      <c r="R4181" s="1">
        <v>1.2</v>
      </c>
      <c r="X4181" s="1"/>
      <c r="AB4181" s="1"/>
    </row>
    <row r="4182" spans="1:28" x14ac:dyDescent="0.25">
      <c r="A4182" s="22">
        <v>42533</v>
      </c>
      <c r="B4182" s="2"/>
      <c r="C4182" s="1">
        <v>19</v>
      </c>
      <c r="D4182" s="1">
        <v>24.5</v>
      </c>
      <c r="F4182" s="1">
        <v>10</v>
      </c>
      <c r="G4182" s="1">
        <v>1.7</v>
      </c>
      <c r="H4182" s="1"/>
      <c r="I4182" s="2">
        <v>3.1</v>
      </c>
      <c r="J4182" s="1">
        <v>12.1</v>
      </c>
      <c r="K4182" s="2">
        <v>130</v>
      </c>
      <c r="L4182" s="1">
        <v>16.509999999999998</v>
      </c>
      <c r="M4182" s="1">
        <v>0</v>
      </c>
      <c r="O4182" s="1">
        <v>0</v>
      </c>
      <c r="P4182" s="1">
        <v>8.1999999999999993</v>
      </c>
      <c r="Q4182" s="1">
        <v>0</v>
      </c>
      <c r="R4182" s="1">
        <v>0</v>
      </c>
      <c r="X4182" s="1"/>
      <c r="AB4182" s="1"/>
    </row>
    <row r="4183" spans="1:28" x14ac:dyDescent="0.25">
      <c r="A4183" s="22">
        <v>42534</v>
      </c>
      <c r="B4183" s="2"/>
      <c r="C4183" s="1">
        <v>2.6</v>
      </c>
      <c r="D4183" s="1">
        <v>1.4</v>
      </c>
      <c r="F4183" s="1">
        <v>0</v>
      </c>
      <c r="G4183" s="2">
        <v>0</v>
      </c>
      <c r="H4183" s="1"/>
      <c r="I4183" s="2">
        <v>0</v>
      </c>
      <c r="J4183" s="1">
        <v>0.1</v>
      </c>
      <c r="K4183" s="1">
        <v>0</v>
      </c>
      <c r="L4183" s="1">
        <v>0</v>
      </c>
      <c r="M4183" s="1">
        <v>0</v>
      </c>
      <c r="O4183" s="1">
        <v>8.8899999999999988</v>
      </c>
      <c r="P4183" s="1">
        <v>0</v>
      </c>
      <c r="Q4183" s="1">
        <v>0</v>
      </c>
      <c r="R4183" s="1">
        <v>0</v>
      </c>
      <c r="X4183" s="1"/>
      <c r="AB4183" s="1"/>
    </row>
    <row r="4184" spans="1:28" x14ac:dyDescent="0.25">
      <c r="A4184" s="22">
        <v>42535</v>
      </c>
      <c r="B4184" s="2"/>
      <c r="C4184" s="1">
        <v>0</v>
      </c>
      <c r="D4184" s="1"/>
      <c r="F4184" s="1">
        <v>0</v>
      </c>
      <c r="G4184" s="2">
        <v>1.5</v>
      </c>
      <c r="H4184" s="1"/>
      <c r="I4184" s="2">
        <v>0</v>
      </c>
      <c r="J4184" s="30" t="s">
        <v>9</v>
      </c>
      <c r="K4184" s="1">
        <v>0</v>
      </c>
      <c r="L4184" s="1">
        <v>0</v>
      </c>
      <c r="M4184" s="1">
        <v>0</v>
      </c>
      <c r="O4184" s="1">
        <v>0</v>
      </c>
      <c r="P4184" s="1">
        <v>0</v>
      </c>
      <c r="Q4184" s="1">
        <v>0.6</v>
      </c>
      <c r="R4184" s="1">
        <v>0.1</v>
      </c>
      <c r="X4184" s="1"/>
      <c r="AB4184" s="1"/>
    </row>
    <row r="4185" spans="1:28" x14ac:dyDescent="0.25">
      <c r="A4185" s="22">
        <v>42536</v>
      </c>
      <c r="B4185" s="2"/>
      <c r="C4185" s="1">
        <v>0.7</v>
      </c>
      <c r="D4185" s="1">
        <v>1.1000000000000001</v>
      </c>
      <c r="F4185" s="1">
        <v>0</v>
      </c>
      <c r="G4185" s="2">
        <v>0</v>
      </c>
      <c r="H4185" s="1"/>
      <c r="I4185" s="2">
        <v>1.2</v>
      </c>
      <c r="J4185" s="2">
        <v>3.4</v>
      </c>
      <c r="K4185" s="2">
        <v>6.2</v>
      </c>
      <c r="L4185" s="1">
        <v>0</v>
      </c>
      <c r="M4185" s="1">
        <v>20.100000000000001</v>
      </c>
      <c r="O4185" s="1">
        <v>1.016</v>
      </c>
      <c r="P4185" s="1">
        <v>0</v>
      </c>
      <c r="Q4185" s="1">
        <v>0</v>
      </c>
      <c r="R4185" s="1">
        <v>0</v>
      </c>
      <c r="X4185" s="1"/>
      <c r="AB4185" s="1"/>
    </row>
    <row r="4186" spans="1:28" x14ac:dyDescent="0.25">
      <c r="A4186" s="22">
        <v>42537</v>
      </c>
      <c r="B4186" s="2"/>
      <c r="C4186" s="1">
        <v>1.1000000000000001</v>
      </c>
      <c r="D4186" s="1"/>
      <c r="F4186" s="1">
        <v>0</v>
      </c>
      <c r="G4186" s="2">
        <v>10.5</v>
      </c>
      <c r="H4186" s="1"/>
      <c r="I4186" s="1">
        <v>0</v>
      </c>
      <c r="J4186" s="30" t="s">
        <v>9</v>
      </c>
      <c r="K4186" s="2">
        <v>0</v>
      </c>
      <c r="L4186" s="1">
        <v>0</v>
      </c>
      <c r="M4186" s="1">
        <v>0</v>
      </c>
      <c r="O4186" s="1">
        <v>4.8259999999999996</v>
      </c>
      <c r="P4186" s="1">
        <v>0</v>
      </c>
      <c r="Q4186" s="1">
        <v>4.2</v>
      </c>
      <c r="R4186" s="1">
        <v>7.8</v>
      </c>
      <c r="X4186" s="1"/>
      <c r="AB4186" s="1"/>
    </row>
    <row r="4187" spans="1:28" x14ac:dyDescent="0.25">
      <c r="A4187" s="22">
        <v>42538</v>
      </c>
      <c r="B4187" s="2"/>
      <c r="C4187" s="1">
        <v>6.9</v>
      </c>
      <c r="D4187" s="1">
        <v>7.7</v>
      </c>
      <c r="F4187" s="1">
        <v>5</v>
      </c>
      <c r="G4187" s="1">
        <v>5.9</v>
      </c>
      <c r="H4187" s="1"/>
      <c r="I4187" s="2">
        <v>1.5</v>
      </c>
      <c r="J4187" s="2">
        <v>4.5</v>
      </c>
      <c r="K4187" s="2">
        <v>11.3</v>
      </c>
      <c r="L4187" s="1">
        <v>2.794</v>
      </c>
      <c r="M4187" s="1">
        <v>0</v>
      </c>
      <c r="O4187" s="1">
        <v>4.5719999999999992</v>
      </c>
      <c r="P4187" s="1">
        <v>3.4</v>
      </c>
      <c r="Q4187" s="1">
        <v>3.8</v>
      </c>
      <c r="R4187" s="1">
        <v>2.5</v>
      </c>
      <c r="X4187" s="1"/>
      <c r="AB4187" s="1"/>
    </row>
    <row r="4188" spans="1:28" x14ac:dyDescent="0.25">
      <c r="A4188" s="22">
        <v>42539</v>
      </c>
      <c r="B4188" s="2"/>
      <c r="C4188" s="1">
        <v>0</v>
      </c>
      <c r="D4188" s="2">
        <v>6</v>
      </c>
      <c r="F4188" s="2">
        <v>19</v>
      </c>
      <c r="G4188" s="1">
        <v>2.7</v>
      </c>
      <c r="H4188" s="1"/>
      <c r="I4188" s="1">
        <v>0</v>
      </c>
      <c r="J4188" s="1">
        <v>5.8</v>
      </c>
      <c r="K4188" s="2">
        <v>0</v>
      </c>
      <c r="L4188" s="1">
        <v>3.556</v>
      </c>
      <c r="M4188" s="1">
        <v>0</v>
      </c>
      <c r="O4188" s="1">
        <v>0</v>
      </c>
      <c r="P4188" s="1">
        <v>7.6</v>
      </c>
      <c r="Q4188" s="1">
        <v>0.2</v>
      </c>
      <c r="R4188" s="1">
        <v>0.7</v>
      </c>
      <c r="X4188" s="1"/>
      <c r="AB4188" s="1"/>
    </row>
    <row r="4189" spans="1:28" x14ac:dyDescent="0.25">
      <c r="A4189" s="22">
        <v>42540</v>
      </c>
      <c r="B4189" s="2"/>
      <c r="C4189" s="1">
        <v>13</v>
      </c>
      <c r="D4189" s="1">
        <v>5.7</v>
      </c>
      <c r="F4189" s="1">
        <v>0</v>
      </c>
      <c r="G4189" s="1">
        <v>14.5</v>
      </c>
      <c r="H4189" s="1"/>
      <c r="I4189" s="2">
        <v>11.8</v>
      </c>
      <c r="J4189" s="1">
        <v>7</v>
      </c>
      <c r="K4189" s="1">
        <v>0</v>
      </c>
      <c r="L4189" s="1">
        <v>7.8739999999999997</v>
      </c>
      <c r="M4189" s="1">
        <v>0</v>
      </c>
      <c r="O4189" s="1">
        <v>0</v>
      </c>
      <c r="P4189" s="1">
        <v>8.9</v>
      </c>
      <c r="Q4189" s="1">
        <v>17.3</v>
      </c>
      <c r="R4189" s="1">
        <v>8.1</v>
      </c>
      <c r="X4189" s="1"/>
      <c r="AB4189" s="1"/>
    </row>
    <row r="4190" spans="1:28" x14ac:dyDescent="0.25">
      <c r="A4190" s="22">
        <v>42541</v>
      </c>
      <c r="B4190" s="2"/>
      <c r="C4190" s="1">
        <v>19.899999999999999</v>
      </c>
      <c r="D4190" s="1">
        <v>25.7</v>
      </c>
      <c r="F4190" s="1">
        <v>0</v>
      </c>
      <c r="G4190" s="1">
        <v>4.2</v>
      </c>
      <c r="H4190" s="1"/>
      <c r="I4190" s="2">
        <v>15.5</v>
      </c>
      <c r="J4190" s="2">
        <v>18.8</v>
      </c>
      <c r="K4190" s="1">
        <v>0</v>
      </c>
      <c r="L4190" s="1">
        <v>16.509999999999998</v>
      </c>
      <c r="M4190" s="1">
        <v>0</v>
      </c>
      <c r="O4190" s="1">
        <v>43.942</v>
      </c>
      <c r="P4190" s="1">
        <v>13.2</v>
      </c>
      <c r="Q4190" s="1">
        <v>0.2</v>
      </c>
      <c r="R4190" s="1">
        <v>0</v>
      </c>
      <c r="X4190" s="1"/>
      <c r="AB4190" s="1"/>
    </row>
    <row r="4191" spans="1:28" x14ac:dyDescent="0.25">
      <c r="A4191" s="22">
        <v>42542</v>
      </c>
      <c r="B4191" s="2">
        <v>41</v>
      </c>
      <c r="C4191" s="1">
        <v>7.4</v>
      </c>
      <c r="D4191" s="1">
        <v>6.5</v>
      </c>
      <c r="F4191" s="1">
        <v>0</v>
      </c>
      <c r="G4191" s="1">
        <v>2.1</v>
      </c>
      <c r="H4191" s="1"/>
      <c r="I4191" s="2">
        <v>2.8</v>
      </c>
      <c r="J4191" s="1">
        <v>8.1</v>
      </c>
      <c r="K4191" s="1">
        <v>45.8</v>
      </c>
      <c r="L4191" s="1">
        <v>0.7619999999999999</v>
      </c>
      <c r="M4191" s="1">
        <v>2.4</v>
      </c>
      <c r="O4191" s="1">
        <v>9.9060000000000006</v>
      </c>
      <c r="P4191" s="1">
        <v>0</v>
      </c>
      <c r="Q4191" s="1">
        <v>0</v>
      </c>
      <c r="R4191" s="1">
        <v>0</v>
      </c>
      <c r="X4191" s="1"/>
      <c r="AB4191" s="1"/>
    </row>
    <row r="4192" spans="1:28" x14ac:dyDescent="0.25">
      <c r="A4192" s="22">
        <v>42543</v>
      </c>
      <c r="B4192" s="2"/>
      <c r="C4192" s="1">
        <v>0</v>
      </c>
      <c r="D4192" s="2"/>
      <c r="F4192" s="2">
        <v>0</v>
      </c>
      <c r="G4192" s="1">
        <v>2.7</v>
      </c>
      <c r="H4192" s="1"/>
      <c r="I4192" s="1">
        <v>0</v>
      </c>
      <c r="J4192" s="30" t="s">
        <v>9</v>
      </c>
      <c r="K4192" s="1">
        <v>4.5</v>
      </c>
      <c r="L4192" s="1">
        <v>1.016</v>
      </c>
      <c r="M4192" s="1">
        <v>0.1</v>
      </c>
      <c r="O4192" s="1">
        <v>0.7619999999999999</v>
      </c>
      <c r="P4192" s="1">
        <v>0</v>
      </c>
      <c r="Q4192" s="1">
        <v>1.8</v>
      </c>
      <c r="R4192" s="1">
        <v>1</v>
      </c>
      <c r="X4192" s="1"/>
      <c r="AB4192" s="1"/>
    </row>
    <row r="4193" spans="1:28" x14ac:dyDescent="0.25">
      <c r="A4193" s="22">
        <v>42544</v>
      </c>
      <c r="B4193" s="2"/>
      <c r="C4193" s="1">
        <v>0.8</v>
      </c>
      <c r="D4193" s="2">
        <v>7</v>
      </c>
      <c r="F4193" s="2">
        <v>0</v>
      </c>
      <c r="G4193" s="1">
        <v>5.5</v>
      </c>
      <c r="H4193" s="1"/>
      <c r="I4193" s="2">
        <v>2.5</v>
      </c>
      <c r="J4193" s="1">
        <v>3.9</v>
      </c>
      <c r="K4193" s="1">
        <v>2.2000000000000002</v>
      </c>
      <c r="L4193" s="1">
        <v>3.556</v>
      </c>
      <c r="M4193" s="1">
        <v>0</v>
      </c>
      <c r="O4193" s="1">
        <v>1.5239999999999998</v>
      </c>
      <c r="P4193" s="1">
        <v>3.6</v>
      </c>
      <c r="Q4193" s="1">
        <v>0.2</v>
      </c>
      <c r="R4193" s="1">
        <v>0</v>
      </c>
      <c r="X4193" s="1"/>
      <c r="AB4193" s="1"/>
    </row>
    <row r="4194" spans="1:28" x14ac:dyDescent="0.25">
      <c r="A4194" s="22">
        <v>42545</v>
      </c>
      <c r="B4194" s="2"/>
      <c r="C4194" s="1">
        <v>8.9</v>
      </c>
      <c r="D4194" s="2">
        <v>14.5</v>
      </c>
      <c r="F4194" s="2">
        <v>0</v>
      </c>
      <c r="G4194" s="1">
        <v>1.6</v>
      </c>
      <c r="H4194" s="1"/>
      <c r="I4194" s="1">
        <v>2.6</v>
      </c>
      <c r="J4194" s="1">
        <v>11.3</v>
      </c>
      <c r="K4194" s="1">
        <v>12.7</v>
      </c>
      <c r="L4194" s="1">
        <v>1.016</v>
      </c>
      <c r="M4194" s="1">
        <v>0</v>
      </c>
      <c r="O4194" s="1">
        <v>0.254</v>
      </c>
      <c r="P4194" s="1">
        <v>0</v>
      </c>
      <c r="Q4194" s="1">
        <v>0</v>
      </c>
      <c r="R4194" s="1">
        <v>0</v>
      </c>
      <c r="X4194" s="1"/>
      <c r="AB4194" s="1"/>
    </row>
    <row r="4195" spans="1:28" x14ac:dyDescent="0.25">
      <c r="A4195" s="22">
        <v>42546</v>
      </c>
      <c r="B4195" s="2"/>
      <c r="C4195" s="1">
        <v>0.5</v>
      </c>
      <c r="D4195" s="2">
        <v>1.3</v>
      </c>
      <c r="F4195" s="2">
        <v>0</v>
      </c>
      <c r="G4195" s="1">
        <v>0.9</v>
      </c>
      <c r="H4195" s="1"/>
      <c r="I4195" s="2">
        <v>2.1</v>
      </c>
      <c r="J4195" s="2">
        <v>4.4000000000000004</v>
      </c>
      <c r="K4195" s="2">
        <v>7.9</v>
      </c>
      <c r="L4195" s="1">
        <v>0.7619999999999999</v>
      </c>
      <c r="M4195" s="1">
        <v>1.4</v>
      </c>
      <c r="O4195" s="1">
        <v>0</v>
      </c>
      <c r="P4195" s="1">
        <v>0</v>
      </c>
      <c r="Q4195" s="1">
        <v>0</v>
      </c>
      <c r="R4195" s="1">
        <v>0</v>
      </c>
      <c r="X4195" s="1"/>
      <c r="AB4195" s="1"/>
    </row>
    <row r="4196" spans="1:28" x14ac:dyDescent="0.25">
      <c r="A4196" s="22">
        <v>42547</v>
      </c>
      <c r="B4196" s="2"/>
      <c r="C4196" s="1">
        <v>4.8</v>
      </c>
      <c r="D4196" s="1">
        <v>26.5</v>
      </c>
      <c r="F4196" s="1">
        <v>0</v>
      </c>
      <c r="G4196" s="1">
        <v>0.5</v>
      </c>
      <c r="H4196" s="1"/>
      <c r="I4196" s="1">
        <v>0</v>
      </c>
      <c r="J4196" s="1">
        <v>3.4</v>
      </c>
      <c r="K4196" s="2">
        <v>6.1</v>
      </c>
      <c r="L4196" s="1">
        <v>1.27</v>
      </c>
      <c r="M4196" s="1">
        <v>4.2</v>
      </c>
      <c r="O4196" s="1">
        <v>0</v>
      </c>
      <c r="P4196" s="1">
        <v>5.5</v>
      </c>
      <c r="Q4196" s="1">
        <v>4.8</v>
      </c>
      <c r="R4196" s="1">
        <v>2.2000000000000002</v>
      </c>
      <c r="X4196" s="1"/>
      <c r="AB4196" s="1"/>
    </row>
    <row r="4197" spans="1:28" x14ac:dyDescent="0.25">
      <c r="A4197" s="22">
        <v>42548</v>
      </c>
      <c r="B4197" s="2"/>
      <c r="C4197" s="1">
        <v>3.3</v>
      </c>
      <c r="D4197" s="1">
        <v>6.5</v>
      </c>
      <c r="F4197" s="1">
        <v>0</v>
      </c>
      <c r="G4197" s="1">
        <v>10.9</v>
      </c>
      <c r="H4197" s="1"/>
      <c r="I4197" s="1">
        <v>0</v>
      </c>
      <c r="J4197" s="2">
        <v>4.0999999999999996</v>
      </c>
      <c r="K4197" s="2">
        <v>7</v>
      </c>
      <c r="L4197" s="1">
        <v>10.413999999999998</v>
      </c>
      <c r="M4197" s="1">
        <v>2.2999999999999998</v>
      </c>
      <c r="O4197" s="1">
        <v>8.1280000000000001</v>
      </c>
      <c r="P4197" s="1">
        <v>0</v>
      </c>
      <c r="Q4197" s="1">
        <v>1.7</v>
      </c>
      <c r="R4197" s="1">
        <v>1.1000000000000001</v>
      </c>
      <c r="X4197" s="1"/>
      <c r="AB4197" s="1"/>
    </row>
    <row r="4198" spans="1:28" x14ac:dyDescent="0.25">
      <c r="A4198" s="22">
        <v>42549</v>
      </c>
      <c r="B4198" s="2"/>
      <c r="C4198" s="1">
        <v>0</v>
      </c>
      <c r="D4198" s="1">
        <v>1.3</v>
      </c>
      <c r="F4198" s="1">
        <v>20</v>
      </c>
      <c r="G4198" s="1">
        <v>84.2</v>
      </c>
      <c r="H4198" s="1"/>
      <c r="I4198" s="1">
        <v>0.3</v>
      </c>
      <c r="J4198" s="1">
        <v>1.6</v>
      </c>
      <c r="K4198" s="1">
        <v>34.200000000000003</v>
      </c>
      <c r="L4198" s="1">
        <v>3.0479999999999996</v>
      </c>
      <c r="M4198" s="1">
        <v>1.1000000000000001</v>
      </c>
      <c r="O4198" s="1">
        <v>2.54</v>
      </c>
      <c r="P4198" s="1">
        <v>0.5</v>
      </c>
      <c r="Q4198" s="1">
        <v>29.7</v>
      </c>
      <c r="R4198" s="1">
        <v>25.6</v>
      </c>
      <c r="X4198" s="1"/>
      <c r="AB4198" s="1"/>
    </row>
    <row r="4199" spans="1:28" x14ac:dyDescent="0.25">
      <c r="A4199" s="22">
        <v>42550</v>
      </c>
      <c r="B4199" s="2"/>
      <c r="C4199" s="1">
        <v>14.5</v>
      </c>
      <c r="D4199" s="1">
        <v>91.9</v>
      </c>
      <c r="F4199" s="1">
        <v>89</v>
      </c>
      <c r="G4199" s="1">
        <v>1.1000000000000001</v>
      </c>
      <c r="H4199" s="1"/>
      <c r="I4199" s="2">
        <v>15.7</v>
      </c>
      <c r="J4199" s="1">
        <v>99.8</v>
      </c>
      <c r="K4199" s="1">
        <v>60.3</v>
      </c>
      <c r="L4199" s="1">
        <v>30.479999999999997</v>
      </c>
      <c r="M4199" s="1">
        <v>97.8</v>
      </c>
      <c r="O4199" s="1">
        <v>36.321999999999996</v>
      </c>
      <c r="P4199" s="1">
        <v>23.6</v>
      </c>
      <c r="Q4199" s="1">
        <v>0</v>
      </c>
      <c r="R4199" s="1">
        <v>0</v>
      </c>
      <c r="X4199" s="1"/>
      <c r="AB4199" s="1"/>
    </row>
    <row r="4200" spans="1:28" x14ac:dyDescent="0.25">
      <c r="A4200" s="22">
        <v>42551</v>
      </c>
      <c r="B4200" s="2">
        <v>79.599999999999994</v>
      </c>
      <c r="C4200" s="1">
        <v>0.2</v>
      </c>
      <c r="D4200" s="1">
        <v>1.2</v>
      </c>
      <c r="F4200" s="1">
        <v>9.1</v>
      </c>
      <c r="G4200" s="1">
        <v>6.7</v>
      </c>
      <c r="H4200" s="1"/>
      <c r="I4200" s="2">
        <v>1.2</v>
      </c>
      <c r="J4200" s="1">
        <v>0.2</v>
      </c>
      <c r="K4200" s="1">
        <v>14.2</v>
      </c>
      <c r="L4200" s="1">
        <v>5.3339999999999996</v>
      </c>
      <c r="M4200" s="1">
        <v>0</v>
      </c>
      <c r="O4200" s="1">
        <v>1.5239999999999998</v>
      </c>
      <c r="P4200" s="1">
        <v>2.5</v>
      </c>
      <c r="Q4200" s="1">
        <v>3.4</v>
      </c>
      <c r="R4200" s="1">
        <v>1.9</v>
      </c>
      <c r="X4200" s="1"/>
      <c r="AB4200" s="1"/>
    </row>
    <row r="4201" spans="1:28" x14ac:dyDescent="0.25">
      <c r="A4201" s="22">
        <v>42552</v>
      </c>
      <c r="B4201" s="2">
        <v>0</v>
      </c>
      <c r="C4201" s="1">
        <v>1.7</v>
      </c>
      <c r="D4201" s="1">
        <v>11</v>
      </c>
      <c r="F4201" s="1">
        <v>0</v>
      </c>
      <c r="G4201" s="1">
        <v>12.2</v>
      </c>
      <c r="H4201" s="1">
        <v>0</v>
      </c>
      <c r="I4201" s="2">
        <v>2.6</v>
      </c>
      <c r="J4201" s="1">
        <v>11.8</v>
      </c>
      <c r="K4201" s="2">
        <v>0</v>
      </c>
      <c r="L4201" s="1">
        <v>0.254</v>
      </c>
      <c r="M4201" s="1">
        <v>7.2</v>
      </c>
      <c r="O4201" s="1"/>
      <c r="P4201" s="1">
        <v>0</v>
      </c>
      <c r="Q4201" s="1">
        <v>13.6</v>
      </c>
      <c r="R4201" s="1">
        <v>6.2</v>
      </c>
      <c r="X4201" s="1"/>
      <c r="AB4201" s="1"/>
    </row>
    <row r="4202" spans="1:28" x14ac:dyDescent="0.25">
      <c r="A4202" s="22">
        <v>42553</v>
      </c>
      <c r="B4202" s="2">
        <v>0</v>
      </c>
      <c r="C4202" s="1">
        <v>7</v>
      </c>
      <c r="D4202" s="1">
        <v>7</v>
      </c>
      <c r="F4202" s="1">
        <v>24</v>
      </c>
      <c r="G4202" s="1">
        <v>1.7</v>
      </c>
      <c r="H4202" s="1">
        <v>20.3</v>
      </c>
      <c r="I4202" s="2">
        <v>9</v>
      </c>
      <c r="J4202" s="2">
        <v>15.5</v>
      </c>
      <c r="K4202" s="2">
        <v>25.4</v>
      </c>
      <c r="L4202" s="1">
        <v>9.1439999999999984</v>
      </c>
      <c r="M4202" s="1">
        <v>13.8</v>
      </c>
      <c r="O4202" s="1"/>
      <c r="P4202" s="1">
        <v>9.3000000000000007</v>
      </c>
      <c r="Q4202" s="1">
        <v>3.3</v>
      </c>
      <c r="R4202" s="1">
        <v>16.100000000000001</v>
      </c>
      <c r="X4202" s="1"/>
      <c r="AB4202" s="1"/>
    </row>
    <row r="4203" spans="1:28" x14ac:dyDescent="0.25">
      <c r="A4203" s="22">
        <v>42554</v>
      </c>
      <c r="B4203" s="2">
        <v>17.3</v>
      </c>
      <c r="C4203" s="1">
        <v>0</v>
      </c>
      <c r="D4203" s="1">
        <v>13.5</v>
      </c>
      <c r="F4203" s="1">
        <v>0</v>
      </c>
      <c r="G4203" s="1">
        <v>8.6999999999999993</v>
      </c>
      <c r="H4203" s="1">
        <v>6.8</v>
      </c>
      <c r="I4203" s="2">
        <v>3.9</v>
      </c>
      <c r="J4203" s="2">
        <v>8.6</v>
      </c>
      <c r="K4203" s="1">
        <v>4</v>
      </c>
      <c r="L4203" s="1">
        <v>8.636000000000001</v>
      </c>
      <c r="M4203" s="1">
        <v>6.3</v>
      </c>
      <c r="O4203" s="1"/>
      <c r="P4203" s="1">
        <v>3.4</v>
      </c>
      <c r="Q4203" s="1">
        <v>6.4</v>
      </c>
      <c r="R4203" s="1">
        <v>4.8</v>
      </c>
      <c r="X4203" s="1"/>
      <c r="AB4203" s="1"/>
    </row>
    <row r="4204" spans="1:28" x14ac:dyDescent="0.25">
      <c r="A4204" s="22">
        <v>42555</v>
      </c>
      <c r="B4204" s="2">
        <v>5.4</v>
      </c>
      <c r="C4204" s="1">
        <v>3.8</v>
      </c>
      <c r="D4204" s="1">
        <v>4.0999999999999996</v>
      </c>
      <c r="F4204" s="1">
        <v>0</v>
      </c>
      <c r="G4204" s="1">
        <v>2.2000000000000002</v>
      </c>
      <c r="H4204" s="1">
        <v>3</v>
      </c>
      <c r="I4204" s="41">
        <v>0.2</v>
      </c>
      <c r="J4204" s="1">
        <v>5.5</v>
      </c>
      <c r="K4204" s="2">
        <v>0</v>
      </c>
      <c r="L4204" s="1">
        <v>2.794</v>
      </c>
      <c r="M4204" s="1">
        <v>7.3</v>
      </c>
      <c r="O4204" s="1"/>
      <c r="P4204" s="1">
        <v>5.8</v>
      </c>
      <c r="Q4204" s="1">
        <v>17.8</v>
      </c>
      <c r="R4204" s="1">
        <v>15.9</v>
      </c>
      <c r="X4204" s="1"/>
      <c r="AB4204" s="1"/>
    </row>
    <row r="4205" spans="1:28" x14ac:dyDescent="0.25">
      <c r="A4205" s="22">
        <v>42556</v>
      </c>
      <c r="B4205" s="2">
        <v>14.4</v>
      </c>
      <c r="C4205" s="1">
        <v>14.5</v>
      </c>
      <c r="D4205" s="2">
        <v>13.6</v>
      </c>
      <c r="F4205" s="2">
        <v>7</v>
      </c>
      <c r="G4205" s="1">
        <v>0</v>
      </c>
      <c r="H4205" s="1">
        <v>3.8</v>
      </c>
      <c r="I4205" s="36">
        <v>4.3</v>
      </c>
      <c r="J4205" s="2">
        <v>4.5</v>
      </c>
      <c r="K4205" s="2">
        <v>17.5</v>
      </c>
      <c r="L4205" s="1">
        <v>17.018000000000001</v>
      </c>
      <c r="M4205" s="1">
        <v>7.3</v>
      </c>
      <c r="O4205" s="1"/>
      <c r="P4205" s="1">
        <v>12.8</v>
      </c>
      <c r="Q4205" s="1">
        <v>0</v>
      </c>
      <c r="R4205" s="1">
        <v>0</v>
      </c>
      <c r="X4205" s="1"/>
      <c r="AB4205" s="1"/>
    </row>
    <row r="4206" spans="1:28" x14ac:dyDescent="0.25">
      <c r="A4206" s="22">
        <v>42557</v>
      </c>
      <c r="B4206" s="2">
        <v>0</v>
      </c>
      <c r="C4206" s="1">
        <v>0.7</v>
      </c>
      <c r="D4206" s="2">
        <v>0</v>
      </c>
      <c r="F4206" s="2">
        <v>0</v>
      </c>
      <c r="G4206" s="1">
        <v>6.8</v>
      </c>
      <c r="H4206" s="1">
        <v>0</v>
      </c>
      <c r="I4206" s="36">
        <v>0</v>
      </c>
      <c r="J4206" s="2">
        <v>0.7</v>
      </c>
      <c r="K4206" s="2">
        <v>0</v>
      </c>
      <c r="L4206" s="1">
        <v>1.5239999999999998</v>
      </c>
      <c r="M4206" s="1">
        <v>3.3</v>
      </c>
      <c r="O4206" s="1"/>
      <c r="P4206" s="1">
        <v>1.1000000000000001</v>
      </c>
      <c r="Q4206" s="1">
        <v>28.5</v>
      </c>
      <c r="R4206" s="1">
        <v>21.9</v>
      </c>
      <c r="X4206" s="1"/>
      <c r="AB4206" s="1"/>
    </row>
    <row r="4207" spans="1:28" x14ac:dyDescent="0.25">
      <c r="A4207" s="22">
        <v>42558</v>
      </c>
      <c r="B4207" s="2">
        <v>26</v>
      </c>
      <c r="C4207" s="1">
        <v>39.1</v>
      </c>
      <c r="D4207" s="2">
        <v>40.1</v>
      </c>
      <c r="F4207" s="2">
        <v>3.8</v>
      </c>
      <c r="G4207" s="1">
        <v>0.6</v>
      </c>
      <c r="H4207" s="1">
        <v>6.3</v>
      </c>
      <c r="I4207" s="36">
        <v>9.1999999999999993</v>
      </c>
      <c r="J4207" s="2">
        <v>18.5</v>
      </c>
      <c r="K4207" s="2">
        <v>18.100000000000001</v>
      </c>
      <c r="L4207" s="1">
        <v>13.462</v>
      </c>
      <c r="M4207" s="1">
        <v>7</v>
      </c>
      <c r="O4207" s="1"/>
      <c r="P4207" s="1">
        <v>16.7</v>
      </c>
      <c r="Q4207" s="1">
        <v>0.5</v>
      </c>
      <c r="R4207" s="1">
        <v>0</v>
      </c>
      <c r="X4207" s="1"/>
      <c r="AB4207" s="1"/>
    </row>
    <row r="4208" spans="1:28" x14ac:dyDescent="0.25">
      <c r="A4208" s="22">
        <v>42559</v>
      </c>
      <c r="B4208" s="2">
        <v>1.7</v>
      </c>
      <c r="C4208" s="1">
        <v>0</v>
      </c>
      <c r="D4208" s="1">
        <v>24.7</v>
      </c>
      <c r="F4208" s="1">
        <v>0</v>
      </c>
      <c r="G4208" s="1">
        <v>6.2</v>
      </c>
      <c r="H4208" s="1">
        <v>0</v>
      </c>
      <c r="I4208" s="37">
        <v>0.3</v>
      </c>
      <c r="J4208" s="2">
        <v>1.4</v>
      </c>
      <c r="K4208" s="2">
        <v>2.1</v>
      </c>
      <c r="L4208" s="1">
        <v>2.794</v>
      </c>
      <c r="M4208" s="1">
        <v>0</v>
      </c>
      <c r="O4208" s="1"/>
      <c r="P4208" s="1">
        <v>1.3</v>
      </c>
      <c r="Q4208" s="1">
        <v>3.7</v>
      </c>
      <c r="R4208" s="1">
        <v>10</v>
      </c>
      <c r="X4208" s="1"/>
      <c r="AB4208" s="1"/>
    </row>
    <row r="4209" spans="1:28" x14ac:dyDescent="0.25">
      <c r="A4209" s="22">
        <v>42560</v>
      </c>
      <c r="B4209" s="2">
        <v>0</v>
      </c>
      <c r="C4209" s="1">
        <v>0.8</v>
      </c>
      <c r="D4209" s="1">
        <v>7</v>
      </c>
      <c r="F4209" s="1">
        <v>0</v>
      </c>
      <c r="G4209" s="1">
        <v>29.1</v>
      </c>
      <c r="H4209" s="1">
        <v>0</v>
      </c>
      <c r="I4209" s="36">
        <v>0</v>
      </c>
      <c r="J4209" s="2">
        <v>4.8</v>
      </c>
      <c r="K4209" s="2">
        <v>8.5</v>
      </c>
      <c r="L4209" s="1">
        <v>10.921999999999999</v>
      </c>
      <c r="M4209" s="1">
        <v>0</v>
      </c>
      <c r="O4209" s="1"/>
      <c r="P4209" s="1">
        <v>8.3000000000000007</v>
      </c>
      <c r="Q4209" s="1">
        <v>13.7</v>
      </c>
      <c r="R4209" s="1">
        <v>0</v>
      </c>
      <c r="X4209" s="1"/>
      <c r="AB4209" s="1"/>
    </row>
    <row r="4210" spans="1:28" x14ac:dyDescent="0.25">
      <c r="A4210" s="22">
        <v>42561</v>
      </c>
      <c r="B4210" s="2">
        <v>15.2</v>
      </c>
      <c r="C4210" s="1">
        <v>32.6</v>
      </c>
      <c r="D4210" s="1">
        <v>24.3</v>
      </c>
      <c r="F4210" s="1">
        <v>21</v>
      </c>
      <c r="G4210" s="1">
        <v>10.6</v>
      </c>
      <c r="H4210" s="1">
        <v>22</v>
      </c>
      <c r="I4210" s="36">
        <v>26.2</v>
      </c>
      <c r="J4210" s="2">
        <v>25.8</v>
      </c>
      <c r="K4210" s="2">
        <v>24.3</v>
      </c>
      <c r="L4210" s="1">
        <v>8.1280000000000001</v>
      </c>
      <c r="M4210" s="1">
        <v>33.1</v>
      </c>
      <c r="O4210" s="1"/>
      <c r="P4210" s="1">
        <v>4.7</v>
      </c>
      <c r="Q4210" s="1">
        <v>5.8</v>
      </c>
      <c r="R4210" s="1">
        <v>4.2</v>
      </c>
      <c r="X4210" s="1"/>
      <c r="AB4210" s="1"/>
    </row>
    <row r="4211" spans="1:28" x14ac:dyDescent="0.25">
      <c r="A4211" s="22">
        <v>42562</v>
      </c>
      <c r="B4211" s="2">
        <v>20.5</v>
      </c>
      <c r="C4211" s="1">
        <v>9.8000000000000007</v>
      </c>
      <c r="D4211" s="1">
        <v>11.7</v>
      </c>
      <c r="F4211" s="1">
        <v>0</v>
      </c>
      <c r="G4211" s="1">
        <v>12.1</v>
      </c>
      <c r="H4211" s="1">
        <v>7.2</v>
      </c>
      <c r="I4211" s="36">
        <v>8.6</v>
      </c>
      <c r="J4211" s="2">
        <v>8</v>
      </c>
      <c r="K4211" s="2">
        <v>0</v>
      </c>
      <c r="L4211" s="1">
        <v>11.683999999999999</v>
      </c>
      <c r="M4211" s="1">
        <v>9.9</v>
      </c>
      <c r="O4211" s="1"/>
      <c r="P4211" s="1">
        <v>2.9</v>
      </c>
      <c r="Q4211" s="1">
        <v>3.2</v>
      </c>
      <c r="R4211" s="1">
        <v>1.1000000000000001</v>
      </c>
      <c r="X4211" s="1"/>
      <c r="AB4211" s="1"/>
    </row>
    <row r="4212" spans="1:28" x14ac:dyDescent="0.25">
      <c r="A4212" s="22">
        <v>42563</v>
      </c>
      <c r="B4212" s="2">
        <v>10.5</v>
      </c>
      <c r="C4212" s="1">
        <v>9.5</v>
      </c>
      <c r="D4212" s="1">
        <v>11</v>
      </c>
      <c r="F4212" s="1">
        <v>11.3</v>
      </c>
      <c r="G4212" s="1">
        <v>0</v>
      </c>
      <c r="H4212" s="1">
        <v>15.2</v>
      </c>
      <c r="I4212" s="36">
        <v>9.3000000000000007</v>
      </c>
      <c r="J4212" s="1">
        <v>17</v>
      </c>
      <c r="K4212" s="1">
        <v>9.6999999999999993</v>
      </c>
      <c r="L4212" s="1">
        <v>11.937999999999999</v>
      </c>
      <c r="M4212" s="1">
        <v>13.6</v>
      </c>
      <c r="O4212" s="1"/>
      <c r="P4212" s="1">
        <v>9.9</v>
      </c>
      <c r="Q4212" s="1">
        <v>0</v>
      </c>
      <c r="R4212" s="1">
        <v>0</v>
      </c>
      <c r="X4212" s="1"/>
      <c r="AB4212" s="1"/>
    </row>
    <row r="4213" spans="1:28" x14ac:dyDescent="0.25">
      <c r="A4213" s="22">
        <v>42564</v>
      </c>
      <c r="B4213" s="2">
        <v>5</v>
      </c>
      <c r="C4213" s="1">
        <v>0</v>
      </c>
      <c r="D4213" s="1">
        <v>0</v>
      </c>
      <c r="F4213" s="1">
        <v>0</v>
      </c>
      <c r="G4213" s="2">
        <v>60.3</v>
      </c>
      <c r="H4213" s="1">
        <v>0</v>
      </c>
      <c r="I4213" s="36">
        <v>49.1</v>
      </c>
      <c r="J4213" s="1">
        <v>0</v>
      </c>
      <c r="K4213" s="2">
        <v>0</v>
      </c>
      <c r="L4213" s="1">
        <v>0.7619999999999999</v>
      </c>
      <c r="M4213" s="1">
        <v>0.3</v>
      </c>
      <c r="O4213" s="1"/>
      <c r="P4213" s="1">
        <v>0</v>
      </c>
      <c r="Q4213" s="1">
        <v>17.2</v>
      </c>
      <c r="R4213" s="1">
        <v>19.100000000000001</v>
      </c>
      <c r="X4213" s="1"/>
      <c r="AB4213" s="1"/>
    </row>
    <row r="4214" spans="1:28" x14ac:dyDescent="0.25">
      <c r="A4214" s="22">
        <v>42565</v>
      </c>
      <c r="B4214" s="2">
        <v>8.3000000000000007</v>
      </c>
      <c r="C4214" s="1">
        <v>22.1</v>
      </c>
      <c r="D4214" s="1">
        <v>29</v>
      </c>
      <c r="F4214" s="1">
        <v>67.2</v>
      </c>
      <c r="G4214" s="2">
        <v>21.9</v>
      </c>
      <c r="H4214" s="1">
        <v>56.3</v>
      </c>
      <c r="I4214" s="36">
        <v>0</v>
      </c>
      <c r="J4214" s="1">
        <v>55.8</v>
      </c>
      <c r="K4214" s="2">
        <v>58.2</v>
      </c>
      <c r="L4214" s="1">
        <v>8.636000000000001</v>
      </c>
      <c r="M4214" s="1">
        <v>0</v>
      </c>
      <c r="O4214" s="1"/>
      <c r="P4214" s="1">
        <v>4.5999999999999996</v>
      </c>
      <c r="Q4214" s="1">
        <v>18.2</v>
      </c>
      <c r="R4214" s="1">
        <v>15.5</v>
      </c>
      <c r="X4214" s="1"/>
      <c r="AB4214" s="1"/>
    </row>
    <row r="4215" spans="1:28" x14ac:dyDescent="0.25">
      <c r="A4215" s="22">
        <v>42566</v>
      </c>
      <c r="B4215" s="2">
        <v>14.7</v>
      </c>
      <c r="C4215" s="1">
        <v>25.2</v>
      </c>
      <c r="D4215" s="1">
        <v>34.799999999999997</v>
      </c>
      <c r="F4215" s="1">
        <v>18.5</v>
      </c>
      <c r="G4215" s="2">
        <v>20.7</v>
      </c>
      <c r="H4215" s="1">
        <v>16.899999999999999</v>
      </c>
      <c r="I4215" s="36">
        <v>3.9</v>
      </c>
      <c r="J4215" s="2">
        <v>30.1</v>
      </c>
      <c r="K4215" s="2">
        <v>34.200000000000003</v>
      </c>
      <c r="L4215" s="1">
        <v>25.654</v>
      </c>
      <c r="M4215" s="1">
        <v>63.2</v>
      </c>
      <c r="O4215" s="1"/>
      <c r="P4215" s="1">
        <v>17.7</v>
      </c>
      <c r="Q4215" s="1">
        <v>12.7</v>
      </c>
      <c r="R4215" s="1">
        <v>11.1</v>
      </c>
      <c r="X4215" s="1"/>
      <c r="AB4215" s="1"/>
    </row>
    <row r="4216" spans="1:28" x14ac:dyDescent="0.25">
      <c r="A4216" s="22">
        <v>42567</v>
      </c>
      <c r="B4216" s="2">
        <v>6.5</v>
      </c>
      <c r="C4216" s="1">
        <v>30.3</v>
      </c>
      <c r="D4216" s="1">
        <v>18</v>
      </c>
      <c r="F4216" s="1">
        <v>0</v>
      </c>
      <c r="G4216" s="2">
        <v>0.4</v>
      </c>
      <c r="H4216" s="1">
        <v>15.3</v>
      </c>
      <c r="I4216" s="36">
        <v>25.7</v>
      </c>
      <c r="J4216" s="2">
        <v>33.700000000000003</v>
      </c>
      <c r="K4216" s="2">
        <v>32.299999999999997</v>
      </c>
      <c r="L4216" s="1">
        <v>12.953999999999999</v>
      </c>
      <c r="M4216" s="1">
        <v>23.4</v>
      </c>
      <c r="O4216" s="1"/>
      <c r="P4216" s="1">
        <v>13.4</v>
      </c>
      <c r="Q4216" s="1">
        <v>1.1000000000000001</v>
      </c>
      <c r="R4216" s="1">
        <v>0</v>
      </c>
      <c r="X4216" s="1"/>
      <c r="AB4216" s="1"/>
    </row>
    <row r="4217" spans="1:28" x14ac:dyDescent="0.25">
      <c r="A4217" s="22">
        <v>42568</v>
      </c>
      <c r="B4217" s="2">
        <v>0</v>
      </c>
      <c r="C4217" s="1">
        <v>4.2</v>
      </c>
      <c r="D4217" s="1">
        <v>4.0999999999999996</v>
      </c>
      <c r="F4217" s="1">
        <v>0</v>
      </c>
      <c r="G4217" s="1">
        <v>5</v>
      </c>
      <c r="H4217" s="1">
        <v>0</v>
      </c>
      <c r="I4217" s="37">
        <v>9.1999999999999993</v>
      </c>
      <c r="J4217" s="2">
        <v>2.6</v>
      </c>
      <c r="K4217" s="2">
        <v>0</v>
      </c>
      <c r="L4217" s="1">
        <v>0</v>
      </c>
      <c r="M4217" s="1">
        <v>19.100000000000001</v>
      </c>
      <c r="O4217" s="1"/>
      <c r="P4217" s="1">
        <v>0</v>
      </c>
      <c r="Q4217" s="1">
        <v>0.2</v>
      </c>
      <c r="R4217" s="1">
        <v>0</v>
      </c>
      <c r="X4217" s="1"/>
      <c r="AB4217" s="1"/>
    </row>
    <row r="4218" spans="1:28" x14ac:dyDescent="0.25">
      <c r="A4218" s="22">
        <v>42569</v>
      </c>
      <c r="B4218" s="2">
        <v>0</v>
      </c>
      <c r="C4218" s="1">
        <v>0</v>
      </c>
      <c r="D4218" s="2">
        <v>0</v>
      </c>
      <c r="F4218" s="2">
        <v>0</v>
      </c>
      <c r="G4218" s="1">
        <v>1</v>
      </c>
      <c r="H4218" s="1">
        <v>0</v>
      </c>
      <c r="I4218" s="36">
        <v>3.4</v>
      </c>
      <c r="J4218" s="1">
        <v>15.1</v>
      </c>
      <c r="K4218" s="2">
        <v>18.5</v>
      </c>
      <c r="L4218" s="1">
        <v>1.016</v>
      </c>
      <c r="M4218" s="1">
        <v>0.5</v>
      </c>
      <c r="O4218" s="1"/>
      <c r="P4218" s="1">
        <v>0</v>
      </c>
      <c r="Q4218" s="1">
        <v>0</v>
      </c>
      <c r="R4218" s="1">
        <v>0</v>
      </c>
      <c r="X4218" s="1"/>
      <c r="AB4218" s="1"/>
    </row>
    <row r="4219" spans="1:28" x14ac:dyDescent="0.25">
      <c r="A4219" s="22">
        <v>42570</v>
      </c>
      <c r="B4219" s="2">
        <v>17.3</v>
      </c>
      <c r="C4219" s="1">
        <v>0</v>
      </c>
      <c r="D4219" s="1">
        <v>0</v>
      </c>
      <c r="F4219" s="1">
        <v>0</v>
      </c>
      <c r="G4219" s="1">
        <v>0.2</v>
      </c>
      <c r="H4219" s="1">
        <v>0</v>
      </c>
      <c r="I4219" s="37">
        <v>0.8</v>
      </c>
      <c r="J4219" s="1">
        <v>1.3</v>
      </c>
      <c r="K4219" s="1">
        <v>0</v>
      </c>
      <c r="L4219" s="1">
        <v>1.016</v>
      </c>
      <c r="M4219" s="1">
        <v>3.5</v>
      </c>
      <c r="O4219" s="1"/>
      <c r="P4219" s="1">
        <v>0</v>
      </c>
      <c r="Q4219" s="1">
        <v>7.5</v>
      </c>
      <c r="R4219" s="1">
        <v>1.9</v>
      </c>
      <c r="X4219" s="1"/>
      <c r="AB4219" s="1"/>
    </row>
    <row r="4220" spans="1:28" x14ac:dyDescent="0.25">
      <c r="A4220" s="22">
        <v>42571</v>
      </c>
      <c r="B4220" s="2">
        <v>14.6</v>
      </c>
      <c r="C4220" s="1">
        <v>4.2</v>
      </c>
      <c r="D4220" s="1">
        <v>12.3</v>
      </c>
      <c r="F4220" s="1">
        <v>0</v>
      </c>
      <c r="G4220" s="1">
        <v>11.2</v>
      </c>
      <c r="H4220" s="1">
        <v>0</v>
      </c>
      <c r="I4220" s="36">
        <v>2</v>
      </c>
      <c r="J4220" s="30" t="s">
        <v>9</v>
      </c>
      <c r="K4220" s="1">
        <v>0</v>
      </c>
      <c r="L4220" s="1">
        <v>3.0479999999999996</v>
      </c>
      <c r="M4220" s="1">
        <v>0</v>
      </c>
      <c r="O4220" s="1"/>
      <c r="P4220" s="1">
        <v>5.4</v>
      </c>
      <c r="Q4220" s="1">
        <v>15.2</v>
      </c>
      <c r="R4220" s="1">
        <v>15</v>
      </c>
      <c r="X4220" s="1"/>
      <c r="AB4220" s="1"/>
    </row>
    <row r="4221" spans="1:28" x14ac:dyDescent="0.25">
      <c r="A4221" s="22">
        <v>42572</v>
      </c>
      <c r="B4221" s="2">
        <v>7.3</v>
      </c>
      <c r="C4221" s="1">
        <v>19.399999999999999</v>
      </c>
      <c r="D4221" s="1">
        <v>8.4</v>
      </c>
      <c r="F4221" s="1">
        <v>6.4</v>
      </c>
      <c r="G4221" s="1">
        <v>21.1</v>
      </c>
      <c r="H4221" s="1">
        <v>1.3</v>
      </c>
      <c r="I4221" s="36">
        <v>2.1</v>
      </c>
      <c r="J4221" s="1">
        <v>7.9</v>
      </c>
      <c r="K4221" s="2">
        <v>13.6</v>
      </c>
      <c r="L4221" s="1">
        <v>13.462</v>
      </c>
      <c r="M4221" s="1">
        <v>10.5</v>
      </c>
      <c r="O4221" s="1"/>
      <c r="P4221" s="1">
        <v>12.8</v>
      </c>
      <c r="Q4221" s="1">
        <v>22.7</v>
      </c>
      <c r="R4221" s="1">
        <v>23.9</v>
      </c>
      <c r="X4221" s="1"/>
      <c r="AB4221" s="1"/>
    </row>
    <row r="4222" spans="1:28" x14ac:dyDescent="0.25">
      <c r="A4222" s="22">
        <v>42573</v>
      </c>
      <c r="B4222" s="2">
        <v>0</v>
      </c>
      <c r="C4222" s="1">
        <v>12.5</v>
      </c>
      <c r="D4222" s="2">
        <v>38.4</v>
      </c>
      <c r="F4222" s="2">
        <v>0</v>
      </c>
      <c r="G4222" s="1">
        <v>16.600000000000001</v>
      </c>
      <c r="H4222" s="1">
        <v>24.1</v>
      </c>
      <c r="I4222" s="36">
        <v>38</v>
      </c>
      <c r="J4222" s="1">
        <v>26</v>
      </c>
      <c r="K4222" s="1">
        <v>0</v>
      </c>
      <c r="L4222" s="1">
        <v>13.97</v>
      </c>
      <c r="M4222" s="1">
        <v>23.4</v>
      </c>
      <c r="O4222" s="1"/>
      <c r="P4222" s="1">
        <v>20.7</v>
      </c>
      <c r="Q4222" s="1">
        <v>13.1</v>
      </c>
      <c r="R4222" s="1">
        <v>12.2</v>
      </c>
      <c r="X4222" s="1"/>
      <c r="AB4222" s="1"/>
    </row>
    <row r="4223" spans="1:28" x14ac:dyDescent="0.25">
      <c r="A4223" s="22">
        <v>42574</v>
      </c>
      <c r="B4223" s="2">
        <v>0</v>
      </c>
      <c r="C4223" s="1">
        <v>5.7</v>
      </c>
      <c r="D4223" s="2">
        <v>0</v>
      </c>
      <c r="F4223" s="2">
        <v>18.7</v>
      </c>
      <c r="G4223" s="1">
        <v>7.9</v>
      </c>
      <c r="H4223" s="1">
        <v>0</v>
      </c>
      <c r="I4223" s="37">
        <v>0</v>
      </c>
      <c r="J4223" s="1">
        <v>30.6</v>
      </c>
      <c r="K4223" s="1">
        <v>50.3</v>
      </c>
      <c r="L4223" s="1">
        <v>10.921999999999999</v>
      </c>
      <c r="M4223" s="1">
        <v>22.5</v>
      </c>
      <c r="O4223" s="1"/>
      <c r="P4223" s="1">
        <v>0</v>
      </c>
      <c r="Q4223" s="1">
        <v>0.5</v>
      </c>
      <c r="R4223" s="1">
        <v>0</v>
      </c>
      <c r="X4223" s="1"/>
      <c r="AB4223" s="1"/>
    </row>
    <row r="4224" spans="1:28" x14ac:dyDescent="0.25">
      <c r="A4224" s="22">
        <v>42575</v>
      </c>
      <c r="B4224" s="2">
        <v>0</v>
      </c>
      <c r="C4224" s="1">
        <v>0</v>
      </c>
      <c r="D4224" s="2">
        <v>0</v>
      </c>
      <c r="F4224" s="2">
        <v>0</v>
      </c>
      <c r="G4224" s="1">
        <v>0</v>
      </c>
      <c r="H4224" s="1">
        <v>0</v>
      </c>
      <c r="I4224" s="36">
        <v>2</v>
      </c>
      <c r="J4224" s="1">
        <v>1.6</v>
      </c>
      <c r="K4224" s="1">
        <v>0.7</v>
      </c>
      <c r="L4224" s="1">
        <v>3.8099999999999996</v>
      </c>
      <c r="M4224" s="1">
        <v>0</v>
      </c>
      <c r="O4224" s="1"/>
      <c r="P4224" s="1">
        <v>15.4</v>
      </c>
      <c r="Q4224" s="1">
        <v>1.7</v>
      </c>
      <c r="R4224" s="1">
        <v>1.4</v>
      </c>
      <c r="X4224" s="1"/>
      <c r="AB4224" s="1"/>
    </row>
    <row r="4225" spans="1:28" x14ac:dyDescent="0.25">
      <c r="A4225" s="22">
        <v>42576</v>
      </c>
      <c r="B4225" s="2">
        <v>7.9</v>
      </c>
      <c r="C4225" s="1">
        <v>0</v>
      </c>
      <c r="D4225" s="2">
        <v>0</v>
      </c>
      <c r="F4225" s="2">
        <v>0</v>
      </c>
      <c r="G4225" s="1">
        <v>0</v>
      </c>
      <c r="H4225" s="1">
        <v>0</v>
      </c>
      <c r="I4225" s="37">
        <v>0</v>
      </c>
      <c r="J4225" s="2">
        <v>0.5</v>
      </c>
      <c r="K4225" s="1">
        <v>1.2</v>
      </c>
      <c r="L4225" s="1">
        <v>0.50800000000000001</v>
      </c>
      <c r="M4225" s="1">
        <v>6.1</v>
      </c>
      <c r="O4225" s="1"/>
      <c r="P4225" s="1">
        <v>0</v>
      </c>
      <c r="Q4225" s="1">
        <v>0.3</v>
      </c>
      <c r="R4225" s="1">
        <v>0</v>
      </c>
      <c r="X4225" s="1"/>
      <c r="AB4225" s="1"/>
    </row>
    <row r="4226" spans="1:28" x14ac:dyDescent="0.25">
      <c r="A4226" s="22">
        <v>42577</v>
      </c>
      <c r="B4226" s="2">
        <v>4.0999999999999996</v>
      </c>
      <c r="C4226" s="1">
        <v>0</v>
      </c>
      <c r="D4226" s="1">
        <v>0</v>
      </c>
      <c r="F4226" s="1">
        <v>0</v>
      </c>
      <c r="G4226" s="1">
        <v>2</v>
      </c>
      <c r="H4226" s="1">
        <v>0</v>
      </c>
      <c r="I4226" s="36">
        <v>0</v>
      </c>
      <c r="J4226" s="1">
        <v>0.5</v>
      </c>
      <c r="K4226" s="2">
        <v>2.2999999999999998</v>
      </c>
      <c r="L4226" s="1">
        <v>0</v>
      </c>
      <c r="M4226" s="1">
        <v>0</v>
      </c>
      <c r="O4226" s="1"/>
      <c r="P4226" s="1">
        <v>0</v>
      </c>
      <c r="Q4226" s="1">
        <v>0</v>
      </c>
      <c r="R4226" s="1">
        <v>0</v>
      </c>
      <c r="X4226" s="1"/>
      <c r="AB4226" s="1"/>
    </row>
    <row r="4227" spans="1:28" x14ac:dyDescent="0.25">
      <c r="A4227" s="22">
        <v>42578</v>
      </c>
      <c r="B4227" s="2">
        <v>0</v>
      </c>
      <c r="C4227" s="1">
        <v>0</v>
      </c>
      <c r="D4227" s="1">
        <v>0</v>
      </c>
      <c r="F4227" s="1">
        <v>0</v>
      </c>
      <c r="G4227" s="1">
        <v>0</v>
      </c>
      <c r="H4227" s="1">
        <v>0</v>
      </c>
      <c r="I4227" s="37">
        <v>3</v>
      </c>
      <c r="J4227" s="2">
        <v>3.6</v>
      </c>
      <c r="K4227" s="2">
        <v>1.8</v>
      </c>
      <c r="L4227" s="1">
        <v>0</v>
      </c>
      <c r="M4227" s="1">
        <v>0</v>
      </c>
      <c r="O4227" s="1"/>
      <c r="P4227" s="1">
        <v>0</v>
      </c>
      <c r="Q4227" s="1">
        <v>0.7</v>
      </c>
      <c r="R4227" s="1">
        <v>0.1</v>
      </c>
      <c r="X4227" s="1"/>
      <c r="AB4227" s="1"/>
    </row>
    <row r="4228" spans="1:28" x14ac:dyDescent="0.25">
      <c r="A4228" s="22">
        <v>42579</v>
      </c>
      <c r="B4228" s="2">
        <v>0</v>
      </c>
      <c r="C4228" s="1">
        <v>0</v>
      </c>
      <c r="D4228" s="1">
        <v>0</v>
      </c>
      <c r="F4228" s="1">
        <v>0</v>
      </c>
      <c r="G4228" s="1">
        <v>12.7</v>
      </c>
      <c r="H4228" s="1">
        <v>0</v>
      </c>
      <c r="I4228" s="37">
        <v>0</v>
      </c>
      <c r="J4228" s="30" t="s">
        <v>9</v>
      </c>
      <c r="K4228" s="1">
        <v>0</v>
      </c>
      <c r="L4228" s="1">
        <v>2.794</v>
      </c>
      <c r="M4228" s="1">
        <v>0</v>
      </c>
      <c r="O4228" s="1"/>
      <c r="P4228" s="1">
        <v>0</v>
      </c>
      <c r="Q4228" s="1">
        <v>8.1999999999999993</v>
      </c>
      <c r="R4228" s="1">
        <v>3.5</v>
      </c>
      <c r="X4228" s="1"/>
      <c r="AB4228" s="1"/>
    </row>
    <row r="4229" spans="1:28" x14ac:dyDescent="0.25">
      <c r="A4229" s="22">
        <v>42580</v>
      </c>
      <c r="B4229" s="2">
        <v>0</v>
      </c>
      <c r="C4229" s="1">
        <v>7.6</v>
      </c>
      <c r="D4229" s="1">
        <v>14.1</v>
      </c>
      <c r="F4229" s="1">
        <v>7.6</v>
      </c>
      <c r="G4229" s="1">
        <v>11.8</v>
      </c>
      <c r="H4229" s="1">
        <v>0</v>
      </c>
      <c r="I4229" s="37">
        <v>26</v>
      </c>
      <c r="J4229" s="1">
        <v>12</v>
      </c>
      <c r="K4229" s="1">
        <v>0</v>
      </c>
      <c r="L4229" s="1">
        <v>11.43</v>
      </c>
      <c r="M4229" s="1">
        <v>14.4</v>
      </c>
      <c r="O4229" s="1"/>
      <c r="P4229" s="1">
        <v>8.3000000000000007</v>
      </c>
      <c r="Q4229" s="1">
        <v>4.9000000000000004</v>
      </c>
      <c r="R4229" s="1">
        <v>5.9</v>
      </c>
      <c r="X4229" s="1"/>
      <c r="AB4229" s="1"/>
    </row>
    <row r="4230" spans="1:28" x14ac:dyDescent="0.25">
      <c r="A4230" s="22">
        <v>42581</v>
      </c>
      <c r="B4230" s="2">
        <v>0</v>
      </c>
      <c r="C4230" s="1">
        <v>11.9</v>
      </c>
      <c r="D4230" s="1">
        <v>4.2</v>
      </c>
      <c r="F4230" s="1">
        <v>6.2</v>
      </c>
      <c r="G4230" s="1">
        <v>0.5</v>
      </c>
      <c r="H4230" s="1">
        <v>8.1</v>
      </c>
      <c r="I4230" s="36">
        <v>0</v>
      </c>
      <c r="J4230" s="1">
        <v>14.8</v>
      </c>
      <c r="K4230" s="1">
        <v>8.6999999999999993</v>
      </c>
      <c r="L4230" s="1">
        <v>1.016</v>
      </c>
      <c r="M4230" s="1">
        <v>7.5</v>
      </c>
      <c r="O4230" s="1"/>
      <c r="P4230" s="1">
        <v>1.1000000000000001</v>
      </c>
      <c r="Q4230" s="1">
        <v>0.2</v>
      </c>
      <c r="R4230" s="1">
        <v>0.1</v>
      </c>
      <c r="X4230" s="1"/>
      <c r="AB4230" s="1"/>
    </row>
    <row r="4231" spans="1:28" x14ac:dyDescent="0.25">
      <c r="A4231" s="22">
        <v>42582</v>
      </c>
      <c r="B4231" s="2">
        <v>0</v>
      </c>
      <c r="C4231" s="1">
        <v>3.1</v>
      </c>
      <c r="D4231" s="1">
        <v>7.3</v>
      </c>
      <c r="F4231" s="1">
        <v>0</v>
      </c>
      <c r="G4231" s="1">
        <v>7.3</v>
      </c>
      <c r="H4231" s="1">
        <v>2.9</v>
      </c>
      <c r="I4231" s="2">
        <v>7.6</v>
      </c>
      <c r="J4231" s="1">
        <v>0.6</v>
      </c>
      <c r="K4231" s="1">
        <v>2.2999999999999998</v>
      </c>
      <c r="L4231" s="1">
        <v>1.27</v>
      </c>
      <c r="M4231" s="1"/>
      <c r="O4231" s="1"/>
      <c r="P4231" s="1">
        <v>0</v>
      </c>
      <c r="Q4231" s="1">
        <v>18.100000000000001</v>
      </c>
      <c r="R4231" s="1">
        <v>23.3</v>
      </c>
      <c r="X4231" s="1"/>
      <c r="AB4231" s="1"/>
    </row>
    <row r="4232" spans="1:28" x14ac:dyDescent="0.25">
      <c r="A4232" s="22">
        <v>42583</v>
      </c>
      <c r="B4232" s="2"/>
      <c r="C4232" s="1">
        <v>6.2</v>
      </c>
      <c r="D4232" s="1"/>
      <c r="F4232" s="1"/>
      <c r="G4232" s="1">
        <v>15.9</v>
      </c>
      <c r="H4232" s="1"/>
      <c r="I4232" s="2"/>
      <c r="J4232" s="1"/>
      <c r="K4232" s="2">
        <v>4.7</v>
      </c>
      <c r="L4232" s="1"/>
      <c r="M4232" s="1"/>
      <c r="O4232" s="1"/>
      <c r="P4232" s="1"/>
      <c r="Q4232" s="1"/>
      <c r="R4232" s="1"/>
      <c r="X4232" s="1"/>
      <c r="AB4232" s="1"/>
    </row>
    <row r="4233" spans="1:28" x14ac:dyDescent="0.25">
      <c r="A4233" s="22">
        <v>42584</v>
      </c>
      <c r="B4233" s="2"/>
      <c r="C4233" s="1">
        <v>2.2000000000000002</v>
      </c>
      <c r="D4233" s="1"/>
      <c r="F4233" s="1"/>
      <c r="G4233" s="1">
        <v>3.5</v>
      </c>
      <c r="H4233" s="1"/>
      <c r="I4233" s="2"/>
      <c r="J4233" s="2"/>
      <c r="K4233" s="2">
        <v>7.7</v>
      </c>
      <c r="L4233" s="1"/>
      <c r="M4233" s="1"/>
      <c r="O4233" s="1"/>
      <c r="P4233" s="1"/>
      <c r="Q4233" s="1"/>
      <c r="R4233" s="1"/>
      <c r="X4233" s="1"/>
      <c r="AB4233" s="1"/>
    </row>
    <row r="4234" spans="1:28" x14ac:dyDescent="0.25">
      <c r="A4234" s="22">
        <v>42585</v>
      </c>
      <c r="B4234" s="2"/>
      <c r="C4234" s="1">
        <v>5.4</v>
      </c>
      <c r="D4234" s="1"/>
      <c r="F4234" s="1"/>
      <c r="G4234" s="1">
        <v>4.0999999999999996</v>
      </c>
      <c r="H4234" s="1"/>
      <c r="I4234" s="2"/>
      <c r="J4234" s="2"/>
      <c r="K4234" s="2">
        <v>5.2</v>
      </c>
      <c r="L4234" s="1"/>
      <c r="M4234" s="1"/>
      <c r="O4234" s="1"/>
      <c r="P4234" s="1"/>
      <c r="Q4234" s="1"/>
      <c r="R4234" s="1"/>
      <c r="X4234" s="1"/>
      <c r="AB4234" s="1"/>
    </row>
    <row r="4235" spans="1:28" x14ac:dyDescent="0.25">
      <c r="A4235" s="22">
        <v>42586</v>
      </c>
      <c r="B4235" s="2"/>
      <c r="C4235" s="1">
        <v>0.8</v>
      </c>
      <c r="D4235" s="1"/>
      <c r="F4235" s="1"/>
      <c r="G4235" s="1">
        <v>9.6999999999999993</v>
      </c>
      <c r="H4235" s="1"/>
      <c r="I4235" s="2"/>
      <c r="J4235" s="1"/>
      <c r="K4235" s="2">
        <v>5.2</v>
      </c>
      <c r="L4235" s="1"/>
      <c r="M4235" s="1"/>
      <c r="O4235" s="1"/>
      <c r="P4235" s="1"/>
      <c r="Q4235" s="1"/>
      <c r="R4235" s="1"/>
      <c r="X4235" s="1"/>
      <c r="AB4235" s="1"/>
    </row>
    <row r="4236" spans="1:28" x14ac:dyDescent="0.25">
      <c r="A4236" s="22">
        <v>42587</v>
      </c>
      <c r="B4236" s="2"/>
      <c r="C4236" s="1">
        <v>26.8</v>
      </c>
      <c r="D4236" s="2"/>
      <c r="F4236" s="2"/>
      <c r="G4236" s="1">
        <v>14</v>
      </c>
      <c r="H4236" s="1"/>
      <c r="I4236" s="2"/>
      <c r="J4236" s="2"/>
      <c r="K4236" s="2">
        <v>5.5</v>
      </c>
      <c r="L4236" s="1"/>
      <c r="M4236" s="1"/>
      <c r="O4236" s="1"/>
      <c r="P4236" s="1"/>
      <c r="Q4236" s="1"/>
      <c r="R4236" s="1"/>
      <c r="X4236" s="1"/>
      <c r="AB4236" s="1"/>
    </row>
    <row r="4237" spans="1:28" x14ac:dyDescent="0.25">
      <c r="A4237" s="22">
        <v>42588</v>
      </c>
      <c r="B4237" s="2"/>
      <c r="C4237" s="1">
        <v>13.2</v>
      </c>
      <c r="D4237" s="2"/>
      <c r="F4237" s="2"/>
      <c r="G4237" s="1">
        <v>0.2</v>
      </c>
      <c r="H4237" s="1"/>
      <c r="I4237" s="2"/>
      <c r="J4237" s="2"/>
      <c r="K4237" s="2">
        <v>0</v>
      </c>
      <c r="L4237" s="1"/>
      <c r="M4237" s="1"/>
      <c r="O4237" s="1"/>
      <c r="P4237" s="1"/>
      <c r="Q4237" s="1"/>
      <c r="R4237" s="1"/>
      <c r="X4237" s="1"/>
      <c r="AB4237" s="1"/>
    </row>
    <row r="4238" spans="1:28" x14ac:dyDescent="0.25">
      <c r="A4238" s="22">
        <v>42589</v>
      </c>
      <c r="B4238" s="2"/>
      <c r="C4238" s="1">
        <v>4.5999999999999996</v>
      </c>
      <c r="D4238" s="2"/>
      <c r="F4238" s="2"/>
      <c r="G4238" s="1">
        <v>2.2000000000000002</v>
      </c>
      <c r="H4238" s="1"/>
      <c r="I4238" s="1"/>
      <c r="J4238" s="2"/>
      <c r="K4238" s="2">
        <v>0</v>
      </c>
      <c r="L4238" s="1"/>
      <c r="M4238" s="1"/>
      <c r="O4238" s="1"/>
      <c r="P4238" s="1"/>
      <c r="Q4238" s="1"/>
      <c r="R4238" s="1"/>
      <c r="X4238" s="1"/>
      <c r="AB4238" s="1"/>
    </row>
    <row r="4239" spans="1:28" x14ac:dyDescent="0.25">
      <c r="A4239" s="22">
        <v>42590</v>
      </c>
      <c r="B4239" s="2"/>
      <c r="C4239" s="1">
        <v>4</v>
      </c>
      <c r="D4239" s="1"/>
      <c r="F4239" s="1"/>
      <c r="G4239" s="1">
        <v>0</v>
      </c>
      <c r="H4239" s="1"/>
      <c r="I4239" s="2"/>
      <c r="J4239" s="2"/>
      <c r="K4239" s="2">
        <v>0</v>
      </c>
      <c r="L4239" s="1"/>
      <c r="M4239" s="1"/>
      <c r="O4239" s="1"/>
      <c r="P4239" s="1"/>
      <c r="Q4239" s="1"/>
      <c r="R4239" s="1"/>
      <c r="X4239" s="1"/>
      <c r="AB4239" s="1"/>
    </row>
    <row r="4240" spans="1:28" x14ac:dyDescent="0.25">
      <c r="A4240" s="22">
        <v>42591</v>
      </c>
      <c r="B4240" s="2"/>
      <c r="C4240" s="1">
        <v>0</v>
      </c>
      <c r="D4240" s="1"/>
      <c r="F4240" s="1"/>
      <c r="G4240" s="1">
        <v>8.6</v>
      </c>
      <c r="H4240" s="1"/>
      <c r="I4240" s="2"/>
      <c r="J4240" s="2"/>
      <c r="K4240" s="2">
        <v>0</v>
      </c>
      <c r="L4240" s="1"/>
      <c r="M4240" s="1"/>
      <c r="O4240" s="1"/>
      <c r="P4240" s="1"/>
      <c r="Q4240" s="1"/>
      <c r="R4240" s="1"/>
      <c r="X4240" s="1"/>
      <c r="AB4240" s="1"/>
    </row>
    <row r="4241" spans="1:28" x14ac:dyDescent="0.25">
      <c r="A4241" s="22">
        <v>42592</v>
      </c>
      <c r="B4241" s="2"/>
      <c r="C4241" s="1">
        <v>16.3</v>
      </c>
      <c r="D4241" s="1"/>
      <c r="F4241" s="1"/>
      <c r="G4241" s="1">
        <v>26.9</v>
      </c>
      <c r="H4241" s="1"/>
      <c r="I4241" s="2"/>
      <c r="J4241" s="2"/>
      <c r="K4241" s="2">
        <v>25.8</v>
      </c>
      <c r="L4241" s="1"/>
      <c r="M4241" s="1"/>
      <c r="O4241" s="1"/>
      <c r="P4241" s="1"/>
      <c r="Q4241" s="1"/>
      <c r="R4241" s="1"/>
      <c r="X4241" s="1"/>
      <c r="AB4241" s="1"/>
    </row>
    <row r="4242" spans="1:28" x14ac:dyDescent="0.25">
      <c r="A4242" s="22">
        <v>42593</v>
      </c>
      <c r="B4242" s="2"/>
      <c r="C4242" s="1">
        <v>14.8</v>
      </c>
      <c r="D4242" s="1"/>
      <c r="F4242" s="1"/>
      <c r="G4242" s="1">
        <v>1</v>
      </c>
      <c r="H4242" s="1"/>
      <c r="I4242" s="2"/>
      <c r="J4242" s="2"/>
      <c r="K4242" s="2">
        <v>26.5</v>
      </c>
      <c r="L4242" s="1"/>
      <c r="M4242" s="1"/>
      <c r="O4242" s="1"/>
      <c r="P4242" s="1"/>
      <c r="Q4242" s="1"/>
      <c r="R4242" s="1"/>
      <c r="X4242" s="1"/>
      <c r="AB4242" s="1"/>
    </row>
    <row r="4243" spans="1:28" x14ac:dyDescent="0.25">
      <c r="A4243" s="22">
        <v>42594</v>
      </c>
      <c r="B4243" s="2"/>
      <c r="C4243" s="1">
        <v>10.3</v>
      </c>
      <c r="D4243" s="1"/>
      <c r="F4243" s="1"/>
      <c r="G4243" s="1">
        <v>1.7</v>
      </c>
      <c r="H4243" s="1"/>
      <c r="I4243" s="2"/>
      <c r="J4243" s="1"/>
      <c r="K4243" s="2">
        <v>6.4</v>
      </c>
      <c r="L4243" s="1"/>
      <c r="M4243" s="1"/>
      <c r="O4243" s="1"/>
      <c r="P4243" s="1"/>
      <c r="Q4243" s="1"/>
      <c r="R4243" s="1"/>
      <c r="X4243" s="1"/>
      <c r="AB4243" s="1"/>
    </row>
    <row r="4244" spans="1:28" x14ac:dyDescent="0.25">
      <c r="A4244" s="22">
        <v>42595</v>
      </c>
      <c r="B4244" s="2"/>
      <c r="C4244" s="1">
        <v>22.6</v>
      </c>
      <c r="D4244" s="1"/>
      <c r="F4244" s="1"/>
      <c r="G4244" s="2">
        <v>1.5</v>
      </c>
      <c r="H4244" s="1"/>
      <c r="I4244" s="2"/>
      <c r="J4244" s="1"/>
      <c r="K4244" s="2">
        <v>0</v>
      </c>
      <c r="L4244" s="1"/>
      <c r="M4244" s="1"/>
      <c r="O4244" s="1"/>
      <c r="P4244" s="1"/>
      <c r="Q4244" s="1"/>
      <c r="R4244" s="1"/>
      <c r="X4244" s="1"/>
      <c r="AB4244" s="1"/>
    </row>
    <row r="4245" spans="1:28" x14ac:dyDescent="0.25">
      <c r="A4245" s="22">
        <v>42596</v>
      </c>
      <c r="B4245" s="2"/>
      <c r="C4245" s="1">
        <v>1.2</v>
      </c>
      <c r="D4245" s="1"/>
      <c r="F4245" s="1"/>
      <c r="G4245" s="2">
        <v>40.5</v>
      </c>
      <c r="H4245" s="1"/>
      <c r="I4245" s="2"/>
      <c r="J4245" s="1"/>
      <c r="K4245" s="2">
        <v>6.5</v>
      </c>
      <c r="L4245" s="1"/>
      <c r="M4245" s="1"/>
      <c r="O4245" s="1"/>
      <c r="P4245" s="1"/>
      <c r="Q4245" s="1"/>
      <c r="R4245" s="1"/>
      <c r="X4245" s="1"/>
      <c r="AB4245" s="1"/>
    </row>
    <row r="4246" spans="1:28" x14ac:dyDescent="0.25">
      <c r="A4246" s="22">
        <v>42597</v>
      </c>
      <c r="B4246" s="2"/>
      <c r="C4246" s="1">
        <v>29.6</v>
      </c>
      <c r="D4246" s="1"/>
      <c r="F4246" s="1"/>
      <c r="G4246" s="2">
        <v>3.1</v>
      </c>
      <c r="H4246" s="1"/>
      <c r="I4246" s="2"/>
      <c r="J4246" s="2"/>
      <c r="K4246" s="2">
        <v>38.1</v>
      </c>
      <c r="L4246" s="1"/>
      <c r="M4246" s="1"/>
      <c r="O4246" s="1"/>
      <c r="P4246" s="1"/>
      <c r="Q4246" s="1"/>
      <c r="R4246" s="1"/>
      <c r="X4246" s="1"/>
      <c r="AB4246" s="1"/>
    </row>
    <row r="4247" spans="1:28" x14ac:dyDescent="0.25">
      <c r="A4247" s="22">
        <v>42598</v>
      </c>
      <c r="B4247" s="2"/>
      <c r="C4247" s="1">
        <v>0</v>
      </c>
      <c r="D4247" s="1"/>
      <c r="F4247" s="1"/>
      <c r="G4247" s="2">
        <v>1</v>
      </c>
      <c r="H4247" s="1"/>
      <c r="I4247" s="1"/>
      <c r="J4247" s="2"/>
      <c r="K4247" s="2">
        <v>4.5999999999999996</v>
      </c>
      <c r="L4247" s="1"/>
      <c r="M4247" s="1"/>
      <c r="O4247" s="1"/>
      <c r="P4247" s="1"/>
      <c r="Q4247" s="1"/>
      <c r="R4247" s="1"/>
      <c r="X4247" s="1"/>
      <c r="AB4247" s="1"/>
    </row>
    <row r="4248" spans="1:28" x14ac:dyDescent="0.25">
      <c r="A4248" s="22">
        <v>42599</v>
      </c>
      <c r="B4248" s="2"/>
      <c r="C4248" s="1">
        <v>0</v>
      </c>
      <c r="D4248" s="1"/>
      <c r="F4248" s="1"/>
      <c r="G4248" s="1">
        <v>5.5</v>
      </c>
      <c r="H4248" s="1"/>
      <c r="I4248" s="2"/>
      <c r="J4248" s="2"/>
      <c r="K4248" s="2">
        <v>0</v>
      </c>
      <c r="L4248" s="1"/>
      <c r="M4248" s="1"/>
      <c r="O4248" s="1"/>
      <c r="P4248" s="1"/>
      <c r="Q4248" s="1"/>
      <c r="R4248" s="1"/>
      <c r="X4248" s="1"/>
      <c r="AB4248" s="1"/>
    </row>
    <row r="4249" spans="1:28" x14ac:dyDescent="0.25">
      <c r="A4249" s="22">
        <v>42600</v>
      </c>
      <c r="B4249" s="2"/>
      <c r="C4249" s="1">
        <v>11.2</v>
      </c>
      <c r="D4249" s="2"/>
      <c r="F4249" s="2"/>
      <c r="G4249" s="1">
        <v>0</v>
      </c>
      <c r="H4249" s="1"/>
      <c r="I4249" s="2"/>
      <c r="J4249" s="1"/>
      <c r="K4249" s="1">
        <v>10.1</v>
      </c>
      <c r="L4249" s="1"/>
      <c r="M4249" s="1"/>
      <c r="O4249" s="1"/>
      <c r="P4249" s="1"/>
      <c r="Q4249" s="1"/>
      <c r="R4249" s="1"/>
      <c r="X4249" s="1"/>
      <c r="AB4249" s="1"/>
    </row>
    <row r="4250" spans="1:28" x14ac:dyDescent="0.25">
      <c r="A4250" s="22">
        <v>42601</v>
      </c>
      <c r="B4250" s="2"/>
      <c r="C4250" s="1">
        <v>0</v>
      </c>
      <c r="D4250" s="1"/>
      <c r="F4250" s="1"/>
      <c r="G4250" s="1">
        <v>1.1000000000000001</v>
      </c>
      <c r="H4250" s="1"/>
      <c r="I4250" s="2"/>
      <c r="J4250" s="1"/>
      <c r="K4250" s="2">
        <v>0</v>
      </c>
      <c r="L4250" s="1"/>
      <c r="M4250" s="1"/>
      <c r="O4250" s="1"/>
      <c r="P4250" s="1"/>
      <c r="Q4250" s="1"/>
      <c r="R4250" s="1"/>
      <c r="X4250" s="1"/>
      <c r="AB4250" s="1"/>
    </row>
    <row r="4251" spans="1:28" x14ac:dyDescent="0.25">
      <c r="A4251" s="22">
        <v>42602</v>
      </c>
      <c r="B4251" s="2"/>
      <c r="C4251" s="1">
        <v>0</v>
      </c>
      <c r="D4251" s="1"/>
      <c r="F4251" s="1"/>
      <c r="G4251" s="1">
        <v>0</v>
      </c>
      <c r="H4251" s="1"/>
      <c r="I4251" s="2"/>
      <c r="J4251" s="2"/>
      <c r="K4251" s="1">
        <v>8.9</v>
      </c>
      <c r="L4251" s="1"/>
      <c r="M4251" s="1"/>
      <c r="O4251" s="1"/>
      <c r="P4251" s="1"/>
      <c r="Q4251" s="1"/>
      <c r="R4251" s="1"/>
      <c r="X4251" s="1"/>
      <c r="AB4251" s="1"/>
    </row>
    <row r="4252" spans="1:28" x14ac:dyDescent="0.25">
      <c r="A4252" s="22">
        <v>42603</v>
      </c>
      <c r="B4252" s="2"/>
      <c r="C4252" s="1">
        <v>0</v>
      </c>
      <c r="D4252" s="1"/>
      <c r="F4252" s="1"/>
      <c r="G4252" s="1">
        <v>0</v>
      </c>
      <c r="H4252" s="1"/>
      <c r="I4252" s="2"/>
      <c r="J4252" s="1"/>
      <c r="K4252" s="1">
        <v>2</v>
      </c>
      <c r="L4252" s="1"/>
      <c r="M4252" s="1"/>
      <c r="O4252" s="1"/>
      <c r="P4252" s="1"/>
      <c r="Q4252" s="1"/>
      <c r="R4252" s="1"/>
      <c r="X4252" s="1"/>
      <c r="AB4252" s="1"/>
    </row>
    <row r="4253" spans="1:28" x14ac:dyDescent="0.25">
      <c r="A4253" s="22">
        <v>42604</v>
      </c>
      <c r="B4253" s="2"/>
      <c r="C4253" s="1">
        <v>0</v>
      </c>
      <c r="D4253" s="2"/>
      <c r="F4253" s="2"/>
      <c r="G4253" s="1">
        <v>0</v>
      </c>
      <c r="H4253" s="1"/>
      <c r="I4253" s="2"/>
      <c r="J4253" s="1"/>
      <c r="K4253" s="1">
        <v>0</v>
      </c>
      <c r="L4253" s="1"/>
      <c r="M4253" s="1"/>
      <c r="O4253" s="1"/>
      <c r="P4253" s="1"/>
      <c r="Q4253" s="1"/>
      <c r="R4253" s="1"/>
      <c r="X4253" s="1"/>
      <c r="AB4253" s="1"/>
    </row>
    <row r="4254" spans="1:28" x14ac:dyDescent="0.25">
      <c r="A4254" s="22">
        <v>42605</v>
      </c>
      <c r="B4254" s="2"/>
      <c r="C4254" s="1">
        <v>0</v>
      </c>
      <c r="D4254" s="2"/>
      <c r="F4254" s="2"/>
      <c r="G4254" s="1">
        <v>0</v>
      </c>
      <c r="H4254" s="1"/>
      <c r="I4254" s="1"/>
      <c r="J4254" s="1"/>
      <c r="K4254" s="1">
        <v>0</v>
      </c>
      <c r="L4254" s="1"/>
      <c r="M4254" s="1"/>
      <c r="O4254" s="1"/>
      <c r="P4254" s="1"/>
      <c r="Q4254" s="1"/>
      <c r="R4254" s="1"/>
      <c r="X4254" s="1"/>
      <c r="AB4254" s="1"/>
    </row>
    <row r="4255" spans="1:28" x14ac:dyDescent="0.25">
      <c r="A4255" s="22">
        <v>42606</v>
      </c>
      <c r="B4255" s="2"/>
      <c r="C4255" s="1">
        <v>0</v>
      </c>
      <c r="D4255" s="2"/>
      <c r="F4255" s="2"/>
      <c r="G4255" s="1">
        <v>0</v>
      </c>
      <c r="H4255" s="1"/>
      <c r="I4255" s="2"/>
      <c r="J4255" s="1"/>
      <c r="K4255" s="2">
        <v>7.1</v>
      </c>
      <c r="L4255" s="1"/>
      <c r="M4255" s="1"/>
      <c r="O4255" s="1"/>
      <c r="P4255" s="1"/>
      <c r="Q4255" s="1"/>
      <c r="R4255" s="1"/>
      <c r="X4255" s="1"/>
      <c r="AB4255" s="1"/>
    </row>
    <row r="4256" spans="1:28" x14ac:dyDescent="0.25">
      <c r="A4256" s="22">
        <v>42607</v>
      </c>
      <c r="B4256" s="2"/>
      <c r="C4256" s="1">
        <v>0</v>
      </c>
      <c r="D4256" s="2"/>
      <c r="F4256" s="2"/>
      <c r="G4256" s="1">
        <v>46.7</v>
      </c>
      <c r="H4256" s="1"/>
      <c r="I4256" s="1"/>
      <c r="J4256" s="2"/>
      <c r="K4256" s="2">
        <v>0</v>
      </c>
      <c r="L4256" s="1"/>
      <c r="M4256" s="1"/>
      <c r="O4256" s="1"/>
      <c r="P4256" s="1"/>
      <c r="Q4256" s="1"/>
      <c r="R4256" s="1"/>
      <c r="X4256" s="1"/>
      <c r="AB4256" s="1"/>
    </row>
    <row r="4257" spans="1:28" x14ac:dyDescent="0.25">
      <c r="A4257" s="22">
        <v>42608</v>
      </c>
      <c r="B4257" s="2"/>
      <c r="C4257" s="1">
        <v>17.100000000000001</v>
      </c>
      <c r="D4257" s="1"/>
      <c r="F4257" s="1"/>
      <c r="G4257" s="1">
        <v>17.8</v>
      </c>
      <c r="H4257" s="1"/>
      <c r="I4257" s="1"/>
      <c r="J4257" s="1"/>
      <c r="K4257" s="2">
        <v>27</v>
      </c>
      <c r="L4257" s="1"/>
      <c r="M4257" s="1"/>
      <c r="O4257" s="1"/>
      <c r="P4257" s="1"/>
      <c r="Q4257" s="1"/>
      <c r="R4257" s="1"/>
      <c r="X4257" s="1"/>
      <c r="AB4257" s="1"/>
    </row>
    <row r="4258" spans="1:28" x14ac:dyDescent="0.25">
      <c r="A4258" s="22">
        <v>42609</v>
      </c>
      <c r="B4258" s="2"/>
      <c r="C4258" s="1">
        <v>4.5</v>
      </c>
      <c r="D4258" s="1"/>
      <c r="F4258" s="1"/>
      <c r="G4258" s="1">
        <v>0</v>
      </c>
      <c r="H4258" s="1"/>
      <c r="I4258" s="1"/>
      <c r="J4258" s="2"/>
      <c r="K4258" s="1">
        <v>35.299999999999997</v>
      </c>
      <c r="L4258" s="1"/>
      <c r="M4258" s="1"/>
      <c r="O4258" s="1"/>
      <c r="P4258" s="1"/>
      <c r="Q4258" s="1"/>
      <c r="R4258" s="1"/>
      <c r="X4258" s="1"/>
      <c r="AB4258" s="1"/>
    </row>
    <row r="4259" spans="1:28" x14ac:dyDescent="0.25">
      <c r="A4259" s="22">
        <v>42610</v>
      </c>
      <c r="B4259" s="2"/>
      <c r="C4259" s="1">
        <v>13.4</v>
      </c>
      <c r="D4259" s="1"/>
      <c r="F4259" s="1"/>
      <c r="G4259" s="1">
        <v>1.2</v>
      </c>
      <c r="H4259" s="1"/>
      <c r="I4259" s="2"/>
      <c r="J4259" s="1"/>
      <c r="K4259" s="1">
        <v>0</v>
      </c>
      <c r="L4259" s="1"/>
      <c r="M4259" s="1"/>
      <c r="O4259" s="1"/>
      <c r="P4259" s="1"/>
      <c r="Q4259" s="1"/>
      <c r="R4259" s="1"/>
      <c r="X4259" s="1"/>
      <c r="AB4259" s="1"/>
    </row>
    <row r="4260" spans="1:28" x14ac:dyDescent="0.25">
      <c r="A4260" s="22">
        <v>42611</v>
      </c>
      <c r="B4260" s="2"/>
      <c r="C4260" s="1">
        <v>1.1000000000000001</v>
      </c>
      <c r="D4260" s="1"/>
      <c r="F4260" s="1"/>
      <c r="G4260" s="1">
        <v>4.5</v>
      </c>
      <c r="H4260" s="1"/>
      <c r="I4260" s="2"/>
      <c r="J4260" s="1"/>
      <c r="K4260" s="1">
        <v>3.2</v>
      </c>
      <c r="L4260" s="1"/>
      <c r="M4260" s="1"/>
      <c r="O4260" s="1"/>
      <c r="P4260" s="1"/>
      <c r="Q4260" s="1"/>
      <c r="R4260" s="1"/>
      <c r="X4260" s="1"/>
      <c r="AB4260" s="1"/>
    </row>
    <row r="4261" spans="1:28" x14ac:dyDescent="0.25">
      <c r="A4261" s="22">
        <v>42612</v>
      </c>
      <c r="B4261" s="2"/>
      <c r="C4261" s="1">
        <v>2</v>
      </c>
      <c r="D4261" s="1"/>
      <c r="F4261" s="1"/>
      <c r="G4261" s="1">
        <v>4.9000000000000004</v>
      </c>
      <c r="H4261" s="1"/>
      <c r="I4261" s="2"/>
      <c r="J4261" s="1"/>
      <c r="K4261" s="1">
        <v>0.4</v>
      </c>
      <c r="L4261" s="1"/>
      <c r="M4261" s="1"/>
      <c r="O4261" s="1"/>
      <c r="P4261" s="1"/>
      <c r="Q4261" s="1"/>
      <c r="R4261" s="1"/>
      <c r="X4261" s="1"/>
      <c r="AB4261" s="1"/>
    </row>
    <row r="4262" spans="1:28" x14ac:dyDescent="0.25">
      <c r="A4262" s="22">
        <v>42613</v>
      </c>
      <c r="B4262" s="2"/>
      <c r="C4262" s="1">
        <v>2.7</v>
      </c>
      <c r="D4262" s="1"/>
      <c r="F4262" s="1"/>
      <c r="G4262" s="1">
        <v>11.8</v>
      </c>
      <c r="H4262" s="1"/>
      <c r="I4262" s="2"/>
      <c r="J4262" s="1"/>
      <c r="K4262" s="1">
        <v>1</v>
      </c>
      <c r="L4262" s="1"/>
      <c r="M4262" s="1"/>
      <c r="O4262" s="1"/>
      <c r="P4262" s="1"/>
      <c r="Q4262" s="1"/>
      <c r="R4262" s="1"/>
      <c r="X4262" s="1"/>
      <c r="AB4262" s="1"/>
    </row>
    <row r="4263" spans="1:28" x14ac:dyDescent="0.25">
      <c r="A4263" s="22">
        <v>42614</v>
      </c>
      <c r="B4263" s="2">
        <v>5.3</v>
      </c>
      <c r="C4263" s="1">
        <v>17.100000000000001</v>
      </c>
      <c r="D4263" s="1">
        <v>15</v>
      </c>
      <c r="F4263" s="1"/>
      <c r="G4263" s="1">
        <v>3.8</v>
      </c>
      <c r="H4263" s="1">
        <v>4</v>
      </c>
      <c r="I4263" s="2">
        <v>6.8</v>
      </c>
      <c r="J4263" s="1"/>
      <c r="K4263" s="2">
        <v>8.1</v>
      </c>
      <c r="L4263" s="1">
        <v>17.525999999999996</v>
      </c>
      <c r="M4263" s="1">
        <v>12.1</v>
      </c>
      <c r="O4263" s="1">
        <v>17.779999999999998</v>
      </c>
      <c r="P4263" s="1">
        <v>5.9</v>
      </c>
      <c r="Q4263" s="1">
        <v>6.7</v>
      </c>
      <c r="R4263" s="1">
        <v>0.6</v>
      </c>
      <c r="X4263" s="1"/>
      <c r="AB4263" s="1"/>
    </row>
    <row r="4264" spans="1:28" x14ac:dyDescent="0.25">
      <c r="A4264" s="22">
        <v>42615</v>
      </c>
      <c r="B4264" s="2">
        <v>15.7</v>
      </c>
      <c r="C4264" s="1">
        <v>20</v>
      </c>
      <c r="D4264" s="1">
        <v>15.1</v>
      </c>
      <c r="F4264" s="1"/>
      <c r="G4264" s="1">
        <v>10.3</v>
      </c>
      <c r="H4264" s="1">
        <v>5.2</v>
      </c>
      <c r="I4264" s="2">
        <v>0.4</v>
      </c>
      <c r="J4264" s="2"/>
      <c r="K4264" s="2">
        <v>9.5</v>
      </c>
      <c r="L4264" s="1">
        <v>0.7619999999999999</v>
      </c>
      <c r="M4264" s="1">
        <v>2.2000000000000002</v>
      </c>
      <c r="O4264" s="1">
        <v>24.637999999999998</v>
      </c>
      <c r="P4264" s="1">
        <v>0</v>
      </c>
      <c r="Q4264" s="1">
        <v>5.2</v>
      </c>
      <c r="R4264" s="1">
        <v>5.5</v>
      </c>
      <c r="X4264" s="1"/>
      <c r="AB4264" s="1"/>
    </row>
    <row r="4265" spans="1:28" x14ac:dyDescent="0.25">
      <c r="A4265" s="22">
        <v>42616</v>
      </c>
      <c r="B4265" s="2">
        <v>21</v>
      </c>
      <c r="C4265" s="1">
        <v>17.3</v>
      </c>
      <c r="D4265" s="1">
        <v>14.3</v>
      </c>
      <c r="F4265" s="1"/>
      <c r="G4265" s="1">
        <v>2.5</v>
      </c>
      <c r="H4265" s="1">
        <v>15.5</v>
      </c>
      <c r="I4265" s="2">
        <v>0</v>
      </c>
      <c r="J4265" s="2"/>
      <c r="K4265" s="2">
        <v>19.5</v>
      </c>
      <c r="L4265" s="1">
        <v>3.0479999999999996</v>
      </c>
      <c r="M4265" s="1">
        <v>16.600000000000001</v>
      </c>
      <c r="O4265" s="1">
        <v>13.97</v>
      </c>
      <c r="P4265" s="1">
        <v>8.3000000000000007</v>
      </c>
      <c r="Q4265" s="1">
        <v>18.3</v>
      </c>
      <c r="R4265" s="1">
        <v>18.5</v>
      </c>
      <c r="X4265" s="1"/>
      <c r="AB4265" s="1"/>
    </row>
    <row r="4266" spans="1:28" x14ac:dyDescent="0.25">
      <c r="A4266" s="22">
        <v>42617</v>
      </c>
      <c r="B4266" s="2">
        <v>0</v>
      </c>
      <c r="C4266" s="1">
        <v>16.5</v>
      </c>
      <c r="D4266" s="1">
        <v>0</v>
      </c>
      <c r="F4266" s="1"/>
      <c r="G4266" s="1">
        <v>17.3</v>
      </c>
      <c r="H4266" s="1">
        <v>0</v>
      </c>
      <c r="I4266" s="2">
        <v>3.4</v>
      </c>
      <c r="J4266" s="1"/>
      <c r="K4266" s="2">
        <v>0</v>
      </c>
      <c r="L4266" s="1">
        <v>28.701999999999995</v>
      </c>
      <c r="M4266" s="1">
        <v>8.3000000000000007</v>
      </c>
      <c r="O4266" s="1">
        <v>11.43</v>
      </c>
      <c r="P4266" s="1">
        <v>26.1</v>
      </c>
      <c r="Q4266" s="1">
        <v>0.7</v>
      </c>
      <c r="R4266" s="1">
        <v>11.3</v>
      </c>
      <c r="X4266" s="1"/>
      <c r="AB4266" s="1"/>
    </row>
    <row r="4267" spans="1:28" x14ac:dyDescent="0.25">
      <c r="A4267" s="22">
        <v>42618</v>
      </c>
      <c r="B4267" s="2">
        <v>75</v>
      </c>
      <c r="C4267" s="1">
        <v>16.8</v>
      </c>
      <c r="D4267" s="2">
        <v>43</v>
      </c>
      <c r="F4267" s="2"/>
      <c r="G4267" s="1">
        <v>13.8</v>
      </c>
      <c r="H4267" s="1">
        <v>0</v>
      </c>
      <c r="I4267" s="2">
        <v>5.3</v>
      </c>
      <c r="J4267" s="2"/>
      <c r="K4267" s="2">
        <v>11</v>
      </c>
      <c r="L4267" s="1">
        <v>54.101999999999997</v>
      </c>
      <c r="M4267" s="1">
        <v>4</v>
      </c>
      <c r="O4267" s="1">
        <v>20.32</v>
      </c>
      <c r="P4267" s="1">
        <v>79.3</v>
      </c>
      <c r="Q4267" s="1">
        <v>19.100000000000001</v>
      </c>
      <c r="R4267" s="1">
        <v>9.3000000000000007</v>
      </c>
      <c r="X4267" s="1"/>
      <c r="AB4267" s="1"/>
    </row>
    <row r="4268" spans="1:28" x14ac:dyDescent="0.25">
      <c r="A4268" s="22">
        <v>42619</v>
      </c>
      <c r="B4268" s="2">
        <v>0</v>
      </c>
      <c r="C4268" s="1">
        <v>8.1</v>
      </c>
      <c r="D4268" s="2">
        <v>5.5</v>
      </c>
      <c r="F4268" s="2"/>
      <c r="G4268" s="1">
        <v>7.8</v>
      </c>
      <c r="H4268" s="1">
        <v>0</v>
      </c>
      <c r="I4268" s="2">
        <v>0</v>
      </c>
      <c r="J4268" s="2"/>
      <c r="K4268" s="2">
        <v>0</v>
      </c>
      <c r="L4268" s="1">
        <v>5.3339999999999996</v>
      </c>
      <c r="M4268" s="1">
        <v>0.7</v>
      </c>
      <c r="O4268" s="1">
        <v>11.683999999999999</v>
      </c>
      <c r="P4268" s="1">
        <v>0</v>
      </c>
      <c r="Q4268" s="1">
        <v>4.9000000000000004</v>
      </c>
      <c r="R4268" s="1">
        <v>7</v>
      </c>
      <c r="X4268" s="1"/>
      <c r="AB4268" s="1"/>
    </row>
    <row r="4269" spans="1:28" x14ac:dyDescent="0.25">
      <c r="A4269" s="22">
        <v>42620</v>
      </c>
      <c r="B4269" s="2">
        <v>2.2999999999999998</v>
      </c>
      <c r="C4269" s="1">
        <v>22.8</v>
      </c>
      <c r="D4269" s="2">
        <v>15.3</v>
      </c>
      <c r="F4269" s="2"/>
      <c r="G4269" s="1">
        <v>4.0999999999999996</v>
      </c>
      <c r="H4269" s="1">
        <v>3.4</v>
      </c>
      <c r="I4269" s="1">
        <v>4.2</v>
      </c>
      <c r="J4269" s="2"/>
      <c r="K4269" s="2">
        <v>0</v>
      </c>
      <c r="L4269" s="1">
        <v>8.1280000000000001</v>
      </c>
      <c r="M4269" s="1">
        <v>3.2</v>
      </c>
      <c r="O4269" s="1">
        <v>13.208</v>
      </c>
      <c r="P4269" s="1">
        <v>1.4</v>
      </c>
      <c r="Q4269" s="1">
        <v>0.2</v>
      </c>
      <c r="R4269" s="1">
        <v>0</v>
      </c>
      <c r="X4269" s="1"/>
      <c r="AB4269" s="1"/>
    </row>
    <row r="4270" spans="1:28" x14ac:dyDescent="0.25">
      <c r="A4270" s="22">
        <v>42621</v>
      </c>
      <c r="B4270" s="2">
        <v>1.5</v>
      </c>
      <c r="C4270" s="1">
        <v>0</v>
      </c>
      <c r="D4270" s="1">
        <v>0</v>
      </c>
      <c r="F4270" s="1"/>
      <c r="G4270" s="1">
        <v>0</v>
      </c>
      <c r="H4270" s="1">
        <v>0</v>
      </c>
      <c r="I4270" s="2">
        <v>0</v>
      </c>
      <c r="J4270" s="2"/>
      <c r="K4270" s="2">
        <v>0</v>
      </c>
      <c r="L4270" s="1">
        <v>0</v>
      </c>
      <c r="M4270" s="1">
        <v>3.7</v>
      </c>
      <c r="O4270" s="1">
        <v>1.778</v>
      </c>
      <c r="P4270" s="1">
        <v>2.9</v>
      </c>
      <c r="Q4270" s="1">
        <v>1.1000000000000001</v>
      </c>
      <c r="R4270" s="1">
        <v>0</v>
      </c>
      <c r="X4270" s="1"/>
      <c r="AB4270" s="1"/>
    </row>
    <row r="4271" spans="1:28" x14ac:dyDescent="0.25">
      <c r="A4271" s="22">
        <v>42622</v>
      </c>
      <c r="B4271" s="2">
        <v>0</v>
      </c>
      <c r="C4271" s="1">
        <v>0</v>
      </c>
      <c r="D4271" s="1">
        <v>0</v>
      </c>
      <c r="F4271" s="1"/>
      <c r="G4271" s="1">
        <v>4.5</v>
      </c>
      <c r="H4271" s="1">
        <v>0</v>
      </c>
      <c r="I4271" s="2">
        <v>0</v>
      </c>
      <c r="J4271" s="2"/>
      <c r="K4271" s="2">
        <v>0</v>
      </c>
      <c r="L4271" s="1">
        <v>0</v>
      </c>
      <c r="M4271" s="1">
        <v>0</v>
      </c>
      <c r="O4271" s="1">
        <v>0.7619999999999999</v>
      </c>
      <c r="P4271" s="1">
        <v>0</v>
      </c>
      <c r="Q4271" s="1">
        <v>10.4</v>
      </c>
      <c r="R4271" s="1">
        <v>10.5</v>
      </c>
      <c r="X4271" s="1"/>
      <c r="AB4271" s="1"/>
    </row>
    <row r="4272" spans="1:28" x14ac:dyDescent="0.25">
      <c r="A4272" s="22">
        <v>42623</v>
      </c>
      <c r="B4272" s="2">
        <v>0.2</v>
      </c>
      <c r="C4272" s="1">
        <v>7.5</v>
      </c>
      <c r="D4272" s="1">
        <v>3.6</v>
      </c>
      <c r="F4272" s="1"/>
      <c r="G4272" s="1">
        <v>8.8000000000000007</v>
      </c>
      <c r="H4272" s="1">
        <v>0</v>
      </c>
      <c r="I4272" s="2">
        <v>0</v>
      </c>
      <c r="J4272" s="2"/>
      <c r="K4272" s="2">
        <v>16.5</v>
      </c>
      <c r="L4272" s="1">
        <v>10.667999999999999</v>
      </c>
      <c r="M4272" s="1">
        <v>3.7</v>
      </c>
      <c r="O4272" s="1">
        <v>0</v>
      </c>
      <c r="P4272" s="1">
        <v>14.7</v>
      </c>
      <c r="Q4272" s="1">
        <v>6.2</v>
      </c>
      <c r="R4272" s="1">
        <v>6.3</v>
      </c>
      <c r="X4272" s="1"/>
      <c r="AB4272" s="1"/>
    </row>
    <row r="4273" spans="1:28" x14ac:dyDescent="0.25">
      <c r="A4273" s="22">
        <v>42624</v>
      </c>
      <c r="B4273" s="2">
        <v>0</v>
      </c>
      <c r="C4273" s="1">
        <v>9.8000000000000007</v>
      </c>
      <c r="D4273" s="1">
        <v>6.6</v>
      </c>
      <c r="F4273" s="1"/>
      <c r="G4273" s="1">
        <v>11.9</v>
      </c>
      <c r="H4273" s="1">
        <v>0</v>
      </c>
      <c r="I4273" s="2">
        <v>0</v>
      </c>
      <c r="J4273" s="2"/>
      <c r="K4273" s="2">
        <v>0</v>
      </c>
      <c r="L4273" s="1">
        <v>7.1120000000000001</v>
      </c>
      <c r="M4273" s="1">
        <v>9.4</v>
      </c>
      <c r="O4273" s="1">
        <v>0</v>
      </c>
      <c r="P4273" s="1">
        <v>5.4</v>
      </c>
      <c r="Q4273" s="1">
        <v>5.2</v>
      </c>
      <c r="R4273" s="1">
        <v>0.4</v>
      </c>
      <c r="X4273" s="1"/>
      <c r="AB4273" s="1"/>
    </row>
    <row r="4274" spans="1:28" x14ac:dyDescent="0.25">
      <c r="A4274" s="22">
        <v>42625</v>
      </c>
      <c r="B4274" s="2">
        <v>36.5</v>
      </c>
      <c r="C4274" s="1">
        <v>2.4</v>
      </c>
      <c r="D4274" s="1">
        <v>11.1</v>
      </c>
      <c r="F4274" s="1"/>
      <c r="G4274" s="1">
        <v>1</v>
      </c>
      <c r="H4274" s="1">
        <v>20</v>
      </c>
      <c r="I4274" s="2">
        <v>24.2</v>
      </c>
      <c r="J4274" s="1"/>
      <c r="K4274" s="2">
        <v>18.899999999999999</v>
      </c>
      <c r="L4274" s="1">
        <v>2.2859999999999996</v>
      </c>
      <c r="M4274" s="1">
        <v>18.8</v>
      </c>
      <c r="O4274" s="1">
        <v>32.512</v>
      </c>
      <c r="P4274" s="1">
        <v>0</v>
      </c>
      <c r="Q4274" s="1">
        <v>2.6</v>
      </c>
      <c r="R4274" s="1">
        <v>2</v>
      </c>
      <c r="X4274" s="1"/>
      <c r="AB4274" s="1"/>
    </row>
    <row r="4275" spans="1:28" x14ac:dyDescent="0.25">
      <c r="A4275" s="22">
        <v>42626</v>
      </c>
      <c r="B4275" s="2">
        <v>0</v>
      </c>
      <c r="C4275" s="1">
        <v>0</v>
      </c>
      <c r="D4275" s="1">
        <v>8.5</v>
      </c>
      <c r="F4275" s="1"/>
      <c r="G4275" s="2">
        <v>15.5</v>
      </c>
      <c r="H4275" s="1">
        <v>0</v>
      </c>
      <c r="I4275" s="2">
        <v>0</v>
      </c>
      <c r="J4275" s="1"/>
      <c r="K4275" s="2">
        <v>5.6</v>
      </c>
      <c r="L4275" s="1">
        <v>3.302</v>
      </c>
      <c r="M4275" s="1">
        <v>0</v>
      </c>
      <c r="O4275" s="1">
        <v>2.54</v>
      </c>
      <c r="P4275" s="1">
        <v>2.1</v>
      </c>
      <c r="Q4275" s="1">
        <v>4.7</v>
      </c>
      <c r="R4275" s="1">
        <v>5.5</v>
      </c>
      <c r="X4275" s="1"/>
      <c r="AB4275" s="1"/>
    </row>
    <row r="4276" spans="1:28" x14ac:dyDescent="0.25">
      <c r="A4276" s="22">
        <v>42627</v>
      </c>
      <c r="B4276" s="2">
        <v>16.5</v>
      </c>
      <c r="C4276" s="1">
        <v>14.4</v>
      </c>
      <c r="D4276" s="1">
        <v>14.5</v>
      </c>
      <c r="F4276" s="1"/>
      <c r="G4276" s="2">
        <v>0</v>
      </c>
      <c r="H4276" s="1">
        <v>11.6</v>
      </c>
      <c r="I4276" s="2">
        <v>2.5</v>
      </c>
      <c r="J4276" s="1"/>
      <c r="K4276" s="2">
        <v>27.5</v>
      </c>
      <c r="L4276" s="1">
        <v>3.0479999999999996</v>
      </c>
      <c r="M4276" s="1">
        <v>0</v>
      </c>
      <c r="O4276" s="1">
        <v>11.43</v>
      </c>
      <c r="P4276" s="1">
        <v>11.2</v>
      </c>
      <c r="Q4276" s="1">
        <v>3.5</v>
      </c>
      <c r="R4276" s="1">
        <v>3.5</v>
      </c>
      <c r="X4276" s="1"/>
      <c r="AB4276" s="1"/>
    </row>
    <row r="4277" spans="1:28" x14ac:dyDescent="0.25">
      <c r="A4277" s="22">
        <v>42628</v>
      </c>
      <c r="B4277" s="2">
        <v>7.2</v>
      </c>
      <c r="C4277" s="1">
        <v>10.3</v>
      </c>
      <c r="D4277" s="1">
        <v>9.6999999999999993</v>
      </c>
      <c r="F4277" s="1"/>
      <c r="G4277" s="2">
        <v>5.9</v>
      </c>
      <c r="H4277" s="1">
        <v>0</v>
      </c>
      <c r="I4277" s="2">
        <v>0.9</v>
      </c>
      <c r="J4277" s="2"/>
      <c r="K4277" s="2">
        <v>11.7</v>
      </c>
      <c r="L4277" s="1">
        <v>2.794</v>
      </c>
      <c r="M4277" s="1">
        <v>0</v>
      </c>
      <c r="O4277" s="1">
        <v>10.413999999999998</v>
      </c>
      <c r="P4277" s="1">
        <v>0.5</v>
      </c>
      <c r="Q4277" s="1">
        <v>0.4</v>
      </c>
      <c r="R4277" s="1">
        <v>0.4</v>
      </c>
      <c r="X4277" s="1"/>
      <c r="AB4277" s="1"/>
    </row>
    <row r="4278" spans="1:28" x14ac:dyDescent="0.25">
      <c r="A4278" s="22">
        <v>42629</v>
      </c>
      <c r="B4278" s="2">
        <v>15.3</v>
      </c>
      <c r="C4278" s="1">
        <v>0.4</v>
      </c>
      <c r="D4278" s="1">
        <v>5.2</v>
      </c>
      <c r="F4278" s="1"/>
      <c r="G4278" s="2">
        <v>7.5</v>
      </c>
      <c r="H4278" s="1">
        <v>4.5</v>
      </c>
      <c r="I4278" s="1">
        <v>1.1000000000000001</v>
      </c>
      <c r="J4278" s="2"/>
      <c r="K4278" s="2">
        <v>6.9</v>
      </c>
      <c r="L4278" s="1">
        <v>8.8899999999999988</v>
      </c>
      <c r="M4278" s="1">
        <v>17.8</v>
      </c>
      <c r="O4278" s="1">
        <v>5.3339999999999996</v>
      </c>
      <c r="P4278" s="1">
        <v>5.2</v>
      </c>
      <c r="Q4278" s="1">
        <v>7.2</v>
      </c>
      <c r="R4278" s="1">
        <v>0</v>
      </c>
      <c r="X4278" s="1"/>
      <c r="AB4278" s="1"/>
    </row>
    <row r="4279" spans="1:28" x14ac:dyDescent="0.25">
      <c r="A4279" s="22">
        <v>42630</v>
      </c>
      <c r="B4279" s="2">
        <v>0.5</v>
      </c>
      <c r="C4279" s="1">
        <v>0</v>
      </c>
      <c r="D4279" s="1">
        <v>0</v>
      </c>
      <c r="F4279" s="1"/>
      <c r="G4279" s="1">
        <v>0</v>
      </c>
      <c r="H4279" s="1">
        <v>0</v>
      </c>
      <c r="I4279" s="2">
        <v>0</v>
      </c>
      <c r="J4279" s="2"/>
      <c r="K4279" s="2">
        <v>0</v>
      </c>
      <c r="L4279" s="1">
        <v>0.7619999999999999</v>
      </c>
      <c r="M4279" s="1">
        <v>3.6</v>
      </c>
      <c r="O4279" s="1">
        <v>0</v>
      </c>
      <c r="P4279" s="1">
        <v>0</v>
      </c>
      <c r="Q4279" s="1">
        <v>9.1999999999999993</v>
      </c>
      <c r="R4279" s="1">
        <v>0</v>
      </c>
      <c r="X4279" s="1"/>
      <c r="AB4279" s="1"/>
    </row>
    <row r="4280" spans="1:28" x14ac:dyDescent="0.25">
      <c r="A4280" s="22">
        <v>42631</v>
      </c>
      <c r="B4280" s="2">
        <v>0</v>
      </c>
      <c r="C4280" s="1">
        <v>6.7</v>
      </c>
      <c r="D4280" s="2">
        <v>12.2</v>
      </c>
      <c r="F4280" s="2"/>
      <c r="G4280" s="1">
        <v>0</v>
      </c>
      <c r="H4280" s="1">
        <v>0</v>
      </c>
      <c r="I4280" s="2">
        <v>0</v>
      </c>
      <c r="J4280" s="1"/>
      <c r="K4280" s="1">
        <v>8.8000000000000007</v>
      </c>
      <c r="L4280" s="1">
        <v>5.8419999999999996</v>
      </c>
      <c r="M4280" s="1">
        <v>0</v>
      </c>
      <c r="O4280" s="1">
        <v>0</v>
      </c>
      <c r="P4280" s="1">
        <v>5.3</v>
      </c>
      <c r="Q4280" s="1">
        <v>4.5</v>
      </c>
      <c r="R4280" s="1">
        <v>19</v>
      </c>
      <c r="X4280" s="1"/>
      <c r="AB4280" s="1"/>
    </row>
    <row r="4281" spans="1:28" x14ac:dyDescent="0.25">
      <c r="A4281" s="22">
        <v>42632</v>
      </c>
      <c r="B4281" s="2">
        <v>29.5</v>
      </c>
      <c r="C4281" s="1">
        <v>8.1</v>
      </c>
      <c r="D4281" s="1">
        <v>0</v>
      </c>
      <c r="F4281" s="1"/>
      <c r="G4281" s="1">
        <v>1</v>
      </c>
      <c r="H4281" s="1">
        <v>0</v>
      </c>
      <c r="I4281" s="2">
        <v>0</v>
      </c>
      <c r="J4281" s="1"/>
      <c r="K4281" s="2">
        <v>0</v>
      </c>
      <c r="L4281" s="1">
        <v>3.302</v>
      </c>
      <c r="M4281" s="1">
        <v>0.9</v>
      </c>
      <c r="O4281" s="1">
        <v>20.065999999999999</v>
      </c>
      <c r="P4281" s="1">
        <v>0</v>
      </c>
      <c r="Q4281" s="1">
        <v>1.9</v>
      </c>
      <c r="R4281" s="1">
        <v>1.2</v>
      </c>
      <c r="X4281" s="1"/>
      <c r="AB4281" s="1"/>
    </row>
    <row r="4282" spans="1:28" x14ac:dyDescent="0.25">
      <c r="A4282" s="22">
        <v>42633</v>
      </c>
      <c r="B4282" s="2">
        <v>0</v>
      </c>
      <c r="C4282" s="1">
        <v>0</v>
      </c>
      <c r="D4282" s="1">
        <v>0</v>
      </c>
      <c r="F4282" s="1"/>
      <c r="G4282" s="1">
        <v>1</v>
      </c>
      <c r="H4282" s="1">
        <v>0</v>
      </c>
      <c r="I4282" s="2">
        <v>0</v>
      </c>
      <c r="J4282" s="2"/>
      <c r="K4282" s="1">
        <v>0.9</v>
      </c>
      <c r="L4282" s="1">
        <v>2.794</v>
      </c>
      <c r="M4282" s="1">
        <v>0</v>
      </c>
      <c r="O4282" s="1">
        <v>1.5239999999999998</v>
      </c>
      <c r="P4282" s="1">
        <v>2.5</v>
      </c>
      <c r="Q4282" s="1">
        <v>0</v>
      </c>
      <c r="R4282" s="1">
        <v>0</v>
      </c>
      <c r="X4282" s="1"/>
      <c r="AB4282" s="1"/>
    </row>
    <row r="4283" spans="1:28" x14ac:dyDescent="0.25">
      <c r="A4283" s="22">
        <v>42634</v>
      </c>
      <c r="B4283" s="2">
        <v>3</v>
      </c>
      <c r="C4283" s="1">
        <v>0</v>
      </c>
      <c r="D4283" s="1">
        <v>0.6</v>
      </c>
      <c r="F4283" s="1"/>
      <c r="G4283" s="1">
        <v>0</v>
      </c>
      <c r="H4283" s="1">
        <v>4.8</v>
      </c>
      <c r="I4283" s="2">
        <v>3.5</v>
      </c>
      <c r="J4283" s="1"/>
      <c r="K4283" s="1">
        <v>0</v>
      </c>
      <c r="L4283" s="1">
        <v>12.446</v>
      </c>
      <c r="M4283" s="1">
        <v>2.2999999999999998</v>
      </c>
      <c r="O4283" s="1">
        <v>3.302</v>
      </c>
      <c r="P4283" s="1">
        <v>11.2</v>
      </c>
      <c r="Q4283" s="1">
        <v>0</v>
      </c>
      <c r="R4283" s="1">
        <v>0</v>
      </c>
      <c r="X4283" s="1"/>
      <c r="AB4283" s="1"/>
    </row>
    <row r="4284" spans="1:28" x14ac:dyDescent="0.25">
      <c r="A4284" s="22">
        <v>42635</v>
      </c>
      <c r="B4284" s="2">
        <v>0</v>
      </c>
      <c r="C4284" s="1">
        <v>0</v>
      </c>
      <c r="D4284" s="2">
        <v>0</v>
      </c>
      <c r="F4284" s="2"/>
      <c r="G4284" s="1">
        <v>10.6</v>
      </c>
      <c r="H4284" s="1">
        <v>0</v>
      </c>
      <c r="I4284" s="2">
        <v>0</v>
      </c>
      <c r="J4284" s="1"/>
      <c r="K4284" s="1">
        <v>0</v>
      </c>
      <c r="L4284" s="1">
        <v>0</v>
      </c>
      <c r="M4284" s="1">
        <v>0</v>
      </c>
      <c r="O4284" s="1">
        <v>0</v>
      </c>
      <c r="P4284" s="1">
        <v>0</v>
      </c>
      <c r="Q4284" s="1">
        <v>6.7</v>
      </c>
      <c r="R4284" s="1">
        <v>0</v>
      </c>
      <c r="X4284" s="1"/>
      <c r="AB4284" s="1"/>
    </row>
    <row r="4285" spans="1:28" x14ac:dyDescent="0.25">
      <c r="A4285" s="22">
        <v>42636</v>
      </c>
      <c r="B4285" s="2">
        <v>0</v>
      </c>
      <c r="C4285" s="1">
        <v>3</v>
      </c>
      <c r="D4285" s="2">
        <v>0.7</v>
      </c>
      <c r="F4285" s="2"/>
      <c r="G4285" s="1">
        <v>1</v>
      </c>
      <c r="H4285" s="1">
        <v>5.0999999999999996</v>
      </c>
      <c r="I4285" s="1">
        <v>0</v>
      </c>
      <c r="J4285" s="1"/>
      <c r="K4285" s="1">
        <v>23</v>
      </c>
      <c r="L4285" s="1">
        <v>0</v>
      </c>
      <c r="M4285" s="1">
        <v>14.4</v>
      </c>
      <c r="O4285" s="1">
        <v>0</v>
      </c>
      <c r="P4285" s="1">
        <v>1.2</v>
      </c>
      <c r="Q4285" s="1">
        <v>1.6</v>
      </c>
      <c r="R4285" s="1">
        <v>2.2999999999999998</v>
      </c>
      <c r="X4285" s="1"/>
      <c r="AB4285" s="1"/>
    </row>
    <row r="4286" spans="1:28" x14ac:dyDescent="0.25">
      <c r="A4286" s="22">
        <v>42637</v>
      </c>
      <c r="B4286" s="2">
        <v>0</v>
      </c>
      <c r="C4286" s="1">
        <v>7.8</v>
      </c>
      <c r="D4286" s="2">
        <v>0</v>
      </c>
      <c r="F4286" s="2"/>
      <c r="G4286" s="1">
        <v>0</v>
      </c>
      <c r="H4286" s="1">
        <v>0</v>
      </c>
      <c r="I4286" s="2">
        <v>3.5</v>
      </c>
      <c r="J4286" s="1"/>
      <c r="K4286" s="2">
        <v>0</v>
      </c>
      <c r="L4286" s="1">
        <v>0</v>
      </c>
      <c r="M4286" s="1">
        <v>0.1</v>
      </c>
      <c r="O4286" s="1">
        <v>0</v>
      </c>
      <c r="P4286" s="1">
        <v>1.5</v>
      </c>
      <c r="Q4286" s="1">
        <v>0</v>
      </c>
      <c r="R4286" s="1">
        <v>0</v>
      </c>
      <c r="X4286" s="1"/>
      <c r="AB4286" s="1"/>
    </row>
    <row r="4287" spans="1:28" x14ac:dyDescent="0.25">
      <c r="A4287" s="22">
        <v>42638</v>
      </c>
      <c r="B4287" s="2">
        <v>0</v>
      </c>
      <c r="C4287" s="1">
        <v>0</v>
      </c>
      <c r="D4287" s="2">
        <v>7.9</v>
      </c>
      <c r="F4287" s="2"/>
      <c r="G4287" s="1">
        <v>0.8</v>
      </c>
      <c r="H4287" s="1">
        <v>0</v>
      </c>
      <c r="I4287" s="1">
        <v>0</v>
      </c>
      <c r="J4287" s="2"/>
      <c r="K4287" s="2">
        <v>0.7</v>
      </c>
      <c r="L4287" s="1">
        <v>8.1280000000000001</v>
      </c>
      <c r="M4287" s="1">
        <v>0</v>
      </c>
      <c r="O4287" s="1">
        <v>0</v>
      </c>
      <c r="P4287" s="1">
        <v>10.1</v>
      </c>
      <c r="Q4287" s="1">
        <v>0.08</v>
      </c>
      <c r="R4287" s="1">
        <v>1</v>
      </c>
      <c r="X4287" s="1"/>
      <c r="AB4287" s="1"/>
    </row>
    <row r="4288" spans="1:28" x14ac:dyDescent="0.25">
      <c r="A4288" s="22">
        <v>42639</v>
      </c>
      <c r="B4288" s="2">
        <v>14</v>
      </c>
      <c r="C4288" s="1">
        <v>0.6</v>
      </c>
      <c r="D4288" s="1">
        <v>0</v>
      </c>
      <c r="F4288" s="1"/>
      <c r="G4288" s="1">
        <v>2.5</v>
      </c>
      <c r="H4288" s="1">
        <v>2.2999999999999998</v>
      </c>
      <c r="I4288" s="1">
        <v>0</v>
      </c>
      <c r="J4288" s="1"/>
      <c r="K4288" s="2">
        <v>0.4</v>
      </c>
      <c r="L4288" s="1">
        <v>1.016</v>
      </c>
      <c r="M4288" s="1">
        <v>2.1</v>
      </c>
      <c r="O4288" s="1">
        <v>10.921999999999999</v>
      </c>
      <c r="P4288" s="1">
        <v>1.2</v>
      </c>
      <c r="Q4288" s="1">
        <v>6.3</v>
      </c>
      <c r="R4288" s="1">
        <v>5.4</v>
      </c>
      <c r="X4288" s="1"/>
      <c r="AB4288" s="1"/>
    </row>
    <row r="4289" spans="1:28" x14ac:dyDescent="0.25">
      <c r="A4289" s="22">
        <v>42640</v>
      </c>
      <c r="B4289" s="2">
        <v>9.3000000000000007</v>
      </c>
      <c r="C4289" s="1">
        <v>0</v>
      </c>
      <c r="D4289" s="1">
        <v>9.1</v>
      </c>
      <c r="F4289" s="1"/>
      <c r="G4289" s="1">
        <v>15.5</v>
      </c>
      <c r="H4289" s="1">
        <v>0</v>
      </c>
      <c r="I4289" s="1">
        <v>3.5</v>
      </c>
      <c r="J4289" s="2"/>
      <c r="K4289" s="1">
        <v>6.2</v>
      </c>
      <c r="L4289" s="1">
        <v>3.8099999999999996</v>
      </c>
      <c r="M4289" s="1">
        <v>10.4</v>
      </c>
      <c r="O4289" s="1">
        <v>5.08</v>
      </c>
      <c r="P4289" s="1">
        <v>19.2</v>
      </c>
      <c r="Q4289" s="1">
        <v>14.9</v>
      </c>
      <c r="R4289" s="1">
        <v>16.5</v>
      </c>
      <c r="X4289" s="1"/>
      <c r="AB4289" s="1"/>
    </row>
    <row r="4290" spans="1:28" x14ac:dyDescent="0.25">
      <c r="A4290" s="22">
        <v>42641</v>
      </c>
      <c r="B4290" s="2">
        <v>0</v>
      </c>
      <c r="C4290" s="1">
        <v>0</v>
      </c>
      <c r="D4290" s="1">
        <v>22.1</v>
      </c>
      <c r="F4290" s="1"/>
      <c r="G4290" s="1">
        <v>34.1</v>
      </c>
      <c r="H4290" s="1">
        <v>20.6</v>
      </c>
      <c r="I4290" s="2">
        <v>15.9</v>
      </c>
      <c r="J4290" s="1"/>
      <c r="K4290" s="1">
        <v>26.2</v>
      </c>
      <c r="L4290" s="1">
        <v>9.9060000000000006</v>
      </c>
      <c r="M4290" s="1">
        <v>25.5</v>
      </c>
      <c r="O4290" s="1">
        <v>10.16</v>
      </c>
      <c r="P4290" s="1">
        <v>9.4</v>
      </c>
      <c r="Q4290" s="1">
        <v>50.2</v>
      </c>
      <c r="R4290" s="1">
        <v>47.5</v>
      </c>
      <c r="X4290" s="1"/>
      <c r="AB4290" s="1"/>
    </row>
    <row r="4291" spans="1:28" x14ac:dyDescent="0.25">
      <c r="A4291" s="22">
        <v>42642</v>
      </c>
      <c r="B4291" s="2">
        <v>125.5</v>
      </c>
      <c r="C4291" s="1">
        <v>69.5</v>
      </c>
      <c r="D4291" s="1">
        <v>49.5</v>
      </c>
      <c r="F4291" s="1"/>
      <c r="G4291" s="1">
        <v>31.2</v>
      </c>
      <c r="H4291" s="1">
        <v>25.5</v>
      </c>
      <c r="I4291" s="2">
        <v>40.5</v>
      </c>
      <c r="J4291" s="1"/>
      <c r="K4291" s="1">
        <v>35.799999999999997</v>
      </c>
      <c r="L4291" s="1">
        <v>74.421999999999997</v>
      </c>
      <c r="M4291" s="1">
        <v>36.799999999999997</v>
      </c>
      <c r="O4291" s="1">
        <v>53.339999999999996</v>
      </c>
      <c r="P4291" s="1">
        <v>100.9</v>
      </c>
      <c r="Q4291" s="1">
        <v>23.6</v>
      </c>
      <c r="R4291" s="1">
        <v>15.8</v>
      </c>
      <c r="X4291" s="1"/>
      <c r="AB4291" s="1"/>
    </row>
    <row r="4292" spans="1:28" x14ac:dyDescent="0.25">
      <c r="A4292" s="22">
        <v>42643</v>
      </c>
      <c r="B4292" s="2">
        <v>0</v>
      </c>
      <c r="C4292" s="1">
        <v>55.5</v>
      </c>
      <c r="D4292" s="1">
        <v>28.9</v>
      </c>
      <c r="F4292" s="1">
        <v>60.9</v>
      </c>
      <c r="G4292" s="1">
        <v>0</v>
      </c>
      <c r="H4292" s="1">
        <v>22.2</v>
      </c>
      <c r="I4292" s="2">
        <v>35.4</v>
      </c>
      <c r="J4292" s="1"/>
      <c r="K4292" s="1">
        <v>37.700000000000003</v>
      </c>
      <c r="L4292" s="1">
        <v>12.446</v>
      </c>
      <c r="M4292" s="1">
        <v>23.9</v>
      </c>
      <c r="O4292" s="1">
        <v>59.69</v>
      </c>
      <c r="P4292" s="1">
        <v>14.7</v>
      </c>
      <c r="Q4292" s="1">
        <v>1.7</v>
      </c>
      <c r="R4292" s="1">
        <v>4.5</v>
      </c>
      <c r="X4292" s="1"/>
      <c r="AB4292" s="1"/>
    </row>
    <row r="4293" spans="1:28" x14ac:dyDescent="0.25">
      <c r="A4293" s="22">
        <v>42644</v>
      </c>
      <c r="B4293" s="2">
        <v>0</v>
      </c>
      <c r="C4293" s="30" t="s">
        <v>9</v>
      </c>
      <c r="D4293" s="1">
        <v>0</v>
      </c>
      <c r="F4293" s="1">
        <v>0</v>
      </c>
      <c r="G4293" s="1">
        <v>0</v>
      </c>
      <c r="H4293" s="1">
        <v>0</v>
      </c>
      <c r="I4293" s="2">
        <v>6.5</v>
      </c>
      <c r="J4293" s="1">
        <v>0.4</v>
      </c>
      <c r="K4293" s="2">
        <v>0.2</v>
      </c>
      <c r="L4293" s="1">
        <v>4.3180000000000005</v>
      </c>
      <c r="M4293" s="1">
        <v>0.3</v>
      </c>
      <c r="O4293" s="1">
        <v>0</v>
      </c>
      <c r="P4293" s="1">
        <v>3.3</v>
      </c>
      <c r="Q4293" s="1">
        <v>5.8</v>
      </c>
      <c r="R4293" s="1">
        <v>0</v>
      </c>
      <c r="X4293" s="1"/>
      <c r="AB4293" s="1"/>
    </row>
    <row r="4294" spans="1:28" x14ac:dyDescent="0.25">
      <c r="A4294" s="22">
        <v>42645</v>
      </c>
      <c r="B4294" s="2">
        <v>0</v>
      </c>
      <c r="C4294" s="30" t="s">
        <v>9</v>
      </c>
      <c r="D4294" s="1">
        <v>0</v>
      </c>
      <c r="F4294" s="1">
        <v>0</v>
      </c>
      <c r="G4294" s="1">
        <v>20.5</v>
      </c>
      <c r="H4294" s="1">
        <v>0</v>
      </c>
      <c r="I4294" s="2">
        <v>0</v>
      </c>
      <c r="J4294" s="30" t="s">
        <v>9</v>
      </c>
      <c r="K4294" s="2">
        <v>0.8</v>
      </c>
      <c r="L4294" s="1">
        <v>5.8419999999999996</v>
      </c>
      <c r="M4294" s="1">
        <v>0</v>
      </c>
      <c r="O4294" s="1">
        <v>0</v>
      </c>
      <c r="P4294" s="1">
        <v>0.5</v>
      </c>
      <c r="Q4294" s="1">
        <v>0.4</v>
      </c>
      <c r="R4294" s="1">
        <v>4.3</v>
      </c>
      <c r="X4294" s="1"/>
      <c r="AB4294" s="1"/>
    </row>
    <row r="4295" spans="1:28" x14ac:dyDescent="0.25">
      <c r="A4295" s="22">
        <v>42646</v>
      </c>
      <c r="B4295" s="2">
        <v>35.5</v>
      </c>
      <c r="C4295" s="1">
        <v>0.5</v>
      </c>
      <c r="D4295" s="1">
        <v>5</v>
      </c>
      <c r="F4295" s="1">
        <v>0</v>
      </c>
      <c r="G4295" s="1">
        <v>8.1999999999999993</v>
      </c>
      <c r="H4295" s="1">
        <v>2.2000000000000002</v>
      </c>
      <c r="I4295" s="2">
        <v>19.5</v>
      </c>
      <c r="J4295" s="2">
        <v>10.7</v>
      </c>
      <c r="K4295" s="2">
        <v>13.5</v>
      </c>
      <c r="L4295" s="1">
        <v>8.3819999999999997</v>
      </c>
      <c r="M4295" s="1">
        <v>10.4</v>
      </c>
      <c r="O4295" s="1">
        <v>8.8899999999999988</v>
      </c>
      <c r="P4295" s="1">
        <v>17.899999999999999</v>
      </c>
      <c r="Q4295" s="1">
        <v>10.5</v>
      </c>
      <c r="R4295" s="1">
        <v>12.1</v>
      </c>
      <c r="X4295" s="1"/>
      <c r="AB4295" s="1"/>
    </row>
    <row r="4296" spans="1:28" x14ac:dyDescent="0.25">
      <c r="A4296" s="22">
        <v>42647</v>
      </c>
      <c r="B4296" s="2">
        <v>0</v>
      </c>
      <c r="C4296" s="1">
        <v>10.9</v>
      </c>
      <c r="D4296" s="1">
        <v>9.1</v>
      </c>
      <c r="F4296" s="1">
        <v>0</v>
      </c>
      <c r="G4296" s="1">
        <v>0.5</v>
      </c>
      <c r="H4296" s="1">
        <v>3.8</v>
      </c>
      <c r="I4296" s="2">
        <v>3.3</v>
      </c>
      <c r="J4296" s="1">
        <v>8.1</v>
      </c>
      <c r="K4296" s="2">
        <v>3.4</v>
      </c>
      <c r="L4296" s="1">
        <v>1.5239999999999998</v>
      </c>
      <c r="M4296" s="1">
        <v>5.6</v>
      </c>
      <c r="O4296" s="1">
        <v>11.937999999999999</v>
      </c>
      <c r="P4296" s="1">
        <v>0</v>
      </c>
      <c r="Q4296" s="1">
        <v>0</v>
      </c>
      <c r="R4296" s="1">
        <v>0</v>
      </c>
      <c r="X4296" s="1"/>
      <c r="AB4296" s="1"/>
    </row>
    <row r="4297" spans="1:28" x14ac:dyDescent="0.25">
      <c r="A4297" s="22">
        <v>42648</v>
      </c>
      <c r="B4297" s="2">
        <v>9.5</v>
      </c>
      <c r="C4297" s="30" t="s">
        <v>9</v>
      </c>
      <c r="D4297" s="2">
        <v>0.5</v>
      </c>
      <c r="F4297" s="2">
        <v>0</v>
      </c>
      <c r="G4297" s="1">
        <v>4.5</v>
      </c>
      <c r="H4297" s="1">
        <v>0</v>
      </c>
      <c r="I4297" s="2">
        <v>0.8</v>
      </c>
      <c r="J4297" s="30" t="s">
        <v>9</v>
      </c>
      <c r="K4297" s="2">
        <v>0</v>
      </c>
      <c r="L4297" s="1">
        <v>1.016</v>
      </c>
      <c r="M4297" s="1">
        <v>1.9</v>
      </c>
      <c r="O4297" s="1">
        <v>0</v>
      </c>
      <c r="P4297" s="1">
        <v>1</v>
      </c>
      <c r="Q4297" s="1">
        <v>5.2</v>
      </c>
      <c r="R4297" s="1">
        <v>4.7</v>
      </c>
      <c r="X4297" s="1"/>
      <c r="AB4297" s="1"/>
    </row>
    <row r="4298" spans="1:28" x14ac:dyDescent="0.25">
      <c r="A4298" s="22">
        <v>42649</v>
      </c>
      <c r="B4298" s="2">
        <v>16</v>
      </c>
      <c r="C4298" s="1">
        <v>13.4</v>
      </c>
      <c r="D4298" s="2">
        <v>9</v>
      </c>
      <c r="F4298" s="2">
        <v>0</v>
      </c>
      <c r="G4298" s="1">
        <v>8.8000000000000007</v>
      </c>
      <c r="H4298" s="1">
        <v>3</v>
      </c>
      <c r="I4298" s="2">
        <v>0</v>
      </c>
      <c r="J4298" s="2">
        <v>7.5</v>
      </c>
      <c r="K4298" s="2">
        <v>4.8</v>
      </c>
      <c r="L4298" s="1">
        <v>5.8419999999999996</v>
      </c>
      <c r="M4298" s="1">
        <v>2.7</v>
      </c>
      <c r="O4298" s="1">
        <v>12.7</v>
      </c>
      <c r="P4298" s="1">
        <v>15.8</v>
      </c>
      <c r="Q4298" s="1">
        <v>8.1999999999999993</v>
      </c>
      <c r="R4298" s="1">
        <v>11.4</v>
      </c>
      <c r="X4298" s="1"/>
      <c r="AB4298" s="1"/>
    </row>
    <row r="4299" spans="1:28" x14ac:dyDescent="0.25">
      <c r="A4299" s="22">
        <v>42650</v>
      </c>
      <c r="B4299" s="2">
        <v>6</v>
      </c>
      <c r="C4299" s="1">
        <v>5</v>
      </c>
      <c r="D4299" s="2">
        <v>5.5</v>
      </c>
      <c r="F4299" s="2">
        <v>0</v>
      </c>
      <c r="G4299" s="1">
        <v>7.6</v>
      </c>
      <c r="H4299" s="1">
        <v>0</v>
      </c>
      <c r="I4299" s="1">
        <v>2.2000000000000002</v>
      </c>
      <c r="J4299" s="2">
        <v>12.1</v>
      </c>
      <c r="K4299" s="2">
        <v>0</v>
      </c>
      <c r="L4299" s="1">
        <v>16.256</v>
      </c>
      <c r="M4299" s="1">
        <v>3.5</v>
      </c>
      <c r="O4299" s="1">
        <v>6.6040000000000001</v>
      </c>
      <c r="P4299" s="1">
        <v>5.4</v>
      </c>
      <c r="Q4299" s="1">
        <v>28.6</v>
      </c>
      <c r="R4299" s="1">
        <v>29</v>
      </c>
      <c r="X4299" s="1"/>
      <c r="AB4299" s="1"/>
    </row>
    <row r="4300" spans="1:28" x14ac:dyDescent="0.25">
      <c r="A4300" s="22">
        <v>42651</v>
      </c>
      <c r="B4300" s="2">
        <v>0</v>
      </c>
      <c r="C4300" s="1">
        <v>23.3</v>
      </c>
      <c r="D4300" s="1">
        <v>0.2</v>
      </c>
      <c r="F4300" s="1">
        <v>0</v>
      </c>
      <c r="G4300" s="1">
        <v>0</v>
      </c>
      <c r="H4300" s="1">
        <v>5</v>
      </c>
      <c r="I4300" s="2">
        <v>0</v>
      </c>
      <c r="J4300" s="2">
        <v>14.8</v>
      </c>
      <c r="K4300" s="2">
        <v>0</v>
      </c>
      <c r="L4300" s="1">
        <v>18.033999999999999</v>
      </c>
      <c r="M4300" s="1">
        <v>3.4</v>
      </c>
      <c r="O4300" s="1">
        <v>0</v>
      </c>
      <c r="P4300" s="1">
        <v>16.899999999999999</v>
      </c>
      <c r="Q4300" s="1">
        <v>2.1</v>
      </c>
      <c r="R4300" s="1">
        <v>0</v>
      </c>
      <c r="X4300" s="1"/>
      <c r="AB4300" s="1"/>
    </row>
    <row r="4301" spans="1:28" x14ac:dyDescent="0.25">
      <c r="A4301" s="22">
        <v>42652</v>
      </c>
      <c r="B4301" s="2">
        <v>0</v>
      </c>
      <c r="C4301" s="1">
        <v>1.8</v>
      </c>
      <c r="D4301" s="1">
        <v>0.5</v>
      </c>
      <c r="F4301" s="1">
        <v>0</v>
      </c>
      <c r="G4301" s="1">
        <v>0</v>
      </c>
      <c r="H4301" s="1">
        <v>0</v>
      </c>
      <c r="I4301" s="2">
        <v>0</v>
      </c>
      <c r="J4301" s="30" t="s">
        <v>9</v>
      </c>
      <c r="K4301" s="2">
        <v>0</v>
      </c>
      <c r="L4301" s="1">
        <v>2.2859999999999996</v>
      </c>
      <c r="M4301" s="1">
        <v>0</v>
      </c>
      <c r="O4301" s="1">
        <v>0</v>
      </c>
      <c r="P4301" s="1">
        <v>0</v>
      </c>
      <c r="Q4301" s="1">
        <v>27.3</v>
      </c>
      <c r="R4301" s="1">
        <v>14.4</v>
      </c>
      <c r="X4301" s="1"/>
      <c r="AB4301" s="1"/>
    </row>
    <row r="4302" spans="1:28" x14ac:dyDescent="0.25">
      <c r="A4302" s="22">
        <v>42653</v>
      </c>
      <c r="B4302" s="2">
        <v>0</v>
      </c>
      <c r="C4302" s="1">
        <v>2.7</v>
      </c>
      <c r="D4302" s="1">
        <v>4.9000000000000004</v>
      </c>
      <c r="F4302" s="1">
        <v>0</v>
      </c>
      <c r="G4302" s="1">
        <v>0</v>
      </c>
      <c r="H4302" s="1">
        <v>2.6</v>
      </c>
      <c r="I4302" s="2">
        <v>0.9</v>
      </c>
      <c r="J4302" s="30" t="s">
        <v>9</v>
      </c>
      <c r="K4302" s="2">
        <v>22</v>
      </c>
      <c r="L4302" s="1">
        <v>1.5239999999999998</v>
      </c>
      <c r="M4302" s="1">
        <v>0.8</v>
      </c>
      <c r="O4302" s="1">
        <v>44.704000000000001</v>
      </c>
      <c r="P4302" s="1">
        <v>3.4</v>
      </c>
      <c r="Q4302" s="1">
        <v>0</v>
      </c>
      <c r="R4302" s="1">
        <v>0</v>
      </c>
      <c r="X4302" s="1"/>
      <c r="AB4302" s="1"/>
    </row>
    <row r="4303" spans="1:28" x14ac:dyDescent="0.25">
      <c r="A4303" s="22">
        <v>42654</v>
      </c>
      <c r="B4303" s="2">
        <v>0</v>
      </c>
      <c r="C4303" s="30" t="s">
        <v>9</v>
      </c>
      <c r="D4303" s="1">
        <v>0.2</v>
      </c>
      <c r="F4303" s="1">
        <v>0</v>
      </c>
      <c r="G4303" s="1">
        <v>4.2</v>
      </c>
      <c r="H4303" s="1">
        <v>0</v>
      </c>
      <c r="I4303" s="2">
        <v>0</v>
      </c>
      <c r="J4303" s="30" t="s">
        <v>9</v>
      </c>
      <c r="K4303" s="2">
        <v>4.5999999999999996</v>
      </c>
      <c r="L4303" s="1">
        <v>1.778</v>
      </c>
      <c r="M4303" s="1">
        <v>0</v>
      </c>
      <c r="O4303" s="1">
        <v>0</v>
      </c>
      <c r="P4303" s="1">
        <v>0</v>
      </c>
      <c r="Q4303" s="1">
        <v>6.8</v>
      </c>
      <c r="R4303" s="1">
        <v>3</v>
      </c>
      <c r="X4303" s="1"/>
      <c r="AB4303" s="1"/>
    </row>
    <row r="4304" spans="1:28" x14ac:dyDescent="0.25">
      <c r="A4304" s="22">
        <v>42655</v>
      </c>
      <c r="B4304" s="2">
        <v>0</v>
      </c>
      <c r="C4304" s="1">
        <v>9.1999999999999993</v>
      </c>
      <c r="D4304" s="1">
        <v>0</v>
      </c>
      <c r="F4304" s="1">
        <v>0</v>
      </c>
      <c r="G4304" s="1">
        <v>16.8</v>
      </c>
      <c r="H4304" s="1">
        <v>6</v>
      </c>
      <c r="I4304" s="2">
        <v>10.1</v>
      </c>
      <c r="J4304" s="1">
        <v>13.3</v>
      </c>
      <c r="K4304" s="2">
        <v>12</v>
      </c>
      <c r="L4304" s="1">
        <v>3.0479999999999996</v>
      </c>
      <c r="M4304" s="1">
        <v>6.3</v>
      </c>
      <c r="O4304" s="1">
        <v>5.08</v>
      </c>
      <c r="P4304" s="1">
        <v>3.8</v>
      </c>
      <c r="Q4304" s="1">
        <v>1.3</v>
      </c>
      <c r="R4304" s="1">
        <v>1.2</v>
      </c>
      <c r="X4304" s="1"/>
      <c r="AB4304" s="1"/>
    </row>
    <row r="4305" spans="1:28" x14ac:dyDescent="0.25">
      <c r="A4305" s="22">
        <v>42656</v>
      </c>
      <c r="B4305" s="2">
        <v>0</v>
      </c>
      <c r="C4305" s="1">
        <v>6.1</v>
      </c>
      <c r="D4305" s="1">
        <v>6.5</v>
      </c>
      <c r="F4305" s="1">
        <v>0</v>
      </c>
      <c r="G4305" s="2">
        <v>15.5</v>
      </c>
      <c r="H4305" s="1">
        <v>0</v>
      </c>
      <c r="I4305" s="2">
        <v>1</v>
      </c>
      <c r="J4305" s="1">
        <v>4.3</v>
      </c>
      <c r="K4305" s="2">
        <v>13.6</v>
      </c>
      <c r="L4305" s="1">
        <v>0.7619999999999999</v>
      </c>
      <c r="M4305" s="1">
        <v>9.5</v>
      </c>
      <c r="O4305" s="1">
        <v>4.0640000000000001</v>
      </c>
      <c r="P4305" s="1">
        <v>0</v>
      </c>
      <c r="Q4305" s="1">
        <v>26.8</v>
      </c>
      <c r="R4305" s="1">
        <v>10.1</v>
      </c>
      <c r="X4305" s="1"/>
      <c r="AB4305" s="1"/>
    </row>
    <row r="4306" spans="1:28" x14ac:dyDescent="0.25">
      <c r="A4306" s="22">
        <v>42657</v>
      </c>
      <c r="B4306" s="2">
        <v>87</v>
      </c>
      <c r="C4306" s="1">
        <v>182.5</v>
      </c>
      <c r="D4306" s="1">
        <v>15</v>
      </c>
      <c r="F4306" s="1">
        <v>3.4</v>
      </c>
      <c r="G4306" s="2">
        <v>0</v>
      </c>
      <c r="H4306" s="1">
        <v>3</v>
      </c>
      <c r="I4306" s="2">
        <v>0</v>
      </c>
      <c r="J4306" s="1">
        <v>11.6</v>
      </c>
      <c r="K4306" s="2">
        <v>0</v>
      </c>
      <c r="L4306" s="1">
        <v>4.5719999999999992</v>
      </c>
      <c r="M4306" s="1">
        <v>5.4</v>
      </c>
      <c r="O4306" s="1">
        <v>6.35</v>
      </c>
      <c r="P4306" s="1">
        <v>6.4</v>
      </c>
      <c r="Q4306" s="1">
        <v>0</v>
      </c>
      <c r="R4306" s="1">
        <v>0</v>
      </c>
      <c r="X4306" s="1"/>
      <c r="AB4306" s="1"/>
    </row>
    <row r="4307" spans="1:28" x14ac:dyDescent="0.25">
      <c r="A4307" s="22">
        <v>42658</v>
      </c>
      <c r="B4307" s="2">
        <v>3</v>
      </c>
      <c r="C4307" s="1">
        <v>0</v>
      </c>
      <c r="D4307" s="1">
        <v>5.0999999999999996</v>
      </c>
      <c r="F4307" s="1">
        <v>0</v>
      </c>
      <c r="G4307" s="2">
        <v>0</v>
      </c>
      <c r="H4307" s="1">
        <v>0</v>
      </c>
      <c r="I4307" s="2">
        <v>6.5</v>
      </c>
      <c r="J4307" s="2">
        <v>4.3</v>
      </c>
      <c r="K4307" s="2">
        <v>4.4000000000000004</v>
      </c>
      <c r="L4307" s="1">
        <v>1.778</v>
      </c>
      <c r="M4307" s="1">
        <v>0</v>
      </c>
      <c r="O4307" s="1">
        <v>0</v>
      </c>
      <c r="P4307" s="1">
        <v>0</v>
      </c>
      <c r="Q4307" s="1">
        <v>0</v>
      </c>
      <c r="R4307" s="1">
        <v>0</v>
      </c>
      <c r="X4307" s="1"/>
      <c r="AB4307" s="1"/>
    </row>
    <row r="4308" spans="1:28" x14ac:dyDescent="0.25">
      <c r="A4308" s="22">
        <v>42659</v>
      </c>
      <c r="B4308" s="2">
        <v>0</v>
      </c>
      <c r="C4308" s="30" t="s">
        <v>9</v>
      </c>
      <c r="D4308" s="1">
        <v>2.2000000000000002</v>
      </c>
      <c r="F4308" s="1">
        <v>0</v>
      </c>
      <c r="G4308" s="2">
        <v>0.9</v>
      </c>
      <c r="H4308" s="1">
        <v>0</v>
      </c>
      <c r="I4308" s="1">
        <v>0</v>
      </c>
      <c r="J4308" s="30" t="s">
        <v>9</v>
      </c>
      <c r="K4308" s="2">
        <v>0</v>
      </c>
      <c r="L4308" s="1">
        <v>0</v>
      </c>
      <c r="M4308" s="1">
        <v>0</v>
      </c>
      <c r="O4308" s="1">
        <v>0</v>
      </c>
      <c r="P4308" s="1">
        <v>0</v>
      </c>
      <c r="Q4308" s="1">
        <v>0</v>
      </c>
      <c r="R4308" s="1">
        <v>0</v>
      </c>
      <c r="X4308" s="1"/>
      <c r="AB4308" s="1"/>
    </row>
    <row r="4309" spans="1:28" x14ac:dyDescent="0.25">
      <c r="A4309" s="22">
        <v>42660</v>
      </c>
      <c r="B4309" s="2">
        <v>0</v>
      </c>
      <c r="C4309" s="1">
        <v>0</v>
      </c>
      <c r="D4309" s="1">
        <v>0</v>
      </c>
      <c r="F4309" s="1">
        <v>0</v>
      </c>
      <c r="G4309" s="1">
        <v>0</v>
      </c>
      <c r="H4309" s="1">
        <v>0</v>
      </c>
      <c r="I4309" s="2">
        <v>0</v>
      </c>
      <c r="J4309" s="2">
        <v>0.1</v>
      </c>
      <c r="K4309" s="2">
        <v>0</v>
      </c>
      <c r="L4309" s="1">
        <v>0</v>
      </c>
      <c r="M4309" s="1">
        <v>0</v>
      </c>
      <c r="O4309" s="1">
        <v>24.13</v>
      </c>
      <c r="P4309" s="1">
        <v>0</v>
      </c>
      <c r="Q4309" s="1">
        <v>0</v>
      </c>
      <c r="R4309" s="1">
        <v>0</v>
      </c>
      <c r="X4309" s="1"/>
      <c r="AB4309" s="1"/>
    </row>
    <row r="4310" spans="1:28" x14ac:dyDescent="0.25">
      <c r="A4310" s="22">
        <v>42661</v>
      </c>
      <c r="B4310" s="2">
        <v>0</v>
      </c>
      <c r="C4310" s="1">
        <v>0</v>
      </c>
      <c r="D4310" s="2">
        <v>0</v>
      </c>
      <c r="F4310" s="2">
        <v>0</v>
      </c>
      <c r="G4310" s="1">
        <v>0</v>
      </c>
      <c r="H4310" s="1">
        <v>0</v>
      </c>
      <c r="I4310" s="2">
        <v>0</v>
      </c>
      <c r="J4310" s="30" t="s">
        <v>9</v>
      </c>
      <c r="K4310" s="1">
        <v>0</v>
      </c>
      <c r="L4310" s="1">
        <v>0</v>
      </c>
      <c r="M4310" s="1">
        <v>0</v>
      </c>
      <c r="O4310" s="1">
        <v>0</v>
      </c>
      <c r="P4310" s="1">
        <v>0</v>
      </c>
      <c r="Q4310" s="1">
        <v>0</v>
      </c>
      <c r="R4310" s="1">
        <v>0</v>
      </c>
      <c r="X4310" s="1"/>
      <c r="AB4310" s="1"/>
    </row>
    <row r="4311" spans="1:28" x14ac:dyDescent="0.25">
      <c r="A4311" s="22">
        <v>42662</v>
      </c>
      <c r="B4311" s="2">
        <v>11</v>
      </c>
      <c r="C4311" s="1">
        <v>0</v>
      </c>
      <c r="D4311" s="1">
        <v>0</v>
      </c>
      <c r="F4311" s="1">
        <v>0</v>
      </c>
      <c r="G4311" s="1">
        <v>7.1</v>
      </c>
      <c r="H4311" s="1">
        <v>0</v>
      </c>
      <c r="I4311" s="2">
        <v>0</v>
      </c>
      <c r="J4311" s="30" t="s">
        <v>9</v>
      </c>
      <c r="K4311" s="2">
        <v>0</v>
      </c>
      <c r="L4311" s="1">
        <v>0</v>
      </c>
      <c r="M4311" s="1">
        <v>0</v>
      </c>
      <c r="O4311" s="1">
        <v>0</v>
      </c>
      <c r="P4311" s="1">
        <v>0</v>
      </c>
      <c r="Q4311" s="1">
        <v>0</v>
      </c>
      <c r="R4311" s="1">
        <v>0</v>
      </c>
      <c r="X4311" s="1"/>
      <c r="AB4311" s="1"/>
    </row>
    <row r="4312" spans="1:28" x14ac:dyDescent="0.25">
      <c r="A4312" s="22">
        <v>42663</v>
      </c>
      <c r="B4312" s="2">
        <v>13</v>
      </c>
      <c r="C4312" s="1">
        <v>1.4</v>
      </c>
      <c r="D4312" s="1">
        <v>1</v>
      </c>
      <c r="F4312" s="1">
        <v>0</v>
      </c>
      <c r="G4312" s="1">
        <v>0</v>
      </c>
      <c r="H4312" s="1">
        <v>0</v>
      </c>
      <c r="I4312" s="2">
        <v>0</v>
      </c>
      <c r="J4312" s="30" t="s">
        <v>9</v>
      </c>
      <c r="K4312" s="1">
        <v>0</v>
      </c>
      <c r="L4312" s="1">
        <v>12.191999999999998</v>
      </c>
      <c r="M4312" s="1">
        <v>0</v>
      </c>
      <c r="O4312" s="1">
        <v>7.6199999999999992</v>
      </c>
      <c r="P4312" s="1">
        <v>7.1</v>
      </c>
      <c r="Q4312" s="1">
        <v>18.399999999999999</v>
      </c>
      <c r="R4312" s="1">
        <v>4.4000000000000004</v>
      </c>
      <c r="X4312" s="1"/>
      <c r="AB4312" s="1"/>
    </row>
    <row r="4313" spans="1:28" x14ac:dyDescent="0.25">
      <c r="A4313" s="22">
        <v>42664</v>
      </c>
      <c r="B4313" s="2">
        <v>11.5</v>
      </c>
      <c r="C4313" s="1">
        <v>9</v>
      </c>
      <c r="D4313" s="1">
        <v>9.1</v>
      </c>
      <c r="F4313" s="1">
        <v>0</v>
      </c>
      <c r="G4313" s="1">
        <v>0</v>
      </c>
      <c r="H4313" s="1">
        <v>2</v>
      </c>
      <c r="I4313" s="2">
        <v>0</v>
      </c>
      <c r="J4313" s="1">
        <v>11.2</v>
      </c>
      <c r="K4313" s="1">
        <v>0</v>
      </c>
      <c r="L4313" s="1">
        <v>0.7619999999999999</v>
      </c>
      <c r="M4313" s="1">
        <v>4.4000000000000004</v>
      </c>
      <c r="O4313" s="1">
        <v>9.6519999999999992</v>
      </c>
      <c r="P4313" s="1">
        <v>4.7</v>
      </c>
      <c r="Q4313" s="1">
        <v>0</v>
      </c>
      <c r="R4313" s="1">
        <v>0</v>
      </c>
      <c r="X4313" s="1"/>
      <c r="AB4313" s="1"/>
    </row>
    <row r="4314" spans="1:28" x14ac:dyDescent="0.25">
      <c r="A4314" s="22">
        <v>42665</v>
      </c>
      <c r="B4314" s="2">
        <v>0</v>
      </c>
      <c r="C4314" s="30" t="s">
        <v>9</v>
      </c>
      <c r="D4314" s="2">
        <v>0</v>
      </c>
      <c r="F4314" s="2">
        <v>0</v>
      </c>
      <c r="G4314" s="1">
        <v>3.5</v>
      </c>
      <c r="H4314" s="1">
        <v>1.5</v>
      </c>
      <c r="I4314" s="2">
        <v>0</v>
      </c>
      <c r="J4314" s="30" t="s">
        <v>9</v>
      </c>
      <c r="K4314" s="1">
        <v>0</v>
      </c>
      <c r="L4314" s="1">
        <v>0</v>
      </c>
      <c r="M4314" s="1">
        <v>0.6</v>
      </c>
      <c r="O4314" s="1">
        <v>0</v>
      </c>
      <c r="P4314" s="1">
        <v>0</v>
      </c>
      <c r="Q4314" s="1">
        <v>0</v>
      </c>
      <c r="R4314" s="1">
        <v>0</v>
      </c>
      <c r="X4314" s="1"/>
      <c r="AB4314" s="1"/>
    </row>
    <row r="4315" spans="1:28" x14ac:dyDescent="0.25">
      <c r="A4315" s="22">
        <v>42666</v>
      </c>
      <c r="B4315" s="2">
        <v>0</v>
      </c>
      <c r="C4315" s="30" t="s">
        <v>9</v>
      </c>
      <c r="D4315" s="2">
        <v>0.7</v>
      </c>
      <c r="F4315" s="2">
        <v>0</v>
      </c>
      <c r="G4315" s="1">
        <v>5.4</v>
      </c>
      <c r="H4315" s="1">
        <v>0</v>
      </c>
      <c r="I4315" s="1">
        <v>5.4</v>
      </c>
      <c r="J4315" s="1">
        <v>7</v>
      </c>
      <c r="K4315" s="1">
        <v>5.0999999999999996</v>
      </c>
      <c r="L4315" s="1">
        <v>2.032</v>
      </c>
      <c r="M4315" s="1">
        <v>3.3</v>
      </c>
      <c r="O4315" s="1">
        <v>0</v>
      </c>
      <c r="P4315" s="1">
        <v>1.7</v>
      </c>
      <c r="Q4315" s="1">
        <v>0</v>
      </c>
      <c r="R4315" s="1">
        <v>0</v>
      </c>
      <c r="X4315" s="1"/>
      <c r="AB4315" s="1"/>
    </row>
    <row r="4316" spans="1:28" x14ac:dyDescent="0.25">
      <c r="A4316" s="22">
        <v>42667</v>
      </c>
      <c r="B4316" s="2">
        <v>0</v>
      </c>
      <c r="C4316" s="30" t="s">
        <v>9</v>
      </c>
      <c r="D4316" s="2">
        <v>0</v>
      </c>
      <c r="F4316" s="2">
        <v>0</v>
      </c>
      <c r="G4316" s="1">
        <v>0</v>
      </c>
      <c r="H4316" s="1">
        <v>2.5</v>
      </c>
      <c r="I4316" s="2">
        <v>2</v>
      </c>
      <c r="J4316" s="1">
        <v>6.3</v>
      </c>
      <c r="K4316" s="2">
        <v>2</v>
      </c>
      <c r="L4316" s="1">
        <v>3.302</v>
      </c>
      <c r="M4316" s="1">
        <v>3.3</v>
      </c>
      <c r="O4316" s="1">
        <v>8.636000000000001</v>
      </c>
      <c r="P4316" s="1">
        <v>6.7</v>
      </c>
      <c r="Q4316" s="1">
        <v>0</v>
      </c>
      <c r="R4316" s="1">
        <v>0</v>
      </c>
      <c r="X4316" s="1"/>
      <c r="AB4316" s="1"/>
    </row>
    <row r="4317" spans="1:28" x14ac:dyDescent="0.25">
      <c r="A4317" s="22">
        <v>42668</v>
      </c>
      <c r="B4317" s="2">
        <v>0</v>
      </c>
      <c r="C4317" s="1">
        <v>0</v>
      </c>
      <c r="D4317" s="2">
        <v>0</v>
      </c>
      <c r="F4317" s="2">
        <v>0</v>
      </c>
      <c r="G4317" s="1">
        <v>28.4</v>
      </c>
      <c r="H4317" s="1">
        <v>3</v>
      </c>
      <c r="I4317" s="1">
        <v>0</v>
      </c>
      <c r="J4317" s="30" t="s">
        <v>9</v>
      </c>
      <c r="K4317" s="2">
        <v>0</v>
      </c>
      <c r="L4317" s="1">
        <v>2.794</v>
      </c>
      <c r="M4317" s="1">
        <v>0</v>
      </c>
      <c r="O4317" s="1">
        <v>0</v>
      </c>
      <c r="P4317" s="1">
        <v>1.5</v>
      </c>
      <c r="Q4317" s="1">
        <v>40.200000000000003</v>
      </c>
      <c r="R4317" s="1">
        <v>40.4</v>
      </c>
      <c r="X4317" s="1"/>
      <c r="AB4317" s="1"/>
    </row>
    <row r="4318" spans="1:28" x14ac:dyDescent="0.25">
      <c r="A4318" s="22">
        <v>42669</v>
      </c>
      <c r="B4318" s="2">
        <v>0</v>
      </c>
      <c r="C4318" s="1">
        <v>0</v>
      </c>
      <c r="D4318" s="1">
        <v>7.3</v>
      </c>
      <c r="F4318" s="1">
        <v>0</v>
      </c>
      <c r="G4318" s="1">
        <v>0</v>
      </c>
      <c r="H4318" s="1">
        <v>21</v>
      </c>
      <c r="I4318" s="1">
        <v>0</v>
      </c>
      <c r="J4318" s="30" t="s">
        <v>9</v>
      </c>
      <c r="K4318" s="2">
        <v>2.1</v>
      </c>
      <c r="L4318" s="1">
        <v>8.3819999999999997</v>
      </c>
      <c r="M4318" s="1">
        <v>0.6</v>
      </c>
      <c r="O4318" s="1">
        <v>0.254</v>
      </c>
      <c r="P4318" s="1">
        <v>3.4</v>
      </c>
      <c r="Q4318" s="1">
        <v>11.5</v>
      </c>
      <c r="R4318" s="1">
        <v>5.9</v>
      </c>
      <c r="X4318" s="1"/>
      <c r="AB4318" s="1"/>
    </row>
    <row r="4319" spans="1:28" x14ac:dyDescent="0.25">
      <c r="A4319" s="22">
        <v>42670</v>
      </c>
      <c r="B4319" s="2">
        <v>11</v>
      </c>
      <c r="C4319" s="1">
        <v>0</v>
      </c>
      <c r="D4319" s="1">
        <v>0</v>
      </c>
      <c r="F4319" s="1">
        <v>32</v>
      </c>
      <c r="G4319" s="1">
        <v>0</v>
      </c>
      <c r="H4319" s="1">
        <v>0</v>
      </c>
      <c r="I4319" s="1">
        <v>10.3</v>
      </c>
      <c r="J4319" s="2">
        <v>5</v>
      </c>
      <c r="K4319" s="1">
        <v>23</v>
      </c>
      <c r="L4319" s="1">
        <v>13.715999999999999</v>
      </c>
      <c r="M4319" s="1">
        <v>11.7</v>
      </c>
      <c r="O4319" s="1">
        <v>0</v>
      </c>
      <c r="P4319" s="1">
        <v>13.2</v>
      </c>
      <c r="Q4319" s="1">
        <v>1.4</v>
      </c>
      <c r="R4319" s="1">
        <v>0.1</v>
      </c>
      <c r="X4319" s="1"/>
      <c r="AB4319" s="1"/>
    </row>
    <row r="4320" spans="1:28" x14ac:dyDescent="0.25">
      <c r="A4320" s="22">
        <v>42671</v>
      </c>
      <c r="B4320" s="2">
        <v>0</v>
      </c>
      <c r="C4320" s="1">
        <v>0</v>
      </c>
      <c r="D4320" s="1">
        <v>0</v>
      </c>
      <c r="F4320" s="1">
        <v>0</v>
      </c>
      <c r="G4320" s="1">
        <v>0</v>
      </c>
      <c r="H4320" s="1">
        <v>0</v>
      </c>
      <c r="I4320" s="2">
        <v>0</v>
      </c>
      <c r="J4320" s="1">
        <v>1.3</v>
      </c>
      <c r="K4320" s="1">
        <v>0</v>
      </c>
      <c r="L4320" s="1">
        <v>10.413999999999998</v>
      </c>
      <c r="M4320" s="1">
        <v>1.3</v>
      </c>
      <c r="O4320" s="1">
        <v>0</v>
      </c>
      <c r="P4320" s="1">
        <v>0</v>
      </c>
      <c r="Q4320" s="1">
        <v>4.2</v>
      </c>
      <c r="R4320" s="1">
        <v>0</v>
      </c>
      <c r="X4320" s="1"/>
      <c r="AB4320" s="1"/>
    </row>
    <row r="4321" spans="1:28" x14ac:dyDescent="0.25">
      <c r="A4321" s="22">
        <v>42672</v>
      </c>
      <c r="B4321" s="2">
        <v>0</v>
      </c>
      <c r="C4321" s="1">
        <v>0</v>
      </c>
      <c r="D4321" s="1">
        <v>0</v>
      </c>
      <c r="F4321" s="1">
        <v>0</v>
      </c>
      <c r="G4321" s="1">
        <v>15.6</v>
      </c>
      <c r="H4321" s="1">
        <v>0</v>
      </c>
      <c r="I4321" s="2">
        <v>0.6</v>
      </c>
      <c r="J4321" s="1">
        <v>0.5</v>
      </c>
      <c r="K4321" s="1">
        <v>0</v>
      </c>
      <c r="L4321" s="1">
        <v>0</v>
      </c>
      <c r="M4321" s="1">
        <v>1.1000000000000001</v>
      </c>
      <c r="O4321" s="1">
        <v>0</v>
      </c>
      <c r="P4321" s="1">
        <v>4.8</v>
      </c>
      <c r="Q4321" s="1">
        <v>3.4</v>
      </c>
      <c r="R4321" s="1">
        <v>0</v>
      </c>
      <c r="X4321" s="1"/>
      <c r="AB4321" s="1"/>
    </row>
    <row r="4322" spans="1:28" x14ac:dyDescent="0.25">
      <c r="A4322" s="22">
        <v>42673</v>
      </c>
      <c r="B4322" s="2">
        <v>15.5</v>
      </c>
      <c r="C4322" s="1">
        <v>0</v>
      </c>
      <c r="D4322" s="1">
        <v>1.5</v>
      </c>
      <c r="F4322" s="1"/>
      <c r="G4322" s="1">
        <v>5.5</v>
      </c>
      <c r="H4322" s="1">
        <v>0</v>
      </c>
      <c r="I4322" s="2">
        <v>0</v>
      </c>
      <c r="J4322" s="1">
        <v>3.5</v>
      </c>
      <c r="K4322" s="1">
        <v>2.4</v>
      </c>
      <c r="L4322" s="1">
        <v>0</v>
      </c>
      <c r="M4322" s="1">
        <v>9.4</v>
      </c>
      <c r="O4322" s="1">
        <v>0</v>
      </c>
      <c r="P4322" s="1">
        <v>0</v>
      </c>
      <c r="Q4322" s="1">
        <v>0.3</v>
      </c>
      <c r="R4322" s="1">
        <v>10.5</v>
      </c>
      <c r="X4322" s="1"/>
      <c r="AB4322" s="1"/>
    </row>
    <row r="4323" spans="1:28" x14ac:dyDescent="0.25">
      <c r="A4323" s="22">
        <v>42674</v>
      </c>
      <c r="B4323" s="2">
        <v>0</v>
      </c>
      <c r="C4323" s="1">
        <v>8.6999999999999993</v>
      </c>
      <c r="D4323" s="1">
        <v>9.6999999999999993</v>
      </c>
      <c r="F4323" s="1"/>
      <c r="G4323" s="1">
        <v>0</v>
      </c>
      <c r="H4323" s="1">
        <v>0</v>
      </c>
      <c r="I4323" s="2">
        <v>0</v>
      </c>
      <c r="J4323" s="1">
        <v>25.9</v>
      </c>
      <c r="K4323" s="1">
        <v>61.8</v>
      </c>
      <c r="L4323" s="1">
        <v>0.7619999999999999</v>
      </c>
      <c r="M4323" s="1">
        <v>0</v>
      </c>
      <c r="O4323" s="1">
        <v>26.416</v>
      </c>
      <c r="P4323" s="1">
        <v>1.1000000000000001</v>
      </c>
      <c r="Q4323" s="1">
        <v>19.100000000000001</v>
      </c>
      <c r="R4323" s="1">
        <v>10.7</v>
      </c>
      <c r="X4323" s="1"/>
      <c r="AB4323" s="1"/>
    </row>
    <row r="4324" spans="1:28" x14ac:dyDescent="0.25">
      <c r="A4324" s="22">
        <v>42675</v>
      </c>
      <c r="B4324" s="2">
        <v>5.5</v>
      </c>
      <c r="C4324" s="1">
        <v>0</v>
      </c>
      <c r="D4324" s="1">
        <v>0</v>
      </c>
      <c r="F4324" s="1">
        <v>14.5</v>
      </c>
      <c r="G4324" s="1">
        <v>2.6</v>
      </c>
      <c r="H4324" s="1">
        <v>12.8</v>
      </c>
      <c r="I4324" s="2"/>
      <c r="J4324" s="30" t="s">
        <v>9</v>
      </c>
      <c r="K4324" s="2">
        <v>0</v>
      </c>
      <c r="L4324" s="1">
        <v>0</v>
      </c>
      <c r="M4324" s="1">
        <v>10.3</v>
      </c>
      <c r="O4324" s="1"/>
      <c r="P4324" s="1">
        <v>10.7</v>
      </c>
      <c r="Q4324" s="1">
        <v>34.5</v>
      </c>
      <c r="R4324" s="1">
        <v>22.5</v>
      </c>
      <c r="X4324" s="1">
        <v>40.64</v>
      </c>
      <c r="AB4324" s="1"/>
    </row>
    <row r="4325" spans="1:28" x14ac:dyDescent="0.25">
      <c r="A4325" s="22">
        <v>42676</v>
      </c>
      <c r="B4325" s="2">
        <v>0</v>
      </c>
      <c r="C4325" s="1">
        <v>2.2999999999999998</v>
      </c>
      <c r="D4325" s="1">
        <v>0</v>
      </c>
      <c r="F4325" s="1">
        <v>0</v>
      </c>
      <c r="G4325" s="1">
        <v>4.9000000000000004</v>
      </c>
      <c r="H4325" s="1">
        <v>8.1999999999999993</v>
      </c>
      <c r="I4325" s="2"/>
      <c r="J4325" s="2">
        <v>6.3</v>
      </c>
      <c r="K4325" s="2">
        <v>0</v>
      </c>
      <c r="L4325" s="1">
        <v>40.64</v>
      </c>
      <c r="M4325" s="1">
        <v>12.8</v>
      </c>
      <c r="O4325" s="1"/>
      <c r="P4325" s="1">
        <v>1.4</v>
      </c>
      <c r="Q4325" s="1">
        <v>56.6</v>
      </c>
      <c r="R4325" s="1">
        <v>11.2</v>
      </c>
      <c r="X4325" s="1">
        <v>33.019999999999996</v>
      </c>
      <c r="AB4325" s="1"/>
    </row>
    <row r="4326" spans="1:28" x14ac:dyDescent="0.25">
      <c r="A4326" s="22">
        <v>42677</v>
      </c>
      <c r="B4326" s="2">
        <v>39</v>
      </c>
      <c r="C4326" s="1">
        <v>20.7</v>
      </c>
      <c r="D4326" s="1">
        <v>5.0999999999999996</v>
      </c>
      <c r="F4326" s="1">
        <v>4.3</v>
      </c>
      <c r="G4326" s="1">
        <v>1.5</v>
      </c>
      <c r="H4326" s="1">
        <v>3</v>
      </c>
      <c r="I4326" s="2"/>
      <c r="J4326" s="30" t="s">
        <v>9</v>
      </c>
      <c r="K4326" s="2">
        <v>0</v>
      </c>
      <c r="L4326" s="1">
        <v>33.019999999999996</v>
      </c>
      <c r="M4326" s="1">
        <v>0</v>
      </c>
      <c r="O4326" s="1"/>
      <c r="P4326" s="1">
        <v>96.1</v>
      </c>
      <c r="Q4326" s="1">
        <v>1.5</v>
      </c>
      <c r="R4326" s="1">
        <v>1.9</v>
      </c>
      <c r="X4326" s="1">
        <v>16.001999999999999</v>
      </c>
      <c r="AB4326" s="1"/>
    </row>
    <row r="4327" spans="1:28" x14ac:dyDescent="0.25">
      <c r="A4327" s="22">
        <v>42678</v>
      </c>
      <c r="B4327" s="2">
        <v>3.6</v>
      </c>
      <c r="C4327" s="1">
        <v>2</v>
      </c>
      <c r="D4327" s="1">
        <v>0</v>
      </c>
      <c r="F4327" s="1">
        <v>6.9</v>
      </c>
      <c r="G4327" s="1">
        <v>0</v>
      </c>
      <c r="H4327" s="1">
        <v>4.5999999999999996</v>
      </c>
      <c r="I4327" s="2"/>
      <c r="J4327" s="1">
        <v>1</v>
      </c>
      <c r="K4327" s="2">
        <v>8.9</v>
      </c>
      <c r="L4327" s="1">
        <v>16.001999999999999</v>
      </c>
      <c r="M4327" s="1">
        <v>1.8</v>
      </c>
      <c r="O4327" s="1"/>
      <c r="P4327" s="1">
        <v>3.4</v>
      </c>
      <c r="Q4327" s="1">
        <v>10.6</v>
      </c>
      <c r="R4327" s="1">
        <v>9.5</v>
      </c>
      <c r="X4327" s="1">
        <v>0</v>
      </c>
      <c r="AB4327" s="1"/>
    </row>
    <row r="4328" spans="1:28" x14ac:dyDescent="0.25">
      <c r="A4328" s="22">
        <v>42679</v>
      </c>
      <c r="B4328" s="2">
        <v>0</v>
      </c>
      <c r="C4328" s="1">
        <v>13</v>
      </c>
      <c r="D4328" s="2">
        <v>21</v>
      </c>
      <c r="F4328" s="2">
        <v>7</v>
      </c>
      <c r="G4328" s="1">
        <v>21.5</v>
      </c>
      <c r="H4328" s="1">
        <v>9.4</v>
      </c>
      <c r="I4328" s="2"/>
      <c r="J4328" s="2">
        <v>17.7</v>
      </c>
      <c r="K4328" s="2">
        <v>0</v>
      </c>
      <c r="L4328" s="1">
        <v>0</v>
      </c>
      <c r="M4328" s="1">
        <v>16.100000000000001</v>
      </c>
      <c r="O4328" s="1"/>
      <c r="P4328" s="1">
        <v>15.7</v>
      </c>
      <c r="Q4328" s="1">
        <v>0</v>
      </c>
      <c r="R4328" s="1">
        <v>0</v>
      </c>
      <c r="X4328" s="1">
        <v>0</v>
      </c>
      <c r="AB4328" s="1"/>
    </row>
    <row r="4329" spans="1:28" x14ac:dyDescent="0.25">
      <c r="A4329" s="22">
        <v>42680</v>
      </c>
      <c r="B4329" s="2">
        <v>0</v>
      </c>
      <c r="C4329" s="1">
        <v>28</v>
      </c>
      <c r="D4329" s="2">
        <v>41.5</v>
      </c>
      <c r="F4329" s="2">
        <v>0</v>
      </c>
      <c r="G4329" s="1">
        <v>1.7</v>
      </c>
      <c r="H4329" s="1">
        <v>2.1</v>
      </c>
      <c r="I4329" s="2"/>
      <c r="J4329" s="2">
        <v>13.1</v>
      </c>
      <c r="K4329" s="2">
        <v>26.7</v>
      </c>
      <c r="L4329" s="1">
        <v>0</v>
      </c>
      <c r="M4329" s="1">
        <v>5.5</v>
      </c>
      <c r="O4329" s="1"/>
      <c r="P4329" s="1">
        <v>1.1000000000000001</v>
      </c>
      <c r="Q4329" s="1">
        <v>0</v>
      </c>
      <c r="R4329" s="1">
        <v>0</v>
      </c>
      <c r="X4329" s="1">
        <v>2.54</v>
      </c>
      <c r="AB4329" s="1"/>
    </row>
    <row r="4330" spans="1:28" x14ac:dyDescent="0.25">
      <c r="A4330" s="22">
        <v>42681</v>
      </c>
      <c r="B4330" s="2">
        <v>30.6</v>
      </c>
      <c r="C4330" s="1">
        <v>9.8000000000000007</v>
      </c>
      <c r="D4330" s="2">
        <v>0</v>
      </c>
      <c r="F4330" s="2">
        <v>0</v>
      </c>
      <c r="G4330" s="1">
        <v>13.1</v>
      </c>
      <c r="H4330" s="1">
        <v>4.5</v>
      </c>
      <c r="I4330" s="1"/>
      <c r="J4330" s="2">
        <v>2</v>
      </c>
      <c r="K4330" s="2">
        <v>0</v>
      </c>
      <c r="L4330" s="1">
        <v>2.54</v>
      </c>
      <c r="M4330" s="1">
        <v>4.4000000000000004</v>
      </c>
      <c r="O4330" s="1"/>
      <c r="P4330" s="1">
        <v>0</v>
      </c>
      <c r="Q4330" s="1">
        <v>1.5</v>
      </c>
      <c r="R4330" s="1">
        <v>0</v>
      </c>
      <c r="X4330" s="1">
        <v>3.556</v>
      </c>
      <c r="AB4330" s="1"/>
    </row>
    <row r="4331" spans="1:28" x14ac:dyDescent="0.25">
      <c r="A4331" s="22">
        <v>42682</v>
      </c>
      <c r="B4331" s="2">
        <v>0</v>
      </c>
      <c r="C4331" s="1">
        <v>0.4</v>
      </c>
      <c r="D4331" s="1">
        <v>0</v>
      </c>
      <c r="F4331" s="1">
        <v>0</v>
      </c>
      <c r="G4331" s="1">
        <v>7.1</v>
      </c>
      <c r="H4331" s="1">
        <v>4.3</v>
      </c>
      <c r="I4331" s="2"/>
      <c r="J4331" s="2">
        <v>7.7</v>
      </c>
      <c r="K4331" s="2">
        <v>5.5</v>
      </c>
      <c r="L4331" s="1">
        <v>3.556</v>
      </c>
      <c r="M4331" s="1">
        <v>10.6</v>
      </c>
      <c r="O4331" s="1"/>
      <c r="P4331" s="1">
        <v>13.2</v>
      </c>
      <c r="Q4331" s="1">
        <v>0</v>
      </c>
      <c r="R4331" s="1">
        <v>0.1</v>
      </c>
      <c r="X4331" s="1">
        <v>3.8099999999999996</v>
      </c>
      <c r="AB4331" s="1"/>
    </row>
    <row r="4332" spans="1:28" x14ac:dyDescent="0.25">
      <c r="A4332" s="22">
        <v>42683</v>
      </c>
      <c r="B4332" s="2">
        <v>0</v>
      </c>
      <c r="C4332" s="1">
        <v>0</v>
      </c>
      <c r="D4332" s="1">
        <v>0</v>
      </c>
      <c r="F4332" s="1">
        <v>9.3000000000000007</v>
      </c>
      <c r="G4332" s="1">
        <v>1.8</v>
      </c>
      <c r="H4332" s="1">
        <v>26</v>
      </c>
      <c r="I4332" s="2"/>
      <c r="J4332" s="2">
        <v>2.7</v>
      </c>
      <c r="K4332" s="2">
        <v>1.2</v>
      </c>
      <c r="L4332" s="1">
        <v>3.8099999999999996</v>
      </c>
      <c r="M4332" s="1">
        <v>6.3</v>
      </c>
      <c r="O4332" s="1"/>
      <c r="P4332" s="1">
        <v>0</v>
      </c>
      <c r="Q4332" s="1">
        <v>3.3</v>
      </c>
      <c r="R4332" s="1">
        <v>4.2</v>
      </c>
      <c r="X4332" s="1">
        <v>8.636000000000001</v>
      </c>
      <c r="AB4332" s="1"/>
    </row>
    <row r="4333" spans="1:28" x14ac:dyDescent="0.25">
      <c r="A4333" s="22">
        <v>42684</v>
      </c>
      <c r="B4333" s="2">
        <v>6</v>
      </c>
      <c r="C4333" s="1">
        <v>7.5</v>
      </c>
      <c r="D4333" s="1">
        <v>8</v>
      </c>
      <c r="F4333" s="1">
        <v>0</v>
      </c>
      <c r="G4333" s="1">
        <v>47.6</v>
      </c>
      <c r="H4333" s="1">
        <v>1.6</v>
      </c>
      <c r="I4333" s="2"/>
      <c r="J4333" s="2">
        <v>7</v>
      </c>
      <c r="K4333" s="2">
        <v>11.9</v>
      </c>
      <c r="L4333" s="1">
        <v>8.636000000000001</v>
      </c>
      <c r="M4333" s="1">
        <v>3.2</v>
      </c>
      <c r="O4333" s="1"/>
      <c r="P4333" s="1">
        <v>0</v>
      </c>
      <c r="Q4333" s="1">
        <v>36.200000000000003</v>
      </c>
      <c r="R4333" s="1">
        <v>30.1</v>
      </c>
      <c r="X4333" s="1">
        <v>40.64</v>
      </c>
      <c r="AB4333" s="1"/>
    </row>
    <row r="4334" spans="1:28" x14ac:dyDescent="0.25">
      <c r="A4334" s="22">
        <v>42685</v>
      </c>
      <c r="B4334" s="2">
        <v>30</v>
      </c>
      <c r="C4334" s="1">
        <v>38</v>
      </c>
      <c r="D4334" s="1">
        <v>43</v>
      </c>
      <c r="F4334" s="1">
        <v>37.5</v>
      </c>
      <c r="G4334" s="1">
        <v>9.9</v>
      </c>
      <c r="H4334" s="1">
        <v>12</v>
      </c>
      <c r="I4334" s="2"/>
      <c r="J4334" s="2">
        <v>38.700000000000003</v>
      </c>
      <c r="K4334" s="2">
        <v>37.299999999999997</v>
      </c>
      <c r="L4334" s="1">
        <v>40.64</v>
      </c>
      <c r="M4334" s="1">
        <v>68.2</v>
      </c>
      <c r="O4334" s="1"/>
      <c r="P4334" s="1">
        <v>40.6</v>
      </c>
      <c r="Q4334" s="1">
        <v>8.4</v>
      </c>
      <c r="R4334" s="1">
        <v>4.3</v>
      </c>
      <c r="X4334" s="1">
        <v>5.08</v>
      </c>
      <c r="AB4334" s="1"/>
    </row>
    <row r="4335" spans="1:28" x14ac:dyDescent="0.25">
      <c r="A4335" s="22">
        <v>42686</v>
      </c>
      <c r="B4335" s="2">
        <v>23.5</v>
      </c>
      <c r="C4335" s="1">
        <v>9</v>
      </c>
      <c r="D4335" s="1">
        <v>17</v>
      </c>
      <c r="F4335" s="1">
        <v>0</v>
      </c>
      <c r="G4335" s="1">
        <v>25.1</v>
      </c>
      <c r="H4335" s="1">
        <v>30</v>
      </c>
      <c r="I4335" s="2"/>
      <c r="J4335" s="1">
        <v>17.3</v>
      </c>
      <c r="K4335" s="2">
        <v>0</v>
      </c>
      <c r="L4335" s="1">
        <v>5.08</v>
      </c>
      <c r="M4335" s="1">
        <v>7.2</v>
      </c>
      <c r="O4335" s="1"/>
      <c r="P4335" s="1">
        <v>10.7</v>
      </c>
      <c r="Q4335" s="1">
        <v>7.4</v>
      </c>
      <c r="R4335" s="1">
        <v>0</v>
      </c>
      <c r="X4335" s="1">
        <v>40.64</v>
      </c>
      <c r="AB4335" s="1"/>
    </row>
    <row r="4336" spans="1:28" x14ac:dyDescent="0.25">
      <c r="A4336" s="22">
        <v>42687</v>
      </c>
      <c r="B4336" s="2">
        <v>0</v>
      </c>
      <c r="C4336" s="1">
        <v>18.5</v>
      </c>
      <c r="D4336" s="1">
        <v>10.1</v>
      </c>
      <c r="F4336" s="1">
        <v>10</v>
      </c>
      <c r="G4336" s="2">
        <v>0</v>
      </c>
      <c r="H4336" s="1">
        <v>21.4</v>
      </c>
      <c r="I4336" s="2"/>
      <c r="J4336" s="1">
        <v>30.1</v>
      </c>
      <c r="K4336" s="2">
        <v>0</v>
      </c>
      <c r="L4336" s="1">
        <v>40.64</v>
      </c>
      <c r="M4336" s="1">
        <v>23.8</v>
      </c>
      <c r="O4336" s="1"/>
      <c r="P4336" s="1">
        <v>14.3</v>
      </c>
      <c r="Q4336" s="1">
        <v>0</v>
      </c>
      <c r="R4336" s="1">
        <v>1.5</v>
      </c>
      <c r="X4336" s="1">
        <v>0</v>
      </c>
      <c r="AB4336" s="1"/>
    </row>
    <row r="4337" spans="1:28" x14ac:dyDescent="0.25">
      <c r="A4337" s="22">
        <v>42688</v>
      </c>
      <c r="B4337" s="2">
        <v>18</v>
      </c>
      <c r="C4337" s="1">
        <v>0</v>
      </c>
      <c r="D4337" s="1">
        <v>0</v>
      </c>
      <c r="F4337" s="1">
        <v>37.700000000000003</v>
      </c>
      <c r="G4337" s="2">
        <v>0.4</v>
      </c>
      <c r="H4337" s="1">
        <v>0</v>
      </c>
      <c r="I4337" s="2"/>
      <c r="J4337" s="1">
        <v>1.1000000000000001</v>
      </c>
      <c r="K4337" s="2">
        <v>0</v>
      </c>
      <c r="L4337" s="1">
        <v>0</v>
      </c>
      <c r="M4337" s="1">
        <v>0.6</v>
      </c>
      <c r="O4337" s="1"/>
      <c r="P4337" s="1">
        <v>0</v>
      </c>
      <c r="Q4337" s="1">
        <v>5.0999999999999996</v>
      </c>
      <c r="R4337" s="1">
        <v>0</v>
      </c>
      <c r="X4337" s="1">
        <v>5.08</v>
      </c>
      <c r="AB4337" s="1"/>
    </row>
    <row r="4338" spans="1:28" x14ac:dyDescent="0.25">
      <c r="A4338" s="22">
        <v>42689</v>
      </c>
      <c r="B4338" s="2">
        <v>5</v>
      </c>
      <c r="C4338" s="1">
        <v>1.9</v>
      </c>
      <c r="D4338" s="1">
        <v>0</v>
      </c>
      <c r="F4338" s="1">
        <v>6.2</v>
      </c>
      <c r="G4338" s="2">
        <v>15.5</v>
      </c>
      <c r="H4338" s="1">
        <v>0.5</v>
      </c>
      <c r="I4338" s="2"/>
      <c r="J4338" s="30" t="s">
        <v>9</v>
      </c>
      <c r="K4338" s="2">
        <v>0</v>
      </c>
      <c r="L4338" s="1">
        <v>5.08</v>
      </c>
      <c r="M4338" s="1">
        <v>0.3</v>
      </c>
      <c r="O4338" s="1"/>
      <c r="P4338" s="1">
        <v>3.4</v>
      </c>
      <c r="Q4338" s="1">
        <v>9.9</v>
      </c>
      <c r="R4338" s="1">
        <v>0</v>
      </c>
      <c r="X4338" s="1">
        <v>18.541999999999998</v>
      </c>
      <c r="AB4338" s="1"/>
    </row>
    <row r="4339" spans="1:28" x14ac:dyDescent="0.25">
      <c r="A4339" s="22">
        <v>42690</v>
      </c>
      <c r="B4339" s="2">
        <v>0</v>
      </c>
      <c r="C4339" s="1">
        <v>5.2</v>
      </c>
      <c r="D4339" s="1">
        <v>16.5</v>
      </c>
      <c r="F4339" s="1">
        <v>13.3</v>
      </c>
      <c r="G4339" s="2">
        <v>1</v>
      </c>
      <c r="H4339" s="1">
        <v>15.4</v>
      </c>
      <c r="I4339" s="1"/>
      <c r="J4339" s="2">
        <v>21.5</v>
      </c>
      <c r="K4339" s="2">
        <v>0</v>
      </c>
      <c r="L4339" s="1">
        <v>18.541999999999998</v>
      </c>
      <c r="M4339" s="1">
        <v>15.2</v>
      </c>
      <c r="O4339" s="1"/>
      <c r="P4339" s="1">
        <v>19</v>
      </c>
      <c r="Q4339" s="1">
        <v>7.2</v>
      </c>
      <c r="R4339" s="1">
        <v>7.2</v>
      </c>
      <c r="X4339" s="1">
        <v>6.0959999999999992</v>
      </c>
      <c r="AB4339" s="1"/>
    </row>
    <row r="4340" spans="1:28" x14ac:dyDescent="0.25">
      <c r="A4340" s="22">
        <v>42691</v>
      </c>
      <c r="B4340" s="2">
        <v>18</v>
      </c>
      <c r="C4340" s="1">
        <v>0</v>
      </c>
      <c r="D4340" s="1">
        <v>10</v>
      </c>
      <c r="F4340" s="1">
        <v>0</v>
      </c>
      <c r="G4340" s="1">
        <v>18.2</v>
      </c>
      <c r="H4340" s="1">
        <v>1.5</v>
      </c>
      <c r="I4340" s="2"/>
      <c r="J4340" s="2">
        <v>4</v>
      </c>
      <c r="K4340" s="1">
        <v>0</v>
      </c>
      <c r="L4340" s="1">
        <v>6.0959999999999992</v>
      </c>
      <c r="M4340" s="1">
        <v>2.1</v>
      </c>
      <c r="O4340" s="1"/>
      <c r="P4340" s="1">
        <v>0.6</v>
      </c>
      <c r="Q4340" s="1">
        <v>35.5</v>
      </c>
      <c r="R4340" s="1">
        <v>9.3000000000000007</v>
      </c>
      <c r="X4340" s="1">
        <v>27.94</v>
      </c>
      <c r="AB4340" s="1"/>
    </row>
    <row r="4341" spans="1:28" x14ac:dyDescent="0.25">
      <c r="A4341" s="22">
        <v>42692</v>
      </c>
      <c r="B4341" s="2">
        <v>38</v>
      </c>
      <c r="C4341" s="1">
        <v>23.8</v>
      </c>
      <c r="D4341" s="2">
        <v>22.1</v>
      </c>
      <c r="F4341" s="2">
        <v>0</v>
      </c>
      <c r="G4341" s="1">
        <v>26.4</v>
      </c>
      <c r="H4341" s="1">
        <v>23.2</v>
      </c>
      <c r="I4341" s="2"/>
      <c r="J4341" s="1">
        <v>27.2</v>
      </c>
      <c r="K4341" s="2">
        <v>33</v>
      </c>
      <c r="L4341" s="1">
        <v>27.94</v>
      </c>
      <c r="M4341" s="1">
        <v>19.2</v>
      </c>
      <c r="O4341" s="1"/>
      <c r="P4341" s="1">
        <v>27.2</v>
      </c>
      <c r="Q4341" s="1">
        <v>17.3</v>
      </c>
      <c r="R4341" s="1">
        <v>0</v>
      </c>
      <c r="X4341" s="1">
        <v>8.3819999999999997</v>
      </c>
      <c r="AB4341" s="1"/>
    </row>
    <row r="4342" spans="1:28" x14ac:dyDescent="0.25">
      <c r="A4342" s="22">
        <v>42693</v>
      </c>
      <c r="B4342" s="2">
        <v>0</v>
      </c>
      <c r="C4342" s="1">
        <v>5.9</v>
      </c>
      <c r="D4342" s="1">
        <v>0</v>
      </c>
      <c r="F4342" s="1">
        <v>0</v>
      </c>
      <c r="G4342" s="1">
        <v>32.200000000000003</v>
      </c>
      <c r="H4342" s="1">
        <v>4</v>
      </c>
      <c r="I4342" s="2"/>
      <c r="J4342" s="1">
        <v>16.399999999999999</v>
      </c>
      <c r="K4342" s="2">
        <v>18.2</v>
      </c>
      <c r="L4342" s="1">
        <v>8.3819999999999997</v>
      </c>
      <c r="M4342" s="1">
        <v>14.1</v>
      </c>
      <c r="O4342" s="1"/>
      <c r="P4342" s="1">
        <v>11.5</v>
      </c>
      <c r="Q4342" s="1">
        <v>1.3</v>
      </c>
      <c r="R4342" s="1">
        <v>10.4</v>
      </c>
      <c r="X4342" s="1">
        <v>2.54</v>
      </c>
      <c r="AB4342" s="1"/>
    </row>
    <row r="4343" spans="1:28" x14ac:dyDescent="0.25">
      <c r="A4343" s="22">
        <v>42694</v>
      </c>
      <c r="B4343" s="2">
        <v>0</v>
      </c>
      <c r="C4343" s="1">
        <v>3.9</v>
      </c>
      <c r="D4343" s="1">
        <v>10.3</v>
      </c>
      <c r="F4343" s="1">
        <v>0</v>
      </c>
      <c r="G4343" s="1">
        <v>2.1</v>
      </c>
      <c r="H4343" s="1">
        <v>7.5</v>
      </c>
      <c r="I4343" s="2"/>
      <c r="J4343" s="2">
        <v>12.2</v>
      </c>
      <c r="K4343" s="1">
        <v>4.5</v>
      </c>
      <c r="L4343" s="1">
        <v>2.54</v>
      </c>
      <c r="M4343" s="1">
        <v>24.3</v>
      </c>
      <c r="O4343" s="1"/>
      <c r="P4343" s="1">
        <v>0</v>
      </c>
      <c r="Q4343" s="1">
        <v>4.4000000000000004</v>
      </c>
      <c r="R4343" s="1">
        <v>2.5</v>
      </c>
      <c r="X4343" s="1">
        <v>0</v>
      </c>
      <c r="AB4343" s="1"/>
    </row>
    <row r="4344" spans="1:28" x14ac:dyDescent="0.25">
      <c r="A4344" s="22">
        <v>42695</v>
      </c>
      <c r="B4344" s="2">
        <v>28</v>
      </c>
      <c r="C4344" s="1">
        <v>2.1</v>
      </c>
      <c r="D4344" s="1">
        <v>0</v>
      </c>
      <c r="F4344" s="1">
        <v>0</v>
      </c>
      <c r="G4344" s="1">
        <v>4.5</v>
      </c>
      <c r="H4344" s="1">
        <v>1</v>
      </c>
      <c r="I4344" s="2"/>
      <c r="J4344" s="30" t="s">
        <v>9</v>
      </c>
      <c r="K4344" s="2">
        <v>1</v>
      </c>
      <c r="L4344" s="1">
        <v>0</v>
      </c>
      <c r="M4344" s="1">
        <v>6.3</v>
      </c>
      <c r="O4344" s="1"/>
      <c r="P4344" s="1">
        <v>7.8</v>
      </c>
      <c r="Q4344" s="1">
        <v>5.2</v>
      </c>
      <c r="R4344" s="1">
        <v>0</v>
      </c>
      <c r="X4344" s="1">
        <v>0</v>
      </c>
      <c r="AB4344" s="1"/>
    </row>
    <row r="4345" spans="1:28" x14ac:dyDescent="0.25">
      <c r="A4345" s="22">
        <v>42696</v>
      </c>
      <c r="B4345" s="2">
        <v>3.3</v>
      </c>
      <c r="C4345" s="1">
        <v>0</v>
      </c>
      <c r="D4345" s="2">
        <v>4</v>
      </c>
      <c r="F4345" s="1">
        <v>0</v>
      </c>
      <c r="G4345" s="1">
        <v>14.4</v>
      </c>
      <c r="H4345" s="1">
        <v>0</v>
      </c>
      <c r="I4345" s="2"/>
      <c r="J4345" s="1">
        <v>0.5</v>
      </c>
      <c r="K4345" s="1">
        <v>1.5</v>
      </c>
      <c r="L4345" s="1">
        <v>0</v>
      </c>
      <c r="M4345" s="1">
        <v>0.4</v>
      </c>
      <c r="O4345" s="1"/>
      <c r="P4345" s="1">
        <v>4.4000000000000004</v>
      </c>
      <c r="Q4345" s="1">
        <v>7.9</v>
      </c>
      <c r="R4345" s="1">
        <v>10.3</v>
      </c>
      <c r="X4345" s="1">
        <v>12.7</v>
      </c>
      <c r="AB4345" s="1"/>
    </row>
    <row r="4346" spans="1:28" x14ac:dyDescent="0.25">
      <c r="A4346" s="22">
        <v>42697</v>
      </c>
      <c r="B4346" s="2">
        <v>0</v>
      </c>
      <c r="C4346" s="1">
        <v>11.4</v>
      </c>
      <c r="D4346" s="2">
        <v>6.6</v>
      </c>
      <c r="F4346" s="1">
        <v>10.5</v>
      </c>
      <c r="G4346" s="1">
        <v>0</v>
      </c>
      <c r="H4346" s="1">
        <v>11</v>
      </c>
      <c r="I4346" s="1"/>
      <c r="J4346" s="1">
        <v>13.1</v>
      </c>
      <c r="K4346" s="1">
        <v>19.7</v>
      </c>
      <c r="L4346" s="1">
        <v>12.7</v>
      </c>
      <c r="M4346" s="1">
        <v>11.7</v>
      </c>
      <c r="O4346" s="1"/>
      <c r="P4346" s="1">
        <v>10</v>
      </c>
      <c r="Q4346" s="1">
        <v>0</v>
      </c>
      <c r="R4346" s="1">
        <v>5.0999999999999996</v>
      </c>
      <c r="X4346" s="1">
        <v>0</v>
      </c>
      <c r="AB4346" s="1"/>
    </row>
    <row r="4347" spans="1:28" x14ac:dyDescent="0.25">
      <c r="A4347" s="22">
        <v>42698</v>
      </c>
      <c r="B4347" s="2">
        <v>35.5</v>
      </c>
      <c r="C4347" s="30" t="s">
        <v>9</v>
      </c>
      <c r="D4347" s="2">
        <v>1.7</v>
      </c>
      <c r="F4347" s="1">
        <v>0</v>
      </c>
      <c r="G4347" s="1">
        <v>12.1</v>
      </c>
      <c r="H4347" s="1">
        <v>0</v>
      </c>
      <c r="I4347" s="2"/>
      <c r="J4347" s="1">
        <v>0.6</v>
      </c>
      <c r="K4347" s="1">
        <v>0.1</v>
      </c>
      <c r="L4347" s="1">
        <v>0</v>
      </c>
      <c r="M4347" s="1">
        <v>3.1</v>
      </c>
      <c r="O4347" s="1"/>
      <c r="P4347" s="1">
        <v>1.8</v>
      </c>
      <c r="Q4347" s="1">
        <v>19.899999999999999</v>
      </c>
      <c r="R4347" s="1">
        <v>1.3</v>
      </c>
      <c r="X4347" s="1">
        <v>10.16</v>
      </c>
      <c r="AB4347" s="1"/>
    </row>
    <row r="4348" spans="1:28" x14ac:dyDescent="0.25">
      <c r="A4348" s="22">
        <v>42699</v>
      </c>
      <c r="B4348" s="2">
        <v>28.5</v>
      </c>
      <c r="C4348" s="1">
        <v>1.7</v>
      </c>
      <c r="D4348" s="2">
        <v>25.5</v>
      </c>
      <c r="F4348" s="2">
        <v>5.9</v>
      </c>
      <c r="G4348" s="1">
        <v>8.4</v>
      </c>
      <c r="H4348" s="1">
        <v>8</v>
      </c>
      <c r="I4348" s="1"/>
      <c r="J4348" s="2">
        <v>23.1</v>
      </c>
      <c r="K4348" s="1">
        <v>25.2</v>
      </c>
      <c r="L4348" s="1">
        <v>10.16</v>
      </c>
      <c r="M4348" s="1">
        <v>9.1</v>
      </c>
      <c r="O4348" s="1"/>
      <c r="P4348" s="1">
        <v>40.6</v>
      </c>
      <c r="Q4348" s="1">
        <v>6.3</v>
      </c>
      <c r="R4348" s="1">
        <v>2.4</v>
      </c>
      <c r="X4348" s="1">
        <v>12.7</v>
      </c>
      <c r="AB4348" s="1"/>
    </row>
    <row r="4349" spans="1:28" x14ac:dyDescent="0.25">
      <c r="A4349" s="22">
        <v>42700</v>
      </c>
      <c r="B4349" s="2">
        <v>0</v>
      </c>
      <c r="C4349" s="1">
        <v>0</v>
      </c>
      <c r="D4349" s="1">
        <v>12.5</v>
      </c>
      <c r="F4349" s="2">
        <v>6.5</v>
      </c>
      <c r="G4349" s="1">
        <v>2.2999999999999998</v>
      </c>
      <c r="H4349" s="1">
        <v>4</v>
      </c>
      <c r="I4349" s="1"/>
      <c r="J4349" s="1">
        <v>5.9</v>
      </c>
      <c r="K4349" s="2">
        <v>8.8000000000000007</v>
      </c>
      <c r="L4349" s="1">
        <v>12.7</v>
      </c>
      <c r="M4349" s="1">
        <v>6.1</v>
      </c>
      <c r="O4349" s="1"/>
      <c r="P4349" s="1">
        <v>13.1</v>
      </c>
      <c r="Q4349" s="1">
        <v>9.5</v>
      </c>
      <c r="R4349" s="1">
        <v>8.4</v>
      </c>
      <c r="X4349" s="1">
        <v>0</v>
      </c>
      <c r="AB4349" s="1"/>
    </row>
    <row r="4350" spans="1:28" x14ac:dyDescent="0.25">
      <c r="A4350" s="22">
        <v>42701</v>
      </c>
      <c r="B4350" s="2">
        <v>0</v>
      </c>
      <c r="C4350" s="1">
        <v>5.0999999999999996</v>
      </c>
      <c r="D4350" s="1">
        <v>12.1</v>
      </c>
      <c r="F4350" s="2">
        <v>0</v>
      </c>
      <c r="G4350" s="1">
        <v>0.3</v>
      </c>
      <c r="H4350" s="1">
        <v>1</v>
      </c>
      <c r="I4350" s="1"/>
      <c r="J4350" s="2">
        <v>9.3000000000000007</v>
      </c>
      <c r="K4350" s="2">
        <v>0</v>
      </c>
      <c r="L4350" s="1">
        <v>0</v>
      </c>
      <c r="M4350" s="1">
        <v>2.5</v>
      </c>
      <c r="O4350" s="1"/>
      <c r="P4350" s="1">
        <v>9.1999999999999993</v>
      </c>
      <c r="Q4350" s="1">
        <v>33.4</v>
      </c>
      <c r="R4350" s="1">
        <v>30.9</v>
      </c>
      <c r="X4350" s="1">
        <v>27.94</v>
      </c>
      <c r="AB4350" s="1"/>
    </row>
    <row r="4351" spans="1:28" x14ac:dyDescent="0.25">
      <c r="A4351" s="22">
        <v>42702</v>
      </c>
      <c r="B4351" s="2">
        <v>37.700000000000003</v>
      </c>
      <c r="C4351" s="1">
        <v>8.3000000000000007</v>
      </c>
      <c r="D4351" s="1">
        <v>6</v>
      </c>
      <c r="F4351" s="2">
        <v>22</v>
      </c>
      <c r="G4351" s="1">
        <v>2.1</v>
      </c>
      <c r="H4351" s="1">
        <v>4</v>
      </c>
      <c r="I4351" s="2"/>
      <c r="J4351" s="1">
        <v>1.4</v>
      </c>
      <c r="K4351" s="2">
        <v>4.4000000000000004</v>
      </c>
      <c r="L4351" s="1">
        <v>2.54</v>
      </c>
      <c r="M4351" s="1">
        <v>1.3</v>
      </c>
      <c r="O4351" s="1"/>
      <c r="P4351" s="1">
        <v>31.3</v>
      </c>
      <c r="Q4351" s="1">
        <v>35.9</v>
      </c>
      <c r="R4351" s="1">
        <v>30.1</v>
      </c>
      <c r="X4351" s="1">
        <v>0</v>
      </c>
      <c r="AB4351" s="1"/>
    </row>
    <row r="4352" spans="1:28" x14ac:dyDescent="0.25">
      <c r="A4352" s="22">
        <v>42703</v>
      </c>
      <c r="B4352" s="2">
        <v>0</v>
      </c>
      <c r="C4352" s="1">
        <v>0</v>
      </c>
      <c r="D4352" s="1">
        <v>0</v>
      </c>
      <c r="F4352" s="1">
        <v>7</v>
      </c>
      <c r="G4352" s="1">
        <v>32.4</v>
      </c>
      <c r="H4352" s="1">
        <v>8</v>
      </c>
      <c r="I4352" s="2"/>
      <c r="J4352" s="1">
        <v>2</v>
      </c>
      <c r="K4352" s="1">
        <v>1.5</v>
      </c>
      <c r="L4352" s="1">
        <v>0</v>
      </c>
      <c r="M4352" s="1">
        <v>4.0999999999999996</v>
      </c>
      <c r="O4352" s="1"/>
      <c r="P4352" s="1">
        <v>13.9</v>
      </c>
      <c r="Q4352" s="1">
        <v>65.2</v>
      </c>
      <c r="R4352" s="1">
        <v>20.100000000000001</v>
      </c>
      <c r="X4352" s="1">
        <v>40.64</v>
      </c>
      <c r="AB4352" s="1"/>
    </row>
    <row r="4353" spans="1:28" x14ac:dyDescent="0.25">
      <c r="A4353" s="22">
        <v>42704</v>
      </c>
      <c r="B4353" s="2">
        <v>50</v>
      </c>
      <c r="C4353" s="1">
        <v>19.399999999999999</v>
      </c>
      <c r="D4353" s="1">
        <v>31.5</v>
      </c>
      <c r="F4353" s="1">
        <v>57.3</v>
      </c>
      <c r="G4353" s="1">
        <v>2.2999999999999998</v>
      </c>
      <c r="H4353" s="1">
        <v>50</v>
      </c>
      <c r="I4353" s="2"/>
      <c r="J4353" s="1">
        <v>33.799999999999997</v>
      </c>
      <c r="K4353" s="1">
        <v>0</v>
      </c>
      <c r="L4353" s="1">
        <v>40.64</v>
      </c>
      <c r="M4353" s="1">
        <v>35.700000000000003</v>
      </c>
      <c r="O4353" s="1"/>
      <c r="P4353" s="1">
        <v>89.3</v>
      </c>
      <c r="Q4353" s="1">
        <v>2.2999999999999998</v>
      </c>
      <c r="R4353" s="1">
        <v>2.1</v>
      </c>
      <c r="X4353" s="1">
        <v>0</v>
      </c>
      <c r="AB4353" s="1"/>
    </row>
    <row r="4354" spans="1:28" x14ac:dyDescent="0.25">
      <c r="A4354" s="22">
        <v>42705</v>
      </c>
      <c r="B4354" s="2">
        <v>0</v>
      </c>
      <c r="C4354" s="1">
        <v>1.9</v>
      </c>
      <c r="D4354" s="1"/>
      <c r="F4354" s="2"/>
      <c r="G4354" s="1">
        <v>2.6</v>
      </c>
      <c r="H4354" s="1"/>
      <c r="I4354" s="2">
        <v>15.3</v>
      </c>
      <c r="J4354" s="1"/>
      <c r="K4354" s="2">
        <v>32.299999999999997</v>
      </c>
      <c r="L4354" s="1">
        <v>4.8259999999999996</v>
      </c>
      <c r="M4354" s="1"/>
      <c r="O4354" s="1"/>
      <c r="P4354" s="1"/>
      <c r="Q4354" s="1"/>
      <c r="R4354" s="1"/>
      <c r="X4354" s="1"/>
      <c r="AB4354" s="1"/>
    </row>
    <row r="4355" spans="1:28" x14ac:dyDescent="0.25">
      <c r="A4355" s="22">
        <v>42706</v>
      </c>
      <c r="B4355" s="2">
        <v>0</v>
      </c>
      <c r="C4355" s="1">
        <v>1.5</v>
      </c>
      <c r="D4355" s="1"/>
      <c r="F4355" s="2"/>
      <c r="G4355" s="1">
        <v>21.6</v>
      </c>
      <c r="H4355" s="1"/>
      <c r="I4355" s="2">
        <v>2.1</v>
      </c>
      <c r="J4355" s="2"/>
      <c r="K4355" s="2">
        <v>0</v>
      </c>
      <c r="L4355" s="1">
        <v>2.2859999999999996</v>
      </c>
      <c r="M4355" s="1"/>
      <c r="O4355" s="1"/>
      <c r="P4355" s="1"/>
      <c r="Q4355" s="1"/>
      <c r="R4355" s="1"/>
      <c r="X4355" s="1"/>
      <c r="AB4355" s="1"/>
    </row>
    <row r="4356" spans="1:28" x14ac:dyDescent="0.25">
      <c r="A4356" s="22">
        <v>42707</v>
      </c>
      <c r="B4356" s="2">
        <v>0</v>
      </c>
      <c r="C4356" s="1">
        <v>0</v>
      </c>
      <c r="D4356" s="1"/>
      <c r="F4356" s="2"/>
      <c r="G4356" s="1">
        <v>0</v>
      </c>
      <c r="H4356" s="1"/>
      <c r="I4356" s="2">
        <v>3.4</v>
      </c>
      <c r="J4356" s="2"/>
      <c r="K4356" s="2">
        <v>0</v>
      </c>
      <c r="L4356" s="1">
        <v>0</v>
      </c>
      <c r="M4356" s="1"/>
      <c r="O4356" s="1"/>
      <c r="P4356" s="1"/>
      <c r="Q4356" s="1"/>
      <c r="R4356" s="1"/>
      <c r="X4356" s="1"/>
      <c r="AB4356" s="1"/>
    </row>
    <row r="4357" spans="1:28" x14ac:dyDescent="0.25">
      <c r="A4357" s="22">
        <v>42708</v>
      </c>
      <c r="B4357" s="2">
        <v>0</v>
      </c>
      <c r="C4357" s="1">
        <v>0</v>
      </c>
      <c r="D4357" s="1"/>
      <c r="F4357" s="2"/>
      <c r="G4357" s="1">
        <v>1.2</v>
      </c>
      <c r="H4357" s="1"/>
      <c r="I4357" s="2">
        <v>0</v>
      </c>
      <c r="J4357" s="1"/>
      <c r="K4357" s="2">
        <v>0</v>
      </c>
      <c r="L4357" s="1">
        <v>61.722000000000001</v>
      </c>
      <c r="M4357" s="1"/>
      <c r="O4357" s="1"/>
      <c r="P4357" s="1"/>
      <c r="Q4357" s="1"/>
      <c r="R4357" s="1"/>
      <c r="X4357" s="1"/>
      <c r="AB4357" s="1"/>
    </row>
    <row r="4358" spans="1:28" x14ac:dyDescent="0.25">
      <c r="A4358" s="22">
        <v>42709</v>
      </c>
      <c r="B4358" s="2">
        <v>0</v>
      </c>
      <c r="C4358" s="1">
        <v>0</v>
      </c>
      <c r="D4358" s="2"/>
      <c r="F4358" s="2"/>
      <c r="G4358" s="1">
        <v>1.1000000000000001</v>
      </c>
      <c r="H4358" s="1"/>
      <c r="I4358" s="2">
        <v>8.1999999999999993</v>
      </c>
      <c r="J4358" s="2"/>
      <c r="K4358" s="2">
        <v>6</v>
      </c>
      <c r="L4358" s="1">
        <v>1.016</v>
      </c>
      <c r="M4358" s="1"/>
      <c r="O4358" s="1"/>
      <c r="P4358" s="1"/>
      <c r="Q4358" s="1"/>
      <c r="R4358" s="1"/>
      <c r="X4358" s="1"/>
      <c r="AB4358" s="1"/>
    </row>
    <row r="4359" spans="1:28" x14ac:dyDescent="0.25">
      <c r="A4359" s="22">
        <v>42710</v>
      </c>
      <c r="B4359" s="2">
        <v>16.3</v>
      </c>
      <c r="C4359" s="1">
        <v>0.5</v>
      </c>
      <c r="D4359" s="2"/>
      <c r="F4359" s="2"/>
      <c r="G4359" s="1">
        <v>29.6</v>
      </c>
      <c r="H4359" s="1"/>
      <c r="I4359" s="2">
        <v>1.2</v>
      </c>
      <c r="J4359" s="2"/>
      <c r="K4359" s="2">
        <v>3.4</v>
      </c>
      <c r="L4359" s="1">
        <v>0</v>
      </c>
      <c r="M4359" s="1"/>
      <c r="O4359" s="1"/>
      <c r="P4359" s="1"/>
      <c r="Q4359" s="1"/>
      <c r="R4359" s="1"/>
      <c r="X4359" s="1"/>
      <c r="AB4359" s="1"/>
    </row>
    <row r="4360" spans="1:28" x14ac:dyDescent="0.25">
      <c r="A4360" s="22">
        <v>42711</v>
      </c>
      <c r="B4360" s="2">
        <v>3.8</v>
      </c>
      <c r="C4360" s="1">
        <v>16.3</v>
      </c>
      <c r="D4360" s="2"/>
      <c r="F4360" s="2"/>
      <c r="G4360" s="1">
        <v>27.7</v>
      </c>
      <c r="H4360" s="1"/>
      <c r="I4360" s="1">
        <v>20</v>
      </c>
      <c r="J4360" s="2"/>
      <c r="K4360" s="2">
        <v>14.1</v>
      </c>
      <c r="L4360" s="1">
        <v>3.302</v>
      </c>
      <c r="M4360" s="1"/>
      <c r="O4360" s="1"/>
      <c r="P4360" s="1"/>
      <c r="Q4360" s="1"/>
      <c r="R4360" s="1"/>
      <c r="X4360" s="1"/>
      <c r="AB4360" s="1"/>
    </row>
    <row r="4361" spans="1:28" x14ac:dyDescent="0.25">
      <c r="A4361" s="22">
        <v>42712</v>
      </c>
      <c r="B4361" s="2">
        <v>0</v>
      </c>
      <c r="C4361" s="1">
        <v>23.8</v>
      </c>
      <c r="D4361" s="1"/>
      <c r="F4361" s="2"/>
      <c r="G4361" s="1">
        <v>60.6</v>
      </c>
      <c r="H4361" s="1"/>
      <c r="I4361" s="2">
        <v>25.3</v>
      </c>
      <c r="J4361" s="2"/>
      <c r="K4361" s="2">
        <v>34.5</v>
      </c>
      <c r="L4361" s="1">
        <v>3.0479999999999996</v>
      </c>
      <c r="M4361" s="1"/>
      <c r="O4361" s="1"/>
      <c r="P4361" s="1"/>
      <c r="Q4361" s="1"/>
      <c r="R4361" s="1"/>
      <c r="X4361" s="1"/>
      <c r="AB4361" s="1"/>
    </row>
    <row r="4362" spans="1:28" x14ac:dyDescent="0.25">
      <c r="A4362" s="22">
        <v>42713</v>
      </c>
      <c r="B4362" s="2">
        <v>15.2</v>
      </c>
      <c r="C4362" s="1">
        <v>57</v>
      </c>
      <c r="D4362" s="1"/>
      <c r="F4362" s="2"/>
      <c r="G4362" s="1">
        <v>7.2</v>
      </c>
      <c r="H4362" s="1"/>
      <c r="I4362" s="2">
        <v>55.8</v>
      </c>
      <c r="J4362" s="2"/>
      <c r="K4362" s="2">
        <v>47.8</v>
      </c>
      <c r="L4362" s="1">
        <v>0.7619999999999999</v>
      </c>
      <c r="M4362" s="1"/>
      <c r="O4362" s="1"/>
      <c r="P4362" s="1"/>
      <c r="Q4362" s="1"/>
      <c r="R4362" s="1"/>
      <c r="X4362" s="1"/>
      <c r="AB4362" s="1"/>
    </row>
    <row r="4363" spans="1:28" x14ac:dyDescent="0.25">
      <c r="A4363" s="22">
        <v>42714</v>
      </c>
      <c r="B4363" s="2">
        <v>0</v>
      </c>
      <c r="C4363" s="1">
        <v>7.6</v>
      </c>
      <c r="D4363" s="1"/>
      <c r="F4363" s="2"/>
      <c r="G4363" s="1">
        <v>1.8</v>
      </c>
      <c r="H4363" s="1"/>
      <c r="I4363" s="2">
        <v>3.5</v>
      </c>
      <c r="J4363" s="2"/>
      <c r="K4363" s="2">
        <v>14.1</v>
      </c>
      <c r="L4363" s="1">
        <v>1.5239999999999998</v>
      </c>
      <c r="M4363" s="1"/>
      <c r="O4363" s="1"/>
      <c r="P4363" s="1"/>
      <c r="Q4363" s="1"/>
      <c r="R4363" s="1"/>
      <c r="X4363" s="1"/>
      <c r="AB4363" s="1"/>
    </row>
    <row r="4364" spans="1:28" x14ac:dyDescent="0.25">
      <c r="A4364" s="22">
        <v>42715</v>
      </c>
      <c r="B4364" s="2">
        <v>0</v>
      </c>
      <c r="C4364" s="1">
        <v>5.4</v>
      </c>
      <c r="D4364" s="1"/>
      <c r="F4364" s="2"/>
      <c r="G4364" s="1">
        <v>7</v>
      </c>
      <c r="H4364" s="1"/>
      <c r="I4364" s="2">
        <v>7</v>
      </c>
      <c r="J4364" s="2"/>
      <c r="K4364" s="2">
        <v>0.4</v>
      </c>
      <c r="L4364" s="1">
        <v>5.3339999999999996</v>
      </c>
      <c r="M4364" s="1"/>
      <c r="O4364" s="1"/>
      <c r="P4364" s="1"/>
      <c r="Q4364" s="1"/>
      <c r="R4364" s="1"/>
      <c r="X4364" s="1"/>
      <c r="AB4364" s="1"/>
    </row>
    <row r="4365" spans="1:28" x14ac:dyDescent="0.25">
      <c r="A4365" s="22">
        <v>42716</v>
      </c>
      <c r="B4365" s="2">
        <v>0</v>
      </c>
      <c r="C4365" s="1">
        <v>2.2000000000000002</v>
      </c>
      <c r="D4365" s="1"/>
      <c r="F4365" s="2"/>
      <c r="G4365" s="1">
        <v>1.3</v>
      </c>
      <c r="H4365" s="1"/>
      <c r="I4365" s="2">
        <v>0</v>
      </c>
      <c r="J4365" s="1"/>
      <c r="K4365" s="2">
        <v>9.6</v>
      </c>
      <c r="L4365" s="1">
        <v>1.5239999999999998</v>
      </c>
      <c r="M4365" s="1"/>
      <c r="O4365" s="1"/>
      <c r="P4365" s="1"/>
      <c r="Q4365" s="1"/>
      <c r="R4365" s="1"/>
      <c r="X4365" s="1"/>
      <c r="AB4365" s="1"/>
    </row>
    <row r="4366" spans="1:28" x14ac:dyDescent="0.25">
      <c r="A4366" s="22">
        <v>42717</v>
      </c>
      <c r="B4366" s="2">
        <v>0</v>
      </c>
      <c r="C4366" s="1">
        <v>5.8</v>
      </c>
      <c r="D4366" s="1"/>
      <c r="F4366" s="2"/>
      <c r="G4366" s="2">
        <v>4.5999999999999996</v>
      </c>
      <c r="H4366" s="1"/>
      <c r="I4366" s="2">
        <v>0</v>
      </c>
      <c r="J4366" s="1"/>
      <c r="K4366" s="2">
        <v>3.8</v>
      </c>
      <c r="L4366" s="1">
        <v>4.3180000000000005</v>
      </c>
      <c r="M4366" s="1"/>
      <c r="O4366" s="1"/>
      <c r="P4366" s="1"/>
      <c r="Q4366" s="1"/>
      <c r="R4366" s="1"/>
      <c r="X4366" s="1"/>
      <c r="AB4366" s="1"/>
    </row>
    <row r="4367" spans="1:28" x14ac:dyDescent="0.25">
      <c r="A4367" s="22">
        <v>42718</v>
      </c>
      <c r="B4367" s="2">
        <v>0</v>
      </c>
      <c r="C4367" s="1">
        <v>11.1</v>
      </c>
      <c r="D4367" s="1"/>
      <c r="F4367" s="2"/>
      <c r="G4367" s="2">
        <v>0</v>
      </c>
      <c r="H4367" s="1"/>
      <c r="I4367" s="2">
        <v>2.4</v>
      </c>
      <c r="J4367" s="1"/>
      <c r="K4367" s="2">
        <v>4.7</v>
      </c>
      <c r="L4367" s="1">
        <v>5.8419999999999996</v>
      </c>
      <c r="M4367" s="1"/>
      <c r="O4367" s="1"/>
      <c r="P4367" s="1"/>
      <c r="Q4367" s="1"/>
      <c r="R4367" s="1"/>
      <c r="X4367" s="1"/>
      <c r="AB4367" s="1"/>
    </row>
    <row r="4368" spans="1:28" x14ac:dyDescent="0.25">
      <c r="A4368" s="22">
        <v>42719</v>
      </c>
      <c r="B4368" s="2">
        <v>32</v>
      </c>
      <c r="C4368" s="1">
        <v>3</v>
      </c>
      <c r="D4368" s="1"/>
      <c r="F4368" s="2"/>
      <c r="G4368" s="2">
        <v>7.7</v>
      </c>
      <c r="H4368" s="1"/>
      <c r="I4368" s="2">
        <v>0.7</v>
      </c>
      <c r="J4368" s="2"/>
      <c r="K4368" s="2">
        <v>6.6</v>
      </c>
      <c r="L4368" s="1">
        <v>9.9060000000000006</v>
      </c>
      <c r="M4368" s="1"/>
      <c r="O4368" s="1"/>
      <c r="P4368" s="1"/>
      <c r="Q4368" s="1"/>
      <c r="R4368" s="1"/>
      <c r="X4368" s="1"/>
      <c r="AB4368" s="1"/>
    </row>
    <row r="4369" spans="1:28" x14ac:dyDescent="0.25">
      <c r="A4369" s="22">
        <v>42720</v>
      </c>
      <c r="B4369" s="2">
        <v>0</v>
      </c>
      <c r="C4369" s="1">
        <v>8.4</v>
      </c>
      <c r="D4369" s="1"/>
      <c r="F4369" s="2"/>
      <c r="G4369" s="2">
        <v>13.2</v>
      </c>
      <c r="H4369" s="1"/>
      <c r="I4369" s="1">
        <v>5.5</v>
      </c>
      <c r="J4369" s="2"/>
      <c r="K4369" s="2">
        <v>1.6</v>
      </c>
      <c r="L4369" s="1">
        <v>1.27</v>
      </c>
      <c r="M4369" s="1"/>
      <c r="O4369" s="1"/>
      <c r="P4369" s="1"/>
      <c r="Q4369" s="1"/>
      <c r="R4369" s="1"/>
      <c r="X4369" s="1"/>
      <c r="AB4369" s="1"/>
    </row>
    <row r="4370" spans="1:28" x14ac:dyDescent="0.25">
      <c r="A4370" s="22">
        <v>42721</v>
      </c>
      <c r="B4370" s="2">
        <v>0</v>
      </c>
      <c r="C4370" s="1">
        <v>21.5</v>
      </c>
      <c r="D4370" s="1"/>
      <c r="F4370" s="2"/>
      <c r="G4370" s="1">
        <v>9.1</v>
      </c>
      <c r="H4370" s="1"/>
      <c r="I4370" s="2">
        <v>7.9</v>
      </c>
      <c r="J4370" s="2"/>
      <c r="K4370" s="2">
        <v>27.2</v>
      </c>
      <c r="L4370" s="1">
        <v>39.878</v>
      </c>
      <c r="M4370" s="1"/>
      <c r="O4370" s="1"/>
      <c r="P4370" s="1"/>
      <c r="Q4370" s="1"/>
      <c r="R4370" s="1"/>
      <c r="X4370" s="1"/>
      <c r="AB4370" s="1"/>
    </row>
    <row r="4371" spans="1:28" x14ac:dyDescent="0.25">
      <c r="A4371" s="22">
        <v>42722</v>
      </c>
      <c r="B4371" s="2">
        <v>0</v>
      </c>
      <c r="C4371" s="1">
        <v>7.2</v>
      </c>
      <c r="D4371" s="2"/>
      <c r="F4371" s="2"/>
      <c r="G4371" s="1">
        <v>0.5</v>
      </c>
      <c r="H4371" s="1"/>
      <c r="I4371" s="2">
        <v>5.2</v>
      </c>
      <c r="J4371" s="1"/>
      <c r="K4371" s="2">
        <v>3.7</v>
      </c>
      <c r="L4371" s="1">
        <v>40.64</v>
      </c>
      <c r="M4371" s="1"/>
      <c r="O4371" s="1"/>
      <c r="P4371" s="1"/>
      <c r="Q4371" s="1"/>
      <c r="R4371" s="1"/>
      <c r="X4371" s="1"/>
      <c r="AB4371" s="1"/>
    </row>
    <row r="4372" spans="1:28" x14ac:dyDescent="0.25">
      <c r="A4372" s="22">
        <v>42723</v>
      </c>
      <c r="B4372" s="2">
        <v>0</v>
      </c>
      <c r="C4372" s="1">
        <v>2.1</v>
      </c>
      <c r="D4372" s="1"/>
      <c r="F4372" s="2"/>
      <c r="G4372" s="1">
        <v>13.5</v>
      </c>
      <c r="H4372" s="1"/>
      <c r="I4372" s="2">
        <v>2.1</v>
      </c>
      <c r="J4372" s="1"/>
      <c r="K4372" s="1">
        <v>0</v>
      </c>
      <c r="L4372" s="1">
        <v>6.6040000000000001</v>
      </c>
      <c r="M4372" s="1"/>
      <c r="O4372" s="1"/>
      <c r="P4372" s="1"/>
      <c r="Q4372" s="1"/>
      <c r="R4372" s="1"/>
      <c r="X4372" s="1"/>
      <c r="AB4372" s="1"/>
    </row>
    <row r="4373" spans="1:28" x14ac:dyDescent="0.25">
      <c r="A4373" s="22">
        <v>42724</v>
      </c>
      <c r="B4373" s="2">
        <v>0</v>
      </c>
      <c r="C4373" s="1">
        <v>23.3</v>
      </c>
      <c r="D4373" s="1"/>
      <c r="F4373" s="2"/>
      <c r="G4373" s="1">
        <v>2.1</v>
      </c>
      <c r="H4373" s="1"/>
      <c r="I4373" s="2">
        <v>7.5</v>
      </c>
      <c r="J4373" s="2"/>
      <c r="K4373" s="2">
        <v>17.8</v>
      </c>
      <c r="L4373" s="1">
        <v>0.7619999999999999</v>
      </c>
      <c r="M4373" s="1"/>
      <c r="O4373" s="1"/>
      <c r="P4373" s="1"/>
      <c r="Q4373" s="1"/>
      <c r="R4373" s="1"/>
      <c r="X4373" s="1"/>
      <c r="AB4373" s="1"/>
    </row>
    <row r="4374" spans="1:28" x14ac:dyDescent="0.25">
      <c r="A4374" s="22">
        <v>42725</v>
      </c>
      <c r="B4374" s="2">
        <v>0</v>
      </c>
      <c r="C4374" s="1">
        <v>6.7</v>
      </c>
      <c r="D4374" s="1"/>
      <c r="F4374" s="2"/>
      <c r="G4374" s="1">
        <v>97.5</v>
      </c>
      <c r="H4374" s="1"/>
      <c r="I4374" s="2">
        <v>5.0999999999999996</v>
      </c>
      <c r="J4374" s="1"/>
      <c r="K4374" s="1">
        <v>8.1</v>
      </c>
      <c r="L4374" s="1">
        <v>1.016</v>
      </c>
      <c r="M4374" s="1"/>
      <c r="O4374" s="1"/>
      <c r="P4374" s="1"/>
      <c r="Q4374" s="1"/>
      <c r="R4374" s="1"/>
      <c r="X4374" s="1"/>
      <c r="AB4374" s="1"/>
    </row>
    <row r="4375" spans="1:28" x14ac:dyDescent="0.25">
      <c r="A4375" s="22">
        <v>42726</v>
      </c>
      <c r="B4375" s="2">
        <v>0</v>
      </c>
      <c r="C4375" s="1">
        <v>48.6</v>
      </c>
      <c r="D4375" s="2"/>
      <c r="F4375" s="2"/>
      <c r="G4375" s="1">
        <v>7.1</v>
      </c>
      <c r="H4375" s="1"/>
      <c r="I4375" s="2">
        <v>74.900000000000006</v>
      </c>
      <c r="J4375" s="1"/>
      <c r="K4375" s="1">
        <v>61.1</v>
      </c>
      <c r="L4375" s="1">
        <v>4.3180000000000005</v>
      </c>
      <c r="M4375" s="1"/>
      <c r="O4375" s="1"/>
      <c r="P4375" s="1"/>
      <c r="Q4375" s="1"/>
      <c r="R4375" s="1"/>
      <c r="X4375" s="1"/>
      <c r="AB4375" s="1"/>
    </row>
    <row r="4376" spans="1:28" x14ac:dyDescent="0.25">
      <c r="A4376" s="22">
        <v>42727</v>
      </c>
      <c r="B4376" s="2">
        <v>0</v>
      </c>
      <c r="C4376" s="1">
        <v>8.3000000000000007</v>
      </c>
      <c r="D4376" s="2"/>
      <c r="F4376" s="2"/>
      <c r="G4376" s="1">
        <v>25.4</v>
      </c>
      <c r="H4376" s="1"/>
      <c r="I4376" s="1">
        <v>3.5</v>
      </c>
      <c r="J4376" s="1"/>
      <c r="K4376" s="1">
        <v>5.4</v>
      </c>
      <c r="L4376" s="1">
        <v>6.6040000000000001</v>
      </c>
      <c r="M4376" s="1"/>
      <c r="O4376" s="1"/>
      <c r="P4376" s="1"/>
      <c r="Q4376" s="1"/>
      <c r="R4376" s="1"/>
      <c r="X4376" s="1"/>
      <c r="AB4376" s="1"/>
    </row>
    <row r="4377" spans="1:28" x14ac:dyDescent="0.25">
      <c r="A4377" s="22">
        <v>42728</v>
      </c>
      <c r="B4377" s="2">
        <v>0</v>
      </c>
      <c r="C4377" s="1">
        <v>0</v>
      </c>
      <c r="D4377" s="2"/>
      <c r="F4377" s="2"/>
      <c r="G4377" s="1">
        <v>5</v>
      </c>
      <c r="H4377" s="1"/>
      <c r="I4377" s="2">
        <v>7.2</v>
      </c>
      <c r="J4377" s="1"/>
      <c r="K4377" s="1">
        <v>19.8</v>
      </c>
      <c r="L4377" s="1">
        <v>16.001999999999999</v>
      </c>
      <c r="M4377" s="1"/>
      <c r="O4377" s="1"/>
      <c r="P4377" s="1"/>
      <c r="Q4377" s="1"/>
      <c r="R4377" s="1"/>
      <c r="X4377" s="1"/>
      <c r="AB4377" s="1"/>
    </row>
    <row r="4378" spans="1:28" x14ac:dyDescent="0.25">
      <c r="A4378" s="22">
        <v>42729</v>
      </c>
      <c r="B4378" s="2">
        <v>0</v>
      </c>
      <c r="C4378" s="1">
        <v>6.3</v>
      </c>
      <c r="D4378" s="2"/>
      <c r="F4378" s="2"/>
      <c r="G4378" s="1">
        <v>9.9</v>
      </c>
      <c r="H4378" s="1"/>
      <c r="I4378" s="1">
        <v>32</v>
      </c>
      <c r="J4378" s="2"/>
      <c r="K4378" s="2">
        <v>18.2</v>
      </c>
      <c r="L4378" s="1">
        <v>30.733999999999998</v>
      </c>
      <c r="M4378" s="1"/>
      <c r="O4378" s="1"/>
      <c r="P4378" s="1"/>
      <c r="Q4378" s="1"/>
      <c r="R4378" s="1"/>
      <c r="X4378" s="1"/>
      <c r="AB4378" s="1"/>
    </row>
    <row r="4379" spans="1:28" x14ac:dyDescent="0.25">
      <c r="A4379" s="22">
        <v>42730</v>
      </c>
      <c r="B4379" s="2">
        <v>0</v>
      </c>
      <c r="C4379" s="1">
        <v>0</v>
      </c>
      <c r="D4379" s="1"/>
      <c r="F4379" s="2"/>
      <c r="G4379" s="1">
        <v>2</v>
      </c>
      <c r="H4379" s="1"/>
      <c r="I4379" s="1">
        <v>9.3000000000000007</v>
      </c>
      <c r="J4379" s="1"/>
      <c r="K4379" s="2">
        <v>0</v>
      </c>
      <c r="L4379" s="1">
        <v>5.8419999999999996</v>
      </c>
      <c r="M4379" s="1"/>
      <c r="O4379" s="1"/>
      <c r="P4379" s="1"/>
      <c r="Q4379" s="1"/>
      <c r="R4379" s="1"/>
      <c r="X4379" s="1"/>
      <c r="AB4379" s="1"/>
    </row>
    <row r="4380" spans="1:28" x14ac:dyDescent="0.25">
      <c r="A4380" s="22">
        <v>42731</v>
      </c>
      <c r="B4380" s="2">
        <v>0</v>
      </c>
      <c r="C4380" s="1">
        <v>0</v>
      </c>
      <c r="D4380" s="1"/>
      <c r="F4380" s="2"/>
      <c r="G4380" s="1">
        <v>2.1</v>
      </c>
      <c r="H4380" s="1"/>
      <c r="I4380" s="1">
        <v>1.4</v>
      </c>
      <c r="J4380" s="2"/>
      <c r="K4380" s="2">
        <v>0</v>
      </c>
      <c r="L4380" s="1">
        <v>19.049999999999997</v>
      </c>
      <c r="M4380" s="1"/>
      <c r="O4380" s="1"/>
      <c r="P4380" s="1"/>
      <c r="Q4380" s="1"/>
      <c r="R4380" s="1"/>
      <c r="X4380" s="1"/>
      <c r="AB4380" s="1"/>
    </row>
    <row r="4381" spans="1:28" x14ac:dyDescent="0.25">
      <c r="A4381" s="22">
        <v>42732</v>
      </c>
      <c r="B4381" s="2">
        <v>101.5</v>
      </c>
      <c r="C4381" s="1">
        <v>19.600000000000001</v>
      </c>
      <c r="D4381" s="1"/>
      <c r="F4381" s="2"/>
      <c r="G4381" s="1">
        <v>0</v>
      </c>
      <c r="H4381" s="1"/>
      <c r="I4381" s="2">
        <v>0</v>
      </c>
      <c r="J4381" s="1"/>
      <c r="K4381" s="1">
        <v>24</v>
      </c>
      <c r="L4381" s="1">
        <v>7.3659999999999988</v>
      </c>
      <c r="M4381" s="1"/>
      <c r="O4381" s="1"/>
      <c r="P4381" s="1"/>
      <c r="Q4381" s="1"/>
      <c r="R4381" s="1"/>
      <c r="X4381" s="1"/>
      <c r="AB4381" s="1"/>
    </row>
    <row r="4382" spans="1:28" x14ac:dyDescent="0.25">
      <c r="A4382" s="22">
        <v>42733</v>
      </c>
      <c r="B4382" s="2">
        <v>0</v>
      </c>
      <c r="C4382" s="1">
        <v>0.7</v>
      </c>
      <c r="D4382" s="1"/>
      <c r="F4382" s="2"/>
      <c r="G4382" s="1">
        <v>23.1</v>
      </c>
      <c r="H4382" s="1"/>
      <c r="I4382" s="2">
        <v>1.5</v>
      </c>
      <c r="J4382" s="1"/>
      <c r="K4382" s="1">
        <v>1.5</v>
      </c>
      <c r="L4382" s="1">
        <v>2.032</v>
      </c>
      <c r="M4382" s="1"/>
      <c r="O4382" s="1"/>
      <c r="P4382" s="1"/>
      <c r="Q4382" s="1"/>
      <c r="R4382" s="1"/>
      <c r="X4382" s="1"/>
      <c r="AB4382" s="1"/>
    </row>
    <row r="4383" spans="1:28" x14ac:dyDescent="0.25">
      <c r="A4383" s="22">
        <v>42734</v>
      </c>
      <c r="B4383" s="2"/>
      <c r="C4383" s="1">
        <v>38.299999999999997</v>
      </c>
      <c r="D4383" s="1"/>
      <c r="F4383" s="2"/>
      <c r="G4383" s="1">
        <v>0.5</v>
      </c>
      <c r="H4383" s="1"/>
      <c r="I4383" s="2">
        <v>16.7</v>
      </c>
      <c r="J4383" s="1"/>
      <c r="K4383" s="1">
        <v>0</v>
      </c>
      <c r="L4383" s="1">
        <v>1.5239999999999998</v>
      </c>
      <c r="M4383" s="1"/>
      <c r="O4383" s="1"/>
      <c r="P4383" s="1"/>
      <c r="Q4383" s="1"/>
      <c r="R4383" s="1"/>
      <c r="X4383" s="1"/>
      <c r="AB4383" s="1"/>
    </row>
    <row r="4384" spans="1:28" x14ac:dyDescent="0.25">
      <c r="A4384" s="22">
        <v>42735</v>
      </c>
      <c r="B4384" s="2"/>
      <c r="C4384" s="1">
        <v>0</v>
      </c>
      <c r="D4384" s="1"/>
      <c r="F4384" s="2"/>
      <c r="G4384" s="1">
        <v>1.2</v>
      </c>
      <c r="H4384" s="1"/>
      <c r="I4384" s="2">
        <v>2.1</v>
      </c>
      <c r="J4384" s="1"/>
      <c r="K4384" s="1">
        <v>0</v>
      </c>
      <c r="L4384" s="1">
        <v>1.27</v>
      </c>
      <c r="M4384" s="1"/>
      <c r="O4384" s="1"/>
      <c r="P4384" s="1"/>
      <c r="Q4384" s="1"/>
      <c r="R4384" s="1"/>
      <c r="X4384" s="1"/>
      <c r="AB4384" s="1"/>
    </row>
    <row r="4385" spans="1:24" x14ac:dyDescent="0.25">
      <c r="A4385" s="22">
        <v>42736</v>
      </c>
      <c r="B4385" s="2"/>
      <c r="C4385" s="1">
        <v>3</v>
      </c>
      <c r="D4385" s="1">
        <v>4.5</v>
      </c>
      <c r="E4385" s="3" t="s">
        <v>8</v>
      </c>
      <c r="F4385" s="1"/>
      <c r="G4385" s="1">
        <v>0</v>
      </c>
      <c r="H4385" s="1">
        <v>2.2999999999999998</v>
      </c>
      <c r="I4385" s="2"/>
      <c r="J4385" s="1"/>
      <c r="K4385" s="2">
        <v>45.2</v>
      </c>
      <c r="L4385" s="1"/>
      <c r="M4385" s="1"/>
      <c r="O4385" s="1">
        <v>6.6040000000000001</v>
      </c>
      <c r="P4385" s="1">
        <v>4.2</v>
      </c>
      <c r="Q4385" s="1"/>
      <c r="R4385" s="1"/>
      <c r="X4385" s="1"/>
    </row>
    <row r="4386" spans="1:24" x14ac:dyDescent="0.25">
      <c r="A4386" s="22">
        <v>42737</v>
      </c>
      <c r="B4386" s="2"/>
      <c r="C4386" s="1">
        <v>0.5</v>
      </c>
      <c r="D4386" s="1">
        <v>0</v>
      </c>
      <c r="E4386" s="3" t="s">
        <v>8</v>
      </c>
      <c r="F4386" s="1"/>
      <c r="G4386" s="1">
        <v>3.9</v>
      </c>
      <c r="H4386" s="1">
        <v>0</v>
      </c>
      <c r="I4386" s="2"/>
      <c r="J4386" s="2"/>
      <c r="K4386" s="2">
        <v>0.3</v>
      </c>
      <c r="L4386" s="1"/>
      <c r="M4386" s="1"/>
      <c r="O4386" s="1">
        <v>0</v>
      </c>
      <c r="P4386" s="1">
        <v>0</v>
      </c>
      <c r="Q4386" s="1"/>
      <c r="R4386" s="1"/>
      <c r="X4386" s="1"/>
    </row>
    <row r="4387" spans="1:24" x14ac:dyDescent="0.25">
      <c r="A4387" s="22">
        <v>42738</v>
      </c>
      <c r="B4387" s="2"/>
      <c r="C4387" s="30" t="s">
        <v>9</v>
      </c>
      <c r="D4387" s="1">
        <v>7.5</v>
      </c>
      <c r="E4387" s="3" t="s">
        <v>8</v>
      </c>
      <c r="F4387" s="1"/>
      <c r="G4387" s="1">
        <v>0</v>
      </c>
      <c r="H4387" s="1">
        <v>0</v>
      </c>
      <c r="I4387" s="2"/>
      <c r="J4387" s="2"/>
      <c r="K4387" s="2">
        <v>8.9</v>
      </c>
      <c r="L4387" s="1"/>
      <c r="M4387" s="1"/>
      <c r="O4387" s="1">
        <v>3.0479999999999996</v>
      </c>
      <c r="P4387" s="1">
        <v>1.2</v>
      </c>
      <c r="Q4387" s="1"/>
      <c r="R4387" s="1"/>
      <c r="X4387" s="1"/>
    </row>
    <row r="4388" spans="1:24" x14ac:dyDescent="0.25">
      <c r="A4388" s="22">
        <v>42739</v>
      </c>
      <c r="B4388" s="2"/>
      <c r="C4388" s="1">
        <v>3.4</v>
      </c>
      <c r="D4388" s="1">
        <v>0</v>
      </c>
      <c r="E4388" s="3" t="s">
        <v>8</v>
      </c>
      <c r="F4388" s="1"/>
      <c r="G4388" s="1">
        <v>0</v>
      </c>
      <c r="H4388" s="1">
        <v>0</v>
      </c>
      <c r="I4388" s="2"/>
      <c r="J4388" s="1"/>
      <c r="K4388" s="2">
        <v>0.6</v>
      </c>
      <c r="L4388" s="1"/>
      <c r="M4388" s="1"/>
      <c r="O4388" s="1">
        <v>3.302</v>
      </c>
      <c r="P4388" s="1">
        <v>0</v>
      </c>
      <c r="Q4388" s="1"/>
      <c r="R4388" s="1"/>
      <c r="X4388" s="1"/>
    </row>
    <row r="4389" spans="1:24" x14ac:dyDescent="0.25">
      <c r="A4389" s="22">
        <v>42740</v>
      </c>
      <c r="B4389" s="2"/>
      <c r="C4389" s="30" t="s">
        <v>9</v>
      </c>
      <c r="D4389" s="2">
        <v>0</v>
      </c>
      <c r="E4389" s="3" t="s">
        <v>8</v>
      </c>
      <c r="F4389" s="2"/>
      <c r="G4389" s="1">
        <v>1.6</v>
      </c>
      <c r="H4389" s="1">
        <v>0</v>
      </c>
      <c r="I4389" s="2"/>
      <c r="J4389" s="2"/>
      <c r="K4389" s="2">
        <v>0.1</v>
      </c>
      <c r="L4389" s="1"/>
      <c r="M4389" s="1"/>
      <c r="O4389" s="1">
        <v>0</v>
      </c>
      <c r="P4389" s="1">
        <v>3.1</v>
      </c>
      <c r="Q4389" s="1"/>
      <c r="R4389" s="1"/>
      <c r="X4389" s="1"/>
    </row>
    <row r="4390" spans="1:24" x14ac:dyDescent="0.25">
      <c r="A4390" s="22">
        <v>42741</v>
      </c>
      <c r="B4390" s="2">
        <v>90.4</v>
      </c>
      <c r="C4390" s="1">
        <v>9.6</v>
      </c>
      <c r="D4390" s="2">
        <v>9.5</v>
      </c>
      <c r="E4390" s="3" t="s">
        <v>8</v>
      </c>
      <c r="F4390" s="2"/>
      <c r="G4390" s="1">
        <v>30.2</v>
      </c>
      <c r="H4390" s="1">
        <v>2.7</v>
      </c>
      <c r="I4390" s="2"/>
      <c r="J4390" s="2"/>
      <c r="K4390" s="2">
        <v>8.5</v>
      </c>
      <c r="L4390" s="1"/>
      <c r="M4390" s="1"/>
      <c r="O4390" s="1">
        <v>7.6199999999999992</v>
      </c>
      <c r="P4390" s="1">
        <v>5.4</v>
      </c>
      <c r="Q4390" s="1"/>
      <c r="R4390" s="1"/>
      <c r="X4390" s="1"/>
    </row>
    <row r="4391" spans="1:24" x14ac:dyDescent="0.25">
      <c r="A4391" s="22">
        <v>42742</v>
      </c>
      <c r="B4391" s="2"/>
      <c r="C4391" s="1">
        <v>50.3</v>
      </c>
      <c r="D4391" s="2">
        <v>52.3</v>
      </c>
      <c r="E4391" s="3" t="s">
        <v>8</v>
      </c>
      <c r="F4391" s="2"/>
      <c r="G4391" s="1">
        <v>3.8</v>
      </c>
      <c r="H4391" s="1">
        <v>17.5</v>
      </c>
      <c r="I4391" s="1"/>
      <c r="J4391" s="2"/>
      <c r="K4391" s="2">
        <v>60.4</v>
      </c>
      <c r="L4391" s="1"/>
      <c r="M4391" s="1"/>
      <c r="O4391" s="1">
        <v>0</v>
      </c>
      <c r="P4391" s="1">
        <v>15.6</v>
      </c>
      <c r="Q4391" s="1"/>
      <c r="R4391" s="1"/>
      <c r="X4391" s="1"/>
    </row>
    <row r="4392" spans="1:24" x14ac:dyDescent="0.25">
      <c r="A4392" s="22">
        <v>42743</v>
      </c>
      <c r="B4392" s="2"/>
      <c r="C4392" s="1">
        <v>6.8</v>
      </c>
      <c r="D4392" s="1">
        <v>14</v>
      </c>
      <c r="E4392" s="3" t="s">
        <v>8</v>
      </c>
      <c r="F4392" s="1"/>
      <c r="G4392" s="1">
        <v>10.6</v>
      </c>
      <c r="H4392" s="1">
        <v>2.9</v>
      </c>
      <c r="I4392" s="2"/>
      <c r="J4392" s="2"/>
      <c r="K4392" s="2">
        <v>0</v>
      </c>
      <c r="L4392" s="1"/>
      <c r="M4392" s="1"/>
      <c r="O4392" s="1">
        <v>0</v>
      </c>
      <c r="P4392" s="1">
        <v>10.9</v>
      </c>
      <c r="Q4392" s="1"/>
      <c r="R4392" s="1"/>
      <c r="X4392" s="1"/>
    </row>
    <row r="4393" spans="1:24" x14ac:dyDescent="0.25">
      <c r="A4393" s="22">
        <v>42744</v>
      </c>
      <c r="B4393" s="2"/>
      <c r="C4393" s="1">
        <v>3.5</v>
      </c>
      <c r="D4393" s="1">
        <v>8</v>
      </c>
      <c r="E4393" s="3" t="s">
        <v>8</v>
      </c>
      <c r="F4393" s="1"/>
      <c r="G4393" s="1">
        <v>1.7</v>
      </c>
      <c r="H4393" s="1">
        <v>8.5</v>
      </c>
      <c r="I4393" s="2"/>
      <c r="J4393" s="2"/>
      <c r="K4393" s="2">
        <v>0</v>
      </c>
      <c r="L4393" s="1"/>
      <c r="M4393" s="1"/>
      <c r="O4393" s="1">
        <v>51.308</v>
      </c>
      <c r="P4393" s="1">
        <v>3.3</v>
      </c>
      <c r="Q4393" s="1"/>
      <c r="R4393" s="1"/>
      <c r="X4393" s="1"/>
    </row>
    <row r="4394" spans="1:24" x14ac:dyDescent="0.25">
      <c r="A4394" s="22">
        <v>42745</v>
      </c>
      <c r="B4394" s="2"/>
      <c r="C4394" s="30" t="s">
        <v>9</v>
      </c>
      <c r="D4394" s="1">
        <v>0</v>
      </c>
      <c r="E4394" s="3" t="s">
        <v>8</v>
      </c>
      <c r="F4394" s="1"/>
      <c r="G4394" s="1">
        <v>0.5</v>
      </c>
      <c r="H4394" s="1">
        <v>0.5</v>
      </c>
      <c r="I4394" s="2"/>
      <c r="J4394" s="2"/>
      <c r="K4394" s="2">
        <v>4.2</v>
      </c>
      <c r="L4394" s="1"/>
      <c r="M4394" s="1"/>
      <c r="O4394" s="1">
        <v>0.50800000000000001</v>
      </c>
      <c r="P4394" s="1">
        <v>8.6999999999999993</v>
      </c>
      <c r="Q4394" s="1"/>
      <c r="R4394" s="1"/>
      <c r="X4394" s="1"/>
    </row>
    <row r="4395" spans="1:24" x14ac:dyDescent="0.25">
      <c r="A4395" s="22">
        <v>42746</v>
      </c>
      <c r="B4395" s="2"/>
      <c r="C4395" s="1">
        <v>2</v>
      </c>
      <c r="D4395" s="1">
        <v>0</v>
      </c>
      <c r="E4395" s="3" t="s">
        <v>8</v>
      </c>
      <c r="F4395" s="1"/>
      <c r="G4395" s="1">
        <v>0.7</v>
      </c>
      <c r="H4395" s="1">
        <v>0</v>
      </c>
      <c r="I4395" s="2"/>
      <c r="J4395" s="2"/>
      <c r="K4395" s="2">
        <v>0.5</v>
      </c>
      <c r="L4395" s="1"/>
      <c r="M4395" s="1"/>
      <c r="O4395" s="1">
        <v>2.2859999999999996</v>
      </c>
      <c r="P4395" s="1">
        <v>2.6</v>
      </c>
      <c r="Q4395" s="1"/>
      <c r="R4395" s="1"/>
      <c r="X4395" s="1"/>
    </row>
    <row r="4396" spans="1:24" x14ac:dyDescent="0.25">
      <c r="A4396" s="22">
        <v>42747</v>
      </c>
      <c r="B4396" s="2"/>
      <c r="C4396" s="30" t="s">
        <v>9</v>
      </c>
      <c r="D4396" s="1">
        <v>0</v>
      </c>
      <c r="E4396" s="3" t="s">
        <v>8</v>
      </c>
      <c r="F4396" s="1"/>
      <c r="G4396" s="1">
        <v>0.4</v>
      </c>
      <c r="H4396" s="1">
        <v>0</v>
      </c>
      <c r="I4396" s="2"/>
      <c r="J4396" s="1"/>
      <c r="K4396" s="2">
        <v>1</v>
      </c>
      <c r="L4396" s="1"/>
      <c r="M4396" s="1"/>
      <c r="O4396" s="1">
        <v>0.50800000000000001</v>
      </c>
      <c r="P4396" s="1">
        <v>0</v>
      </c>
      <c r="Q4396" s="1"/>
      <c r="R4396" s="1"/>
      <c r="X4396" s="1"/>
    </row>
    <row r="4397" spans="1:24" x14ac:dyDescent="0.25">
      <c r="A4397" s="22">
        <v>42748</v>
      </c>
      <c r="B4397" s="2"/>
      <c r="C4397" s="1">
        <v>0</v>
      </c>
      <c r="D4397" s="1">
        <v>0</v>
      </c>
      <c r="E4397" s="3" t="s">
        <v>8</v>
      </c>
      <c r="F4397" s="1"/>
      <c r="G4397" s="2">
        <v>0</v>
      </c>
      <c r="H4397" s="1">
        <v>5</v>
      </c>
      <c r="I4397" s="2"/>
      <c r="J4397" s="1"/>
      <c r="K4397" s="2">
        <v>0</v>
      </c>
      <c r="L4397" s="1"/>
      <c r="M4397" s="1"/>
      <c r="O4397" s="1">
        <v>0.50800000000000001</v>
      </c>
      <c r="P4397" s="1">
        <v>0</v>
      </c>
      <c r="Q4397" s="1"/>
      <c r="R4397" s="1"/>
      <c r="X4397" s="1"/>
    </row>
    <row r="4398" spans="1:24" x14ac:dyDescent="0.25">
      <c r="A4398" s="22">
        <v>42749</v>
      </c>
      <c r="B4398" s="2"/>
      <c r="C4398" s="1">
        <v>0</v>
      </c>
      <c r="D4398" s="1">
        <v>0</v>
      </c>
      <c r="E4398" s="3" t="s">
        <v>8</v>
      </c>
      <c r="F4398" s="1"/>
      <c r="G4398" s="2">
        <v>1.8</v>
      </c>
      <c r="H4398" s="1"/>
      <c r="I4398" s="2"/>
      <c r="J4398" s="1"/>
      <c r="K4398" s="2">
        <v>0</v>
      </c>
      <c r="L4398" s="1"/>
      <c r="M4398" s="1"/>
      <c r="O4398" s="1">
        <v>0</v>
      </c>
      <c r="P4398" s="1">
        <v>0</v>
      </c>
      <c r="Q4398" s="1"/>
      <c r="R4398" s="1"/>
      <c r="X4398" s="1"/>
    </row>
    <row r="4399" spans="1:24" x14ac:dyDescent="0.25">
      <c r="A4399" s="22">
        <v>42750</v>
      </c>
      <c r="B4399" s="2"/>
      <c r="C4399" s="30" t="s">
        <v>9</v>
      </c>
      <c r="D4399" s="1">
        <v>2</v>
      </c>
      <c r="E4399" s="3" t="s">
        <v>8</v>
      </c>
      <c r="F4399" s="1"/>
      <c r="G4399" s="2">
        <v>0.6</v>
      </c>
      <c r="H4399" s="1"/>
      <c r="I4399" s="2"/>
      <c r="J4399" s="2"/>
      <c r="K4399" s="2">
        <v>6.5</v>
      </c>
      <c r="L4399" s="1"/>
      <c r="M4399" s="1"/>
      <c r="O4399" s="1">
        <v>5.08</v>
      </c>
      <c r="P4399" s="1">
        <v>0</v>
      </c>
      <c r="Q4399" s="1"/>
      <c r="R4399" s="1"/>
      <c r="X4399" s="1"/>
    </row>
    <row r="4400" spans="1:24" x14ac:dyDescent="0.25">
      <c r="A4400" s="22">
        <v>42751</v>
      </c>
      <c r="B4400" s="2"/>
      <c r="C4400" s="1">
        <v>2.1</v>
      </c>
      <c r="D4400" s="1">
        <v>3.5</v>
      </c>
      <c r="E4400" s="3">
        <v>51.8</v>
      </c>
      <c r="F4400" s="1"/>
      <c r="G4400" s="2">
        <v>3</v>
      </c>
      <c r="H4400" s="1"/>
      <c r="I4400" s="1"/>
      <c r="J4400" s="2"/>
      <c r="K4400" s="2">
        <v>1</v>
      </c>
      <c r="L4400" s="1"/>
      <c r="M4400" s="1"/>
      <c r="O4400" s="1">
        <v>6.35</v>
      </c>
      <c r="P4400" s="1">
        <v>0.9</v>
      </c>
      <c r="Q4400" s="1"/>
      <c r="R4400" s="1"/>
      <c r="X4400" s="1"/>
    </row>
    <row r="4401" spans="1:24" x14ac:dyDescent="0.25">
      <c r="A4401" s="22">
        <v>42752</v>
      </c>
      <c r="B4401" s="2"/>
      <c r="C4401" s="30" t="s">
        <v>9</v>
      </c>
      <c r="D4401" s="1">
        <v>3.2</v>
      </c>
      <c r="E4401" s="3" t="s">
        <v>8</v>
      </c>
      <c r="F4401" s="1"/>
      <c r="G4401" s="1">
        <v>17.899999999999999</v>
      </c>
      <c r="H4401" s="1"/>
      <c r="I4401" s="2"/>
      <c r="J4401" s="2"/>
      <c r="K4401" s="2">
        <v>2</v>
      </c>
      <c r="L4401" s="1"/>
      <c r="M4401" s="1"/>
      <c r="O4401" s="1">
        <v>0.50800000000000001</v>
      </c>
      <c r="P4401" s="1">
        <v>0</v>
      </c>
      <c r="Q4401" s="1"/>
      <c r="R4401" s="1"/>
      <c r="X4401" s="1"/>
    </row>
    <row r="4402" spans="1:24" x14ac:dyDescent="0.25">
      <c r="A4402" s="22">
        <v>42753</v>
      </c>
      <c r="B4402" s="2">
        <v>18</v>
      </c>
      <c r="C4402" s="1">
        <v>5.8</v>
      </c>
      <c r="D4402" s="2">
        <v>9.3000000000000007</v>
      </c>
      <c r="E4402" s="3" t="s">
        <v>8</v>
      </c>
      <c r="F4402" s="2"/>
      <c r="G4402" s="1">
        <v>22.4</v>
      </c>
      <c r="H4402" s="1">
        <v>29</v>
      </c>
      <c r="I4402" s="2"/>
      <c r="J4402" s="1"/>
      <c r="K4402" s="2">
        <v>24.3</v>
      </c>
      <c r="L4402" s="1"/>
      <c r="M4402" s="1"/>
      <c r="O4402" s="1">
        <v>3.8099999999999996</v>
      </c>
      <c r="P4402" s="1">
        <v>0</v>
      </c>
      <c r="Q4402" s="1"/>
      <c r="R4402" s="1"/>
      <c r="X4402" s="1"/>
    </row>
    <row r="4403" spans="1:24" x14ac:dyDescent="0.25">
      <c r="A4403" s="22">
        <v>42754</v>
      </c>
      <c r="B4403" s="2">
        <v>29.3</v>
      </c>
      <c r="C4403" s="1">
        <v>20.5</v>
      </c>
      <c r="D4403" s="1">
        <v>13.5</v>
      </c>
      <c r="E4403" s="3" t="s">
        <v>8</v>
      </c>
      <c r="F4403" s="1"/>
      <c r="G4403" s="1">
        <v>9.4</v>
      </c>
      <c r="H4403" s="1">
        <v>25.7</v>
      </c>
      <c r="I4403" s="2"/>
      <c r="J4403" s="1"/>
      <c r="K4403" s="1">
        <v>26.3</v>
      </c>
      <c r="L4403" s="1"/>
      <c r="M4403" s="1"/>
      <c r="O4403" s="1">
        <v>7.1120000000000001</v>
      </c>
      <c r="P4403" s="1">
        <v>11.1</v>
      </c>
      <c r="Q4403" s="1"/>
      <c r="R4403" s="1"/>
      <c r="X4403" s="1"/>
    </row>
    <row r="4404" spans="1:24" x14ac:dyDescent="0.25">
      <c r="A4404" s="22">
        <v>42755</v>
      </c>
      <c r="B4404" s="2">
        <v>87</v>
      </c>
      <c r="C4404" s="1">
        <v>23.5</v>
      </c>
      <c r="D4404" s="1">
        <v>19.5</v>
      </c>
      <c r="E4404" s="3" t="s">
        <v>8</v>
      </c>
      <c r="F4404" s="1"/>
      <c r="G4404" s="1">
        <v>18.2</v>
      </c>
      <c r="H4404" s="1">
        <v>23</v>
      </c>
      <c r="I4404" s="2"/>
      <c r="J4404" s="2"/>
      <c r="K4404" s="2">
        <v>16.7</v>
      </c>
      <c r="L4404" s="1"/>
      <c r="M4404" s="1"/>
      <c r="O4404" s="1">
        <v>18.033999999999999</v>
      </c>
      <c r="P4404" s="1">
        <v>0.5</v>
      </c>
      <c r="Q4404" s="1"/>
      <c r="R4404" s="1"/>
      <c r="X4404" s="1"/>
    </row>
    <row r="4405" spans="1:24" x14ac:dyDescent="0.25">
      <c r="A4405" s="22">
        <v>42756</v>
      </c>
      <c r="B4405" s="2">
        <v>87</v>
      </c>
      <c r="C4405" s="1">
        <v>52</v>
      </c>
      <c r="D4405" s="1">
        <v>165</v>
      </c>
      <c r="E4405" s="3" t="s">
        <v>8</v>
      </c>
      <c r="F4405" s="1"/>
      <c r="G4405" s="1">
        <v>40.6</v>
      </c>
      <c r="H4405" s="1">
        <v>52.3</v>
      </c>
      <c r="I4405" s="2"/>
      <c r="J4405" s="1"/>
      <c r="K4405" s="1">
        <v>63.9</v>
      </c>
      <c r="L4405" s="1"/>
      <c r="M4405" s="1"/>
      <c r="O4405" s="1">
        <v>0</v>
      </c>
      <c r="P4405" s="1">
        <v>121.2</v>
      </c>
      <c r="Q4405" s="1"/>
      <c r="R4405" s="1"/>
      <c r="X4405" s="1"/>
    </row>
    <row r="4406" spans="1:24" x14ac:dyDescent="0.25">
      <c r="A4406" s="22">
        <v>42757</v>
      </c>
      <c r="B4406" s="2">
        <v>45</v>
      </c>
      <c r="C4406" s="1">
        <v>81</v>
      </c>
      <c r="D4406" s="2">
        <v>22</v>
      </c>
      <c r="E4406" s="3" t="s">
        <v>8</v>
      </c>
      <c r="F4406" s="1"/>
      <c r="G4406" s="1">
        <v>19.2</v>
      </c>
      <c r="H4406" s="1">
        <v>47.4</v>
      </c>
      <c r="I4406" s="2"/>
      <c r="J4406" s="1"/>
      <c r="K4406" s="1">
        <v>59.2</v>
      </c>
      <c r="L4406" s="1"/>
      <c r="M4406" s="1"/>
      <c r="O4406" s="1">
        <v>0</v>
      </c>
      <c r="P4406" s="1">
        <v>59.4</v>
      </c>
      <c r="Q4406" s="1"/>
      <c r="R4406" s="1"/>
      <c r="X4406" s="1"/>
    </row>
    <row r="4407" spans="1:24" x14ac:dyDescent="0.25">
      <c r="A4407" s="22">
        <v>42758</v>
      </c>
      <c r="B4407" s="2">
        <v>30.7</v>
      </c>
      <c r="C4407" s="1">
        <v>2.9</v>
      </c>
      <c r="D4407" s="2">
        <v>22</v>
      </c>
      <c r="E4407" s="3" t="s">
        <v>8</v>
      </c>
      <c r="F4407" s="1"/>
      <c r="G4407" s="1">
        <v>6.8</v>
      </c>
      <c r="H4407" s="1">
        <v>23.6</v>
      </c>
      <c r="I4407" s="1"/>
      <c r="J4407" s="1"/>
      <c r="K4407" s="1">
        <v>0</v>
      </c>
      <c r="L4407" s="1"/>
      <c r="M4407" s="1"/>
      <c r="O4407" s="1">
        <v>125.22199999999998</v>
      </c>
      <c r="P4407" s="1">
        <v>7.6</v>
      </c>
      <c r="Q4407" s="1"/>
      <c r="R4407" s="1"/>
      <c r="X4407" s="1"/>
    </row>
    <row r="4408" spans="1:24" x14ac:dyDescent="0.25">
      <c r="A4408" s="22">
        <v>42759</v>
      </c>
      <c r="B4408" s="2"/>
      <c r="C4408" s="1">
        <v>35.299999999999997</v>
      </c>
      <c r="D4408" s="2">
        <v>25</v>
      </c>
      <c r="E4408" s="3" t="s">
        <v>8</v>
      </c>
      <c r="F4408" s="1"/>
      <c r="G4408" s="1">
        <v>0</v>
      </c>
      <c r="H4408" s="1">
        <v>4.2</v>
      </c>
      <c r="I4408" s="2"/>
      <c r="J4408" s="1"/>
      <c r="K4408" s="2">
        <v>9.5</v>
      </c>
      <c r="L4408" s="1"/>
      <c r="M4408" s="1"/>
      <c r="O4408" s="1">
        <v>5.5880000000000001</v>
      </c>
      <c r="P4408" s="1">
        <v>13.1</v>
      </c>
      <c r="Q4408" s="1"/>
      <c r="R4408" s="1"/>
      <c r="X4408" s="1"/>
    </row>
    <row r="4409" spans="1:24" x14ac:dyDescent="0.25">
      <c r="A4409" s="22">
        <v>42760</v>
      </c>
      <c r="B4409" s="2"/>
      <c r="C4409" s="30" t="s">
        <v>9</v>
      </c>
      <c r="D4409" s="2">
        <v>0</v>
      </c>
      <c r="E4409" s="3" t="s">
        <v>8</v>
      </c>
      <c r="F4409" s="2"/>
      <c r="G4409" s="1">
        <v>0</v>
      </c>
      <c r="H4409" s="1"/>
      <c r="I4409" s="1"/>
      <c r="J4409" s="2"/>
      <c r="K4409" s="2">
        <v>0</v>
      </c>
      <c r="L4409" s="1"/>
      <c r="M4409" s="1"/>
      <c r="O4409" s="1">
        <v>0</v>
      </c>
      <c r="P4409" s="1">
        <v>0</v>
      </c>
      <c r="Q4409" s="1"/>
      <c r="R4409" s="1"/>
      <c r="X4409" s="1"/>
    </row>
    <row r="4410" spans="1:24" x14ac:dyDescent="0.25">
      <c r="A4410" s="22">
        <v>42761</v>
      </c>
      <c r="B4410" s="2"/>
      <c r="C4410" s="1">
        <v>0</v>
      </c>
      <c r="D4410" s="1">
        <v>0</v>
      </c>
      <c r="E4410" s="3" t="s">
        <v>8</v>
      </c>
      <c r="F4410" s="2"/>
      <c r="G4410" s="1">
        <v>0</v>
      </c>
      <c r="H4410" s="1"/>
      <c r="I4410" s="1"/>
      <c r="J4410" s="1"/>
      <c r="K4410" s="2">
        <v>0</v>
      </c>
      <c r="L4410" s="1"/>
      <c r="M4410" s="1"/>
      <c r="O4410" s="1">
        <v>0</v>
      </c>
      <c r="P4410" s="1">
        <v>0</v>
      </c>
      <c r="Q4410" s="1"/>
      <c r="R4410" s="1"/>
      <c r="X4410" s="1"/>
    </row>
    <row r="4411" spans="1:24" x14ac:dyDescent="0.25">
      <c r="A4411" s="22">
        <v>42762</v>
      </c>
      <c r="B4411" s="2"/>
      <c r="C4411" s="1">
        <v>0</v>
      </c>
      <c r="D4411" s="1">
        <v>0</v>
      </c>
      <c r="E4411" s="3" t="s">
        <v>8</v>
      </c>
      <c r="F4411" s="2"/>
      <c r="G4411" s="1">
        <v>0</v>
      </c>
      <c r="H4411" s="1"/>
      <c r="I4411" s="1"/>
      <c r="J4411" s="2"/>
      <c r="K4411" s="1">
        <v>0</v>
      </c>
      <c r="L4411" s="1"/>
      <c r="M4411" s="1"/>
      <c r="O4411" s="1">
        <v>0</v>
      </c>
      <c r="P4411" s="1">
        <v>0</v>
      </c>
      <c r="Q4411" s="1"/>
      <c r="R4411" s="1"/>
      <c r="X4411" s="1"/>
    </row>
    <row r="4412" spans="1:24" x14ac:dyDescent="0.25">
      <c r="A4412" s="22">
        <v>42763</v>
      </c>
      <c r="B4412" s="2"/>
      <c r="C4412" s="30" t="s">
        <v>9</v>
      </c>
      <c r="D4412" s="1">
        <v>4</v>
      </c>
      <c r="E4412" s="3" t="s">
        <v>8</v>
      </c>
      <c r="F4412" s="2"/>
      <c r="G4412" s="1">
        <v>0.6</v>
      </c>
      <c r="H4412" s="1"/>
      <c r="I4412" s="2"/>
      <c r="J4412" s="1"/>
      <c r="K4412" s="1">
        <v>0</v>
      </c>
      <c r="L4412" s="1"/>
      <c r="M4412" s="1"/>
      <c r="O4412" s="1">
        <v>0</v>
      </c>
      <c r="P4412" s="1">
        <v>0.8</v>
      </c>
      <c r="Q4412" s="1"/>
      <c r="R4412" s="1"/>
      <c r="X4412" s="1"/>
    </row>
    <row r="4413" spans="1:24" x14ac:dyDescent="0.25">
      <c r="A4413" s="22">
        <v>42764</v>
      </c>
      <c r="B4413" s="2"/>
      <c r="C4413" s="1">
        <v>0.9</v>
      </c>
      <c r="D4413" s="1">
        <v>0</v>
      </c>
      <c r="E4413" s="3" t="s">
        <v>8</v>
      </c>
      <c r="F4413" s="1"/>
      <c r="G4413" s="1">
        <v>0</v>
      </c>
      <c r="H4413" s="1"/>
      <c r="I4413" s="2"/>
      <c r="J4413" s="1"/>
      <c r="K4413" s="1">
        <v>1.6</v>
      </c>
      <c r="L4413" s="1"/>
      <c r="M4413" s="1"/>
      <c r="O4413" s="1">
        <v>0</v>
      </c>
      <c r="P4413" s="1">
        <v>0</v>
      </c>
      <c r="Q4413" s="1"/>
      <c r="R4413" s="1"/>
      <c r="X4413" s="1"/>
    </row>
    <row r="4414" spans="1:24" x14ac:dyDescent="0.25">
      <c r="A4414" s="22">
        <v>42765</v>
      </c>
      <c r="B4414" s="2"/>
      <c r="C4414" s="1">
        <v>1.8</v>
      </c>
      <c r="D4414" s="1">
        <v>0</v>
      </c>
      <c r="E4414" s="3" t="s">
        <v>8</v>
      </c>
      <c r="F4414" s="1"/>
      <c r="G4414" s="1">
        <v>0</v>
      </c>
      <c r="H4414" s="1"/>
      <c r="I4414" s="2"/>
      <c r="J4414" s="1"/>
      <c r="K4414" s="1">
        <v>2.4</v>
      </c>
      <c r="L4414" s="1"/>
      <c r="M4414" s="1"/>
      <c r="O4414" s="1">
        <v>2.794</v>
      </c>
      <c r="P4414" s="1">
        <v>0</v>
      </c>
      <c r="Q4414" s="1"/>
      <c r="R4414" s="1"/>
      <c r="X4414" s="1"/>
    </row>
    <row r="4415" spans="1:24" x14ac:dyDescent="0.25">
      <c r="A4415" s="22">
        <v>42766</v>
      </c>
      <c r="B4415" s="2">
        <v>49</v>
      </c>
      <c r="C4415" s="1">
        <v>21.3</v>
      </c>
      <c r="D4415" s="1">
        <v>14.7</v>
      </c>
      <c r="E4415" s="3">
        <v>267</v>
      </c>
      <c r="F4415" s="1">
        <v>216.36</v>
      </c>
      <c r="G4415" s="1">
        <v>0</v>
      </c>
      <c r="H4415" s="1"/>
      <c r="I4415" s="2">
        <v>239.1</v>
      </c>
      <c r="J4415" s="1">
        <v>266.10000000000002</v>
      </c>
      <c r="K4415" s="1">
        <v>1.9</v>
      </c>
      <c r="L4415" s="1">
        <v>291.83999999999997</v>
      </c>
      <c r="M4415" s="1">
        <v>392.5</v>
      </c>
      <c r="O4415" s="1">
        <v>9.3979999999999997</v>
      </c>
      <c r="P4415" s="1">
        <v>0</v>
      </c>
      <c r="Q4415" s="1">
        <v>308</v>
      </c>
      <c r="R4415" s="1">
        <v>262.10000000000002</v>
      </c>
      <c r="X4415" s="1"/>
    </row>
    <row r="4416" spans="1:24" x14ac:dyDescent="0.25">
      <c r="A4416" s="22">
        <v>42767</v>
      </c>
      <c r="B4416" s="2">
        <v>0</v>
      </c>
      <c r="C4416" s="1"/>
      <c r="D4416" s="1">
        <v>0</v>
      </c>
      <c r="E4416" s="3" t="s">
        <v>8</v>
      </c>
      <c r="F4416" s="1">
        <v>0</v>
      </c>
      <c r="G4416" s="1">
        <v>9.3000000000000007</v>
      </c>
      <c r="H4416" s="1">
        <v>3</v>
      </c>
      <c r="I4416" s="2">
        <v>3.2</v>
      </c>
      <c r="J4416" s="1"/>
      <c r="K4416" s="2">
        <v>0</v>
      </c>
      <c r="L4416" s="1">
        <v>5.5880000000000001</v>
      </c>
      <c r="M4416" s="1">
        <v>5.0999999999999996</v>
      </c>
      <c r="O4416" s="1">
        <v>4.8259999999999996</v>
      </c>
      <c r="P4416" s="1">
        <v>8.6</v>
      </c>
      <c r="Q4416" s="1">
        <v>12.2</v>
      </c>
      <c r="R4416" s="1">
        <v>0</v>
      </c>
      <c r="X4416" s="1"/>
    </row>
    <row r="4417" spans="1:24" x14ac:dyDescent="0.25">
      <c r="A4417" s="22">
        <v>42768</v>
      </c>
      <c r="B4417" s="2">
        <v>0</v>
      </c>
      <c r="C4417" s="1"/>
      <c r="D4417" s="1">
        <v>0</v>
      </c>
      <c r="E4417" s="3" t="s">
        <v>8</v>
      </c>
      <c r="F4417" s="1">
        <v>15</v>
      </c>
      <c r="G4417" s="1">
        <v>1.1000000000000001</v>
      </c>
      <c r="H4417" s="1">
        <v>5</v>
      </c>
      <c r="I4417" s="2">
        <v>8.5</v>
      </c>
      <c r="J4417" s="2"/>
      <c r="K4417" s="2">
        <v>0</v>
      </c>
      <c r="L4417" s="1">
        <v>10.921999999999999</v>
      </c>
      <c r="M4417" s="1">
        <v>8.1</v>
      </c>
      <c r="O4417" s="1">
        <v>12.7</v>
      </c>
      <c r="P4417" s="1">
        <v>15.2</v>
      </c>
      <c r="Q4417" s="1">
        <v>5.0999999999999996</v>
      </c>
      <c r="R4417" s="1">
        <v>0</v>
      </c>
      <c r="X4417" s="1"/>
    </row>
    <row r="4418" spans="1:24" x14ac:dyDescent="0.25">
      <c r="A4418" s="22">
        <v>42769</v>
      </c>
      <c r="B4418" s="2">
        <v>7.3</v>
      </c>
      <c r="C4418" s="1"/>
      <c r="D4418" s="1">
        <v>7.4</v>
      </c>
      <c r="E4418" s="3" t="s">
        <v>8</v>
      </c>
      <c r="F4418" s="1">
        <v>0</v>
      </c>
      <c r="G4418" s="1">
        <v>7.9</v>
      </c>
      <c r="H4418" s="1">
        <v>2.2000000000000002</v>
      </c>
      <c r="I4418" s="2">
        <v>0</v>
      </c>
      <c r="J4418" s="2"/>
      <c r="K4418" s="2">
        <v>0</v>
      </c>
      <c r="L4418" s="1">
        <v>0.50800000000000001</v>
      </c>
      <c r="M4418" s="1">
        <v>1.9</v>
      </c>
      <c r="O4418" s="1">
        <v>1.5239999999999998</v>
      </c>
      <c r="P4418" s="1">
        <v>0.7</v>
      </c>
      <c r="Q4418" s="1">
        <v>1.9</v>
      </c>
      <c r="R4418" s="1">
        <v>0</v>
      </c>
      <c r="X4418" s="1"/>
    </row>
    <row r="4419" spans="1:24" x14ac:dyDescent="0.25">
      <c r="A4419" s="22">
        <v>42770</v>
      </c>
      <c r="B4419" s="2">
        <v>0</v>
      </c>
      <c r="C4419" s="1"/>
      <c r="D4419" s="1">
        <v>5</v>
      </c>
      <c r="E4419" s="3" t="s">
        <v>8</v>
      </c>
      <c r="F4419" s="1">
        <v>3.1</v>
      </c>
      <c r="G4419" s="1">
        <v>0.1</v>
      </c>
      <c r="H4419" s="1">
        <v>6.3</v>
      </c>
      <c r="I4419" s="2">
        <v>0</v>
      </c>
      <c r="J4419" s="1"/>
      <c r="K4419" s="2">
        <v>0</v>
      </c>
      <c r="L4419" s="1">
        <v>1.778</v>
      </c>
      <c r="M4419" s="1">
        <v>7.6</v>
      </c>
      <c r="O4419" s="1">
        <v>0</v>
      </c>
      <c r="P4419" s="1">
        <v>3.2</v>
      </c>
      <c r="Q4419" s="1">
        <v>4.5</v>
      </c>
      <c r="R4419" s="1">
        <v>9.8000000000000007</v>
      </c>
      <c r="X4419" s="1"/>
    </row>
    <row r="4420" spans="1:24" x14ac:dyDescent="0.25">
      <c r="A4420" s="22">
        <v>42771</v>
      </c>
      <c r="B4420" s="2">
        <v>0</v>
      </c>
      <c r="C4420" s="1"/>
      <c r="D4420" s="2">
        <v>0</v>
      </c>
      <c r="E4420" s="3" t="s">
        <v>8</v>
      </c>
      <c r="F4420" s="2">
        <v>0</v>
      </c>
      <c r="G4420" s="1">
        <v>0</v>
      </c>
      <c r="H4420" s="1">
        <v>0</v>
      </c>
      <c r="I4420" s="2">
        <v>3.2</v>
      </c>
      <c r="J4420" s="2"/>
      <c r="K4420" s="2">
        <v>0</v>
      </c>
      <c r="L4420" s="1">
        <v>0</v>
      </c>
      <c r="M4420" s="1">
        <v>1.4</v>
      </c>
      <c r="O4420" s="1">
        <v>0</v>
      </c>
      <c r="P4420" s="1">
        <v>0</v>
      </c>
      <c r="Q4420" s="1">
        <v>6.4</v>
      </c>
      <c r="R4420" s="1">
        <v>0</v>
      </c>
      <c r="X4420" s="1"/>
    </row>
    <row r="4421" spans="1:24" x14ac:dyDescent="0.25">
      <c r="A4421" s="22">
        <v>42772</v>
      </c>
      <c r="B4421" s="2">
        <v>0</v>
      </c>
      <c r="C4421" s="1"/>
      <c r="D4421" s="2">
        <v>0</v>
      </c>
      <c r="E4421" s="3" t="s">
        <v>8</v>
      </c>
      <c r="F4421" s="2">
        <v>0</v>
      </c>
      <c r="G4421" s="1">
        <v>7.5</v>
      </c>
      <c r="H4421" s="1">
        <v>0</v>
      </c>
      <c r="I4421" s="2">
        <v>0.7</v>
      </c>
      <c r="J4421" s="2"/>
      <c r="K4421" s="2">
        <v>64.8</v>
      </c>
      <c r="L4421" s="1">
        <v>0</v>
      </c>
      <c r="M4421" s="1">
        <v>0</v>
      </c>
      <c r="O4421" s="1">
        <v>4.3180000000000005</v>
      </c>
      <c r="P4421" s="1">
        <v>0</v>
      </c>
      <c r="Q4421" s="1">
        <v>2.2000000000000002</v>
      </c>
      <c r="R4421" s="1">
        <v>2.2000000000000002</v>
      </c>
      <c r="X4421" s="1"/>
    </row>
    <row r="4422" spans="1:24" x14ac:dyDescent="0.25">
      <c r="A4422" s="22">
        <v>42773</v>
      </c>
      <c r="B4422" s="2">
        <v>0</v>
      </c>
      <c r="C4422" s="1"/>
      <c r="D4422" s="2">
        <v>0</v>
      </c>
      <c r="E4422" s="3" t="s">
        <v>8</v>
      </c>
      <c r="F4422" s="2">
        <v>0</v>
      </c>
      <c r="G4422" s="1">
        <v>12.9</v>
      </c>
      <c r="H4422" s="1">
        <v>1.3</v>
      </c>
      <c r="I4422" s="1">
        <v>2.2999999999999998</v>
      </c>
      <c r="J4422" s="2"/>
      <c r="K4422" s="2">
        <v>6.8</v>
      </c>
      <c r="L4422" s="1">
        <v>6.8579999999999997</v>
      </c>
      <c r="M4422" s="1">
        <v>4.4000000000000004</v>
      </c>
      <c r="O4422" s="1">
        <v>0</v>
      </c>
      <c r="P4422" s="1">
        <v>3.9</v>
      </c>
      <c r="Q4422" s="1">
        <v>10</v>
      </c>
      <c r="R4422" s="1">
        <v>2.4</v>
      </c>
      <c r="X4422" s="1"/>
    </row>
    <row r="4423" spans="1:24" x14ac:dyDescent="0.25">
      <c r="A4423" s="22">
        <v>42774</v>
      </c>
      <c r="B4423" s="2">
        <v>27.7</v>
      </c>
      <c r="C4423" s="1"/>
      <c r="D4423" s="1">
        <v>15.6</v>
      </c>
      <c r="E4423" s="3" t="s">
        <v>8</v>
      </c>
      <c r="F4423" s="1">
        <v>18.600000000000001</v>
      </c>
      <c r="G4423" s="1">
        <v>1.1000000000000001</v>
      </c>
      <c r="H4423" s="1">
        <v>9.1999999999999993</v>
      </c>
      <c r="I4423" s="2">
        <v>6.9</v>
      </c>
      <c r="J4423" s="2"/>
      <c r="K4423" s="2">
        <v>18.2</v>
      </c>
      <c r="L4423" s="1">
        <v>9.9060000000000006</v>
      </c>
      <c r="M4423" s="1">
        <v>13.8</v>
      </c>
      <c r="O4423" s="1">
        <v>21.843999999999998</v>
      </c>
      <c r="P4423" s="1">
        <v>2.9</v>
      </c>
      <c r="Q4423" s="1">
        <v>7.3</v>
      </c>
      <c r="R4423" s="1">
        <v>0</v>
      </c>
      <c r="X4423" s="1"/>
    </row>
    <row r="4424" spans="1:24" x14ac:dyDescent="0.25">
      <c r="A4424" s="22">
        <v>42775</v>
      </c>
      <c r="B4424" s="2">
        <v>0</v>
      </c>
      <c r="C4424" s="1"/>
      <c r="D4424" s="1">
        <v>3.9</v>
      </c>
      <c r="E4424" s="3" t="s">
        <v>8</v>
      </c>
      <c r="F4424" s="1">
        <v>0</v>
      </c>
      <c r="G4424" s="1">
        <v>1.4</v>
      </c>
      <c r="H4424" s="1">
        <v>0</v>
      </c>
      <c r="I4424" s="2">
        <v>0</v>
      </c>
      <c r="J4424" s="2"/>
      <c r="K4424" s="2">
        <v>0</v>
      </c>
      <c r="L4424" s="1">
        <v>3.0479999999999996</v>
      </c>
      <c r="M4424" s="1">
        <v>0.2</v>
      </c>
      <c r="O4424" s="1">
        <v>5.5880000000000001</v>
      </c>
      <c r="P4424" s="1">
        <v>2.4</v>
      </c>
      <c r="Q4424" s="1">
        <v>0.1</v>
      </c>
      <c r="R4424" s="1">
        <v>1.5</v>
      </c>
      <c r="X4424" s="1"/>
    </row>
    <row r="4425" spans="1:24" x14ac:dyDescent="0.25">
      <c r="A4425" s="22">
        <v>42776</v>
      </c>
      <c r="B4425" s="2">
        <v>0</v>
      </c>
      <c r="C4425" s="1"/>
      <c r="D4425" s="1">
        <v>0</v>
      </c>
      <c r="E4425" s="3" t="s">
        <v>8</v>
      </c>
      <c r="F4425" s="1">
        <v>3.27</v>
      </c>
      <c r="G4425" s="1">
        <v>3.6</v>
      </c>
      <c r="H4425" s="1">
        <v>0</v>
      </c>
      <c r="I4425" s="2">
        <v>1.8</v>
      </c>
      <c r="J4425" s="2"/>
      <c r="K4425" s="2">
        <v>0</v>
      </c>
      <c r="L4425" s="1">
        <v>1.778</v>
      </c>
      <c r="M4425" s="1">
        <v>0.6</v>
      </c>
      <c r="O4425" s="1">
        <v>3.8099999999999996</v>
      </c>
      <c r="P4425" s="1">
        <v>0</v>
      </c>
      <c r="Q4425" s="1">
        <v>4.4000000000000004</v>
      </c>
      <c r="R4425" s="1">
        <v>0</v>
      </c>
      <c r="X4425" s="1"/>
    </row>
    <row r="4426" spans="1:24" x14ac:dyDescent="0.25">
      <c r="A4426" s="22">
        <v>42777</v>
      </c>
      <c r="B4426" s="2">
        <v>0</v>
      </c>
      <c r="C4426" s="1"/>
      <c r="D4426" s="1">
        <v>0</v>
      </c>
      <c r="E4426" s="3" t="s">
        <v>8</v>
      </c>
      <c r="F4426" s="1">
        <v>0</v>
      </c>
      <c r="G4426" s="1">
        <v>0</v>
      </c>
      <c r="H4426" s="1">
        <v>3.5</v>
      </c>
      <c r="I4426" s="2">
        <v>5.5</v>
      </c>
      <c r="J4426" s="2"/>
      <c r="K4426" s="2">
        <v>0</v>
      </c>
      <c r="L4426" s="1">
        <v>3.0479999999999996</v>
      </c>
      <c r="M4426" s="1">
        <v>4.3</v>
      </c>
      <c r="O4426" s="1">
        <v>0</v>
      </c>
      <c r="P4426" s="1">
        <v>0</v>
      </c>
      <c r="Q4426" s="1">
        <v>3.3</v>
      </c>
      <c r="R4426" s="1">
        <v>0.2</v>
      </c>
      <c r="X4426" s="1"/>
    </row>
    <row r="4427" spans="1:24" x14ac:dyDescent="0.25">
      <c r="A4427" s="22">
        <v>42778</v>
      </c>
      <c r="B4427" s="2">
        <v>0</v>
      </c>
      <c r="C4427" s="1"/>
      <c r="D4427" s="1">
        <v>0</v>
      </c>
      <c r="E4427" s="3" t="s">
        <v>8</v>
      </c>
      <c r="F4427" s="1">
        <v>4.5</v>
      </c>
      <c r="G4427" s="1">
        <v>5</v>
      </c>
      <c r="H4427" s="1">
        <v>0</v>
      </c>
      <c r="I4427" s="2">
        <v>0</v>
      </c>
      <c r="J4427" s="1"/>
      <c r="K4427" s="2">
        <v>0</v>
      </c>
      <c r="L4427" s="1">
        <v>0</v>
      </c>
      <c r="M4427" s="1">
        <v>0</v>
      </c>
      <c r="O4427" s="1">
        <v>0</v>
      </c>
      <c r="P4427" s="1">
        <v>2</v>
      </c>
      <c r="Q4427" s="1">
        <v>1.1000000000000001</v>
      </c>
      <c r="R4427" s="1">
        <v>3</v>
      </c>
      <c r="X4427" s="1"/>
    </row>
    <row r="4428" spans="1:24" x14ac:dyDescent="0.25">
      <c r="A4428" s="22">
        <v>42779</v>
      </c>
      <c r="B4428" s="2">
        <v>15.3</v>
      </c>
      <c r="C4428" s="1"/>
      <c r="D4428" s="1">
        <v>7</v>
      </c>
      <c r="E4428" s="3" t="s">
        <v>8</v>
      </c>
      <c r="F4428" s="1">
        <v>0</v>
      </c>
      <c r="G4428" s="2">
        <v>4.9000000000000004</v>
      </c>
      <c r="H4428" s="1">
        <v>4.8</v>
      </c>
      <c r="I4428" s="2">
        <v>3.4</v>
      </c>
      <c r="J4428" s="1"/>
      <c r="K4428" s="2">
        <v>6.6</v>
      </c>
      <c r="L4428" s="1">
        <v>0.50800000000000001</v>
      </c>
      <c r="M4428" s="1">
        <v>4.0999999999999996</v>
      </c>
      <c r="O4428" s="1">
        <v>7.1120000000000001</v>
      </c>
      <c r="P4428" s="1">
        <v>0</v>
      </c>
      <c r="Q4428" s="1">
        <v>2.2000000000000002</v>
      </c>
      <c r="R4428" s="1">
        <v>16.899999999999999</v>
      </c>
      <c r="X4428" s="1"/>
    </row>
    <row r="4429" spans="1:24" x14ac:dyDescent="0.25">
      <c r="A4429" s="22">
        <v>42780</v>
      </c>
      <c r="B4429" s="2">
        <v>0</v>
      </c>
      <c r="C4429" s="1"/>
      <c r="D4429" s="1">
        <v>0</v>
      </c>
      <c r="E4429" s="3" t="s">
        <v>8</v>
      </c>
      <c r="F4429" s="1">
        <v>4.8</v>
      </c>
      <c r="G4429" s="2">
        <v>5.0999999999999996</v>
      </c>
      <c r="H4429" s="1">
        <v>1</v>
      </c>
      <c r="I4429" s="2">
        <v>0</v>
      </c>
      <c r="J4429" s="1"/>
      <c r="K4429" s="2">
        <v>4.7</v>
      </c>
      <c r="L4429" s="1">
        <v>13.97</v>
      </c>
      <c r="M4429" s="1">
        <v>3.6</v>
      </c>
      <c r="O4429" s="1">
        <v>4.3180000000000005</v>
      </c>
      <c r="P4429" s="1">
        <v>10.5</v>
      </c>
      <c r="Q4429" s="1">
        <v>3.3</v>
      </c>
      <c r="R4429" s="1">
        <v>0.6</v>
      </c>
      <c r="X4429" s="1"/>
    </row>
    <row r="4430" spans="1:24" x14ac:dyDescent="0.25">
      <c r="A4430" s="22">
        <v>42781</v>
      </c>
      <c r="B4430" s="2">
        <v>0</v>
      </c>
      <c r="C4430" s="1"/>
      <c r="D4430" s="1">
        <v>5.5</v>
      </c>
      <c r="E4430" s="3" t="s">
        <v>8</v>
      </c>
      <c r="F4430" s="1">
        <v>0</v>
      </c>
      <c r="G4430" s="2">
        <v>1</v>
      </c>
      <c r="H4430" s="1">
        <v>3.5</v>
      </c>
      <c r="I4430" s="2">
        <v>4.2</v>
      </c>
      <c r="J4430" s="2"/>
      <c r="K4430" s="2">
        <v>9.8000000000000007</v>
      </c>
      <c r="L4430" s="1">
        <v>3.556</v>
      </c>
      <c r="M4430" s="1">
        <v>4.9000000000000004</v>
      </c>
      <c r="O4430" s="1">
        <v>3.8099999999999996</v>
      </c>
      <c r="P4430" s="1">
        <v>2.1</v>
      </c>
      <c r="Q4430" s="1">
        <v>9.1</v>
      </c>
      <c r="R4430" s="1">
        <v>4.0999999999999996</v>
      </c>
      <c r="X4430" s="1"/>
    </row>
    <row r="4431" spans="1:24" x14ac:dyDescent="0.25">
      <c r="A4431" s="22">
        <v>42782</v>
      </c>
      <c r="B4431" s="2">
        <v>23</v>
      </c>
      <c r="C4431" s="1"/>
      <c r="D4431" s="1">
        <v>6.3</v>
      </c>
      <c r="E4431" s="3">
        <v>56.9</v>
      </c>
      <c r="F4431" s="1">
        <v>0</v>
      </c>
      <c r="G4431" s="2">
        <v>3.4</v>
      </c>
      <c r="H4431" s="1">
        <v>2.1</v>
      </c>
      <c r="I4431" s="1">
        <v>1.3</v>
      </c>
      <c r="J4431" s="2"/>
      <c r="K4431" s="2">
        <v>3</v>
      </c>
      <c r="L4431" s="1">
        <v>10.667999999999999</v>
      </c>
      <c r="M4431" s="1">
        <v>1.2</v>
      </c>
      <c r="O4431" s="1">
        <v>3.302</v>
      </c>
      <c r="P4431" s="1">
        <v>12.3</v>
      </c>
      <c r="Q4431" s="1">
        <v>0.6</v>
      </c>
      <c r="R4431" s="1">
        <v>0</v>
      </c>
      <c r="X4431" s="1"/>
    </row>
    <row r="4432" spans="1:24" x14ac:dyDescent="0.25">
      <c r="A4432" s="22">
        <v>42783</v>
      </c>
      <c r="B4432" s="2">
        <v>0</v>
      </c>
      <c r="C4432" s="1"/>
      <c r="D4432" s="1">
        <v>2.5</v>
      </c>
      <c r="E4432" s="3" t="s">
        <v>8</v>
      </c>
      <c r="F4432" s="1">
        <v>0</v>
      </c>
      <c r="G4432" s="1">
        <v>4.2</v>
      </c>
      <c r="H4432" s="1">
        <v>0</v>
      </c>
      <c r="I4432" s="2">
        <v>1.4</v>
      </c>
      <c r="J4432" s="2"/>
      <c r="K4432" s="2">
        <v>0.7</v>
      </c>
      <c r="L4432" s="1">
        <v>0</v>
      </c>
      <c r="M4432" s="1">
        <v>2.9</v>
      </c>
      <c r="O4432" s="1">
        <v>3.0479999999999996</v>
      </c>
      <c r="P4432" s="1">
        <v>1.3</v>
      </c>
      <c r="Q4432" s="1">
        <v>6.7</v>
      </c>
      <c r="R4432" s="1">
        <v>0</v>
      </c>
      <c r="X4432" s="1"/>
    </row>
    <row r="4433" spans="1:24" x14ac:dyDescent="0.25">
      <c r="A4433" s="22">
        <v>42784</v>
      </c>
      <c r="B4433" s="2">
        <v>0</v>
      </c>
      <c r="C4433" s="1"/>
      <c r="D4433" s="2">
        <v>9.1999999999999993</v>
      </c>
      <c r="E4433" s="3" t="s">
        <v>8</v>
      </c>
      <c r="F4433" s="2">
        <v>19.600000000000001</v>
      </c>
      <c r="G4433" s="1">
        <v>8.1999999999999993</v>
      </c>
      <c r="H4433" s="1">
        <v>5</v>
      </c>
      <c r="I4433" s="2">
        <v>1.7</v>
      </c>
      <c r="J4433" s="1"/>
      <c r="K4433" s="2">
        <v>3</v>
      </c>
      <c r="L4433" s="1">
        <v>2.2859999999999996</v>
      </c>
      <c r="M4433" s="1">
        <v>1.8</v>
      </c>
      <c r="O4433" s="1">
        <v>0</v>
      </c>
      <c r="P4433" s="1">
        <v>2.7</v>
      </c>
      <c r="Q4433" s="1">
        <v>5.0999999999999996</v>
      </c>
      <c r="R4433" s="1">
        <v>0</v>
      </c>
      <c r="X4433" s="1"/>
    </row>
    <row r="4434" spans="1:24" x14ac:dyDescent="0.25">
      <c r="A4434" s="22">
        <v>42785</v>
      </c>
      <c r="B4434" s="2">
        <v>0</v>
      </c>
      <c r="C4434" s="1"/>
      <c r="D4434" s="1">
        <v>0</v>
      </c>
      <c r="E4434" s="3" t="s">
        <v>8</v>
      </c>
      <c r="F4434" s="1">
        <v>0</v>
      </c>
      <c r="G4434" s="1">
        <v>1</v>
      </c>
      <c r="H4434" s="1">
        <v>0</v>
      </c>
      <c r="I4434" s="2">
        <v>0</v>
      </c>
      <c r="J4434" s="1"/>
      <c r="K4434" s="1">
        <v>3.4</v>
      </c>
      <c r="L4434" s="1">
        <v>0.50800000000000001</v>
      </c>
      <c r="M4434" s="1">
        <v>4.4000000000000004</v>
      </c>
      <c r="O4434" s="1">
        <v>0</v>
      </c>
      <c r="P4434" s="1">
        <v>0</v>
      </c>
      <c r="Q4434" s="1">
        <v>2.5</v>
      </c>
      <c r="R4434" s="1">
        <v>0</v>
      </c>
      <c r="X4434" s="1"/>
    </row>
    <row r="4435" spans="1:24" x14ac:dyDescent="0.25">
      <c r="A4435" s="22">
        <v>42786</v>
      </c>
      <c r="B4435" s="2">
        <v>0</v>
      </c>
      <c r="C4435" s="1"/>
      <c r="D4435" s="1">
        <v>5.4</v>
      </c>
      <c r="E4435" s="3" t="s">
        <v>8</v>
      </c>
      <c r="F4435" s="1">
        <v>0</v>
      </c>
      <c r="G4435" s="1">
        <v>2.4</v>
      </c>
      <c r="H4435" s="1">
        <v>0</v>
      </c>
      <c r="I4435" s="2">
        <v>0</v>
      </c>
      <c r="J4435" s="2"/>
      <c r="K4435" s="2">
        <v>20.100000000000001</v>
      </c>
      <c r="L4435" s="1">
        <v>0</v>
      </c>
      <c r="M4435" s="1">
        <v>0.3</v>
      </c>
      <c r="O4435" s="1">
        <v>8.8899999999999988</v>
      </c>
      <c r="P4435" s="1">
        <v>0.8</v>
      </c>
      <c r="Q4435" s="1">
        <v>8.3000000000000007</v>
      </c>
      <c r="R4435" s="1">
        <v>0.3</v>
      </c>
      <c r="X4435" s="1"/>
    </row>
    <row r="4436" spans="1:24" x14ac:dyDescent="0.25">
      <c r="A4436" s="22">
        <v>42787</v>
      </c>
      <c r="B4436" s="2">
        <v>0</v>
      </c>
      <c r="C4436" s="1"/>
      <c r="D4436" s="1">
        <v>0</v>
      </c>
      <c r="E4436" s="3" t="s">
        <v>8</v>
      </c>
      <c r="F4436" s="1">
        <v>0</v>
      </c>
      <c r="G4436" s="1">
        <v>1.5</v>
      </c>
      <c r="H4436" s="1">
        <v>0</v>
      </c>
      <c r="I4436" s="2">
        <v>0</v>
      </c>
      <c r="J4436" s="1"/>
      <c r="K4436" s="1">
        <v>0</v>
      </c>
      <c r="L4436" s="1">
        <v>0</v>
      </c>
      <c r="M4436" s="1">
        <v>0</v>
      </c>
      <c r="O4436" s="1">
        <v>0</v>
      </c>
      <c r="P4436" s="1">
        <v>0</v>
      </c>
      <c r="Q4436" s="1">
        <v>2.7</v>
      </c>
      <c r="R4436" s="1">
        <v>0.3</v>
      </c>
      <c r="X4436" s="1"/>
    </row>
    <row r="4437" spans="1:24" x14ac:dyDescent="0.25">
      <c r="A4437" s="22">
        <v>42788</v>
      </c>
      <c r="B4437" s="2">
        <v>0</v>
      </c>
      <c r="C4437" s="1"/>
      <c r="D4437" s="2">
        <v>3</v>
      </c>
      <c r="E4437" s="3" t="s">
        <v>8</v>
      </c>
      <c r="F4437" s="1">
        <v>0</v>
      </c>
      <c r="G4437" s="1">
        <v>0</v>
      </c>
      <c r="H4437" s="1">
        <v>1.5</v>
      </c>
      <c r="I4437" s="2">
        <v>0</v>
      </c>
      <c r="J4437" s="1"/>
      <c r="K4437" s="1">
        <v>2.5</v>
      </c>
      <c r="L4437" s="1">
        <v>8.8899999999999988</v>
      </c>
      <c r="M4437" s="1">
        <v>0</v>
      </c>
      <c r="O4437" s="1">
        <v>2.54</v>
      </c>
      <c r="P4437" s="1">
        <v>3.9</v>
      </c>
      <c r="Q4437" s="1">
        <v>80.5</v>
      </c>
      <c r="R4437" s="1">
        <v>0</v>
      </c>
      <c r="X4437" s="1"/>
    </row>
    <row r="4438" spans="1:24" x14ac:dyDescent="0.25">
      <c r="A4438" s="22">
        <v>42789</v>
      </c>
      <c r="B4438" s="2">
        <v>0</v>
      </c>
      <c r="C4438" s="1"/>
      <c r="D4438" s="2">
        <v>0</v>
      </c>
      <c r="E4438" s="3" t="s">
        <v>8</v>
      </c>
      <c r="F4438" s="1">
        <v>0</v>
      </c>
      <c r="G4438" s="1">
        <v>0</v>
      </c>
      <c r="H4438" s="1">
        <v>0</v>
      </c>
      <c r="I4438" s="1">
        <v>0</v>
      </c>
      <c r="J4438" s="1"/>
      <c r="K4438" s="1">
        <v>0.6</v>
      </c>
      <c r="L4438" s="1">
        <v>0</v>
      </c>
      <c r="M4438" s="1">
        <v>0</v>
      </c>
      <c r="O4438" s="1">
        <v>0</v>
      </c>
      <c r="P4438" s="1">
        <v>0</v>
      </c>
      <c r="Q4438" s="1">
        <v>4.7</v>
      </c>
      <c r="R4438" s="1">
        <v>0</v>
      </c>
      <c r="X4438" s="1"/>
    </row>
    <row r="4439" spans="1:24" x14ac:dyDescent="0.25">
      <c r="A4439" s="22">
        <v>42790</v>
      </c>
      <c r="B4439" s="2">
        <v>0</v>
      </c>
      <c r="C4439" s="1"/>
      <c r="D4439" s="2">
        <v>0</v>
      </c>
      <c r="E4439" s="3" t="s">
        <v>8</v>
      </c>
      <c r="F4439" s="1">
        <v>0</v>
      </c>
      <c r="G4439" s="1">
        <v>0</v>
      </c>
      <c r="H4439" s="1">
        <v>0</v>
      </c>
      <c r="I4439" s="2">
        <v>0</v>
      </c>
      <c r="J4439" s="1"/>
      <c r="K4439" s="1">
        <v>0</v>
      </c>
      <c r="L4439" s="1">
        <v>0</v>
      </c>
      <c r="M4439" s="1">
        <v>0</v>
      </c>
      <c r="O4439" s="1">
        <v>0</v>
      </c>
      <c r="P4439" s="1">
        <v>0</v>
      </c>
      <c r="Q4439" s="1">
        <v>0</v>
      </c>
      <c r="R4439" s="1">
        <v>0</v>
      </c>
      <c r="X4439" s="1"/>
    </row>
    <row r="4440" spans="1:24" x14ac:dyDescent="0.25">
      <c r="A4440" s="22">
        <v>42791</v>
      </c>
      <c r="B4440" s="2">
        <v>0</v>
      </c>
      <c r="C4440" s="1"/>
      <c r="D4440" s="2">
        <v>0</v>
      </c>
      <c r="E4440" s="3" t="s">
        <v>8</v>
      </c>
      <c r="F4440" s="2">
        <v>0</v>
      </c>
      <c r="G4440" s="1">
        <v>13.5</v>
      </c>
      <c r="H4440" s="1">
        <v>0</v>
      </c>
      <c r="I4440" s="1">
        <v>0</v>
      </c>
      <c r="J4440" s="2"/>
      <c r="K4440" s="2">
        <v>0</v>
      </c>
      <c r="L4440" s="1">
        <v>0</v>
      </c>
      <c r="M4440" s="1">
        <v>0</v>
      </c>
      <c r="O4440" s="1">
        <v>25.907999999999998</v>
      </c>
      <c r="P4440" s="1">
        <v>0.7</v>
      </c>
      <c r="Q4440" s="1">
        <v>0</v>
      </c>
      <c r="R4440" s="1">
        <v>6.7</v>
      </c>
      <c r="X4440" s="1"/>
    </row>
    <row r="4441" spans="1:24" x14ac:dyDescent="0.25">
      <c r="A4441" s="22">
        <v>42792</v>
      </c>
      <c r="B4441" s="2">
        <v>0</v>
      </c>
      <c r="C4441" s="1"/>
      <c r="D4441" s="1">
        <v>0</v>
      </c>
      <c r="E4441" s="3" t="s">
        <v>8</v>
      </c>
      <c r="F4441" s="2">
        <v>5</v>
      </c>
      <c r="G4441" s="1">
        <v>6.1</v>
      </c>
      <c r="H4441" s="1">
        <v>0</v>
      </c>
      <c r="I4441" s="1">
        <v>10.5</v>
      </c>
      <c r="J4441" s="1"/>
      <c r="K4441" s="2">
        <v>0</v>
      </c>
      <c r="L4441" s="1">
        <v>2.032</v>
      </c>
      <c r="M4441" s="1">
        <v>6.5</v>
      </c>
      <c r="O4441" s="1">
        <v>13.97</v>
      </c>
      <c r="P4441" s="1">
        <v>3.8</v>
      </c>
      <c r="Q4441" s="1">
        <v>3.2</v>
      </c>
      <c r="R4441" s="1">
        <v>1</v>
      </c>
      <c r="X4441" s="1"/>
    </row>
    <row r="4442" spans="1:24" x14ac:dyDescent="0.25">
      <c r="A4442" s="22">
        <v>42793</v>
      </c>
      <c r="B4442" s="2">
        <v>18</v>
      </c>
      <c r="C4442" s="1"/>
      <c r="D4442" s="1">
        <v>12.5</v>
      </c>
      <c r="E4442" s="3" t="s">
        <v>8</v>
      </c>
      <c r="F4442" s="2">
        <v>3.2</v>
      </c>
      <c r="G4442" s="1">
        <v>25</v>
      </c>
      <c r="H4442" s="1">
        <v>5</v>
      </c>
      <c r="I4442" s="1">
        <v>0</v>
      </c>
      <c r="J4442" s="2"/>
      <c r="K4442" s="2">
        <v>5.6</v>
      </c>
      <c r="L4442" s="1">
        <v>1.016</v>
      </c>
      <c r="M4442" s="1">
        <v>6.2</v>
      </c>
      <c r="O4442" s="1">
        <v>0</v>
      </c>
      <c r="P4442" s="1">
        <v>3.7</v>
      </c>
      <c r="Q4442" s="1">
        <v>0.2</v>
      </c>
      <c r="R4442" s="1">
        <v>13.4</v>
      </c>
      <c r="X4442" s="1"/>
    </row>
    <row r="4443" spans="1:24" x14ac:dyDescent="0.25">
      <c r="A4443" s="22">
        <v>42794</v>
      </c>
      <c r="B4443" s="2">
        <v>28</v>
      </c>
      <c r="C4443" s="1"/>
      <c r="D4443" s="1">
        <v>24.5</v>
      </c>
      <c r="E4443" s="3">
        <v>43.4</v>
      </c>
      <c r="F4443" s="2">
        <v>16</v>
      </c>
      <c r="G4443" s="1">
        <v>5.5</v>
      </c>
      <c r="H4443" s="1">
        <v>21.3</v>
      </c>
      <c r="I4443" s="2">
        <v>18.899999999999999</v>
      </c>
      <c r="J4443" s="1">
        <v>137.6</v>
      </c>
      <c r="K4443" s="1">
        <v>24.6</v>
      </c>
      <c r="L4443" s="1">
        <v>9.3979999999999997</v>
      </c>
      <c r="M4443" s="1">
        <v>28.1</v>
      </c>
      <c r="O4443" s="1">
        <v>0</v>
      </c>
      <c r="P4443" s="1">
        <v>17.3</v>
      </c>
      <c r="Q4443" s="1">
        <v>1.5</v>
      </c>
      <c r="R4443" s="1">
        <v>6.1</v>
      </c>
      <c r="X4443" s="1"/>
    </row>
    <row r="4444" spans="1:24" x14ac:dyDescent="0.25">
      <c r="A4444" s="22">
        <v>42795</v>
      </c>
      <c r="B4444" s="2">
        <v>6.2</v>
      </c>
      <c r="C4444" s="1">
        <v>6.3</v>
      </c>
      <c r="D4444" s="1">
        <v>10</v>
      </c>
      <c r="E4444" s="3" t="s">
        <v>8</v>
      </c>
      <c r="F4444" s="1">
        <v>2.7</v>
      </c>
      <c r="G4444" s="1">
        <v>1</v>
      </c>
      <c r="H4444" s="1">
        <v>2.2999999999999998</v>
      </c>
      <c r="I4444" s="2">
        <v>4.3</v>
      </c>
      <c r="J4444" s="1"/>
      <c r="K4444" s="2">
        <v>10.3</v>
      </c>
      <c r="L4444" s="1">
        <v>3.556</v>
      </c>
      <c r="M4444" s="1">
        <v>5</v>
      </c>
      <c r="O4444" s="1">
        <v>6.8579999999999997</v>
      </c>
      <c r="P4444" s="1">
        <v>3.5</v>
      </c>
      <c r="Q4444" s="1">
        <v>0.3</v>
      </c>
      <c r="R4444" s="1">
        <v>0</v>
      </c>
      <c r="X4444" s="1"/>
    </row>
    <row r="4445" spans="1:24" x14ac:dyDescent="0.25">
      <c r="A4445" s="22">
        <v>42796</v>
      </c>
      <c r="B4445" s="2">
        <v>0.8</v>
      </c>
      <c r="C4445" s="1">
        <v>0.6</v>
      </c>
      <c r="D4445" s="1">
        <v>3.5</v>
      </c>
      <c r="E4445" s="3" t="s">
        <v>8</v>
      </c>
      <c r="F4445" s="1">
        <v>0</v>
      </c>
      <c r="G4445" s="1">
        <v>0.8</v>
      </c>
      <c r="H4445" s="1">
        <v>1.1000000000000001</v>
      </c>
      <c r="I4445" s="2">
        <v>2.1</v>
      </c>
      <c r="J4445" s="2"/>
      <c r="K4445" s="2">
        <v>2.1</v>
      </c>
      <c r="L4445" s="1">
        <v>0.7619999999999999</v>
      </c>
      <c r="M4445" s="1">
        <v>1.2</v>
      </c>
      <c r="O4445" s="1">
        <v>2.54</v>
      </c>
      <c r="P4445" s="1">
        <v>1.5</v>
      </c>
      <c r="Q4445" s="1">
        <v>0.4</v>
      </c>
      <c r="R4445" s="1">
        <v>0</v>
      </c>
      <c r="X4445" s="1"/>
    </row>
    <row r="4446" spans="1:24" x14ac:dyDescent="0.25">
      <c r="A4446" s="22">
        <v>42797</v>
      </c>
      <c r="B4446" s="2">
        <v>0</v>
      </c>
      <c r="C4446" s="1">
        <v>2.1</v>
      </c>
      <c r="D4446" s="1">
        <v>0.7</v>
      </c>
      <c r="E4446" s="3" t="s">
        <v>8</v>
      </c>
      <c r="F4446" s="1">
        <v>0</v>
      </c>
      <c r="G4446" s="1">
        <v>7.3</v>
      </c>
      <c r="H4446" s="1">
        <v>0</v>
      </c>
      <c r="I4446" s="2">
        <v>0</v>
      </c>
      <c r="J4446" s="2"/>
      <c r="K4446" s="2">
        <v>1.4</v>
      </c>
      <c r="L4446" s="1">
        <v>1.778</v>
      </c>
      <c r="M4446" s="1">
        <v>0.9</v>
      </c>
      <c r="O4446" s="1">
        <v>3.302</v>
      </c>
      <c r="P4446" s="1">
        <v>0</v>
      </c>
      <c r="Q4446" s="1">
        <v>20.5</v>
      </c>
      <c r="R4446" s="1">
        <v>0</v>
      </c>
      <c r="X4446" s="1"/>
    </row>
    <row r="4447" spans="1:24" x14ac:dyDescent="0.25">
      <c r="A4447" s="22">
        <v>42798</v>
      </c>
      <c r="B4447" s="2">
        <v>0</v>
      </c>
      <c r="C4447" s="1">
        <v>3.8</v>
      </c>
      <c r="D4447" s="1">
        <v>0</v>
      </c>
      <c r="E4447" s="3" t="s">
        <v>8</v>
      </c>
      <c r="F4447" s="1">
        <v>5.5</v>
      </c>
      <c r="G4447" s="1">
        <v>6.8</v>
      </c>
      <c r="H4447" s="1">
        <v>5.2</v>
      </c>
      <c r="I4447" s="2">
        <v>6</v>
      </c>
      <c r="J4447" s="1"/>
      <c r="K4447" s="2">
        <v>0</v>
      </c>
      <c r="L4447" s="1">
        <v>5.5880000000000001</v>
      </c>
      <c r="M4447" s="1">
        <v>6.9</v>
      </c>
      <c r="O4447" s="1"/>
      <c r="P4447" s="1">
        <v>6.7</v>
      </c>
      <c r="Q4447" s="1">
        <v>6.9</v>
      </c>
      <c r="R4447" s="1">
        <v>14</v>
      </c>
      <c r="X4447" s="1"/>
    </row>
    <row r="4448" spans="1:24" x14ac:dyDescent="0.25">
      <c r="A4448" s="22">
        <v>42799</v>
      </c>
      <c r="B4448" s="2">
        <v>0</v>
      </c>
      <c r="C4448" s="1">
        <v>15.2</v>
      </c>
      <c r="D4448" s="2">
        <v>11.8</v>
      </c>
      <c r="E4448" s="3" t="s">
        <v>8</v>
      </c>
      <c r="F4448" s="2">
        <v>0</v>
      </c>
      <c r="G4448" s="1">
        <v>14.6</v>
      </c>
      <c r="H4448" s="1">
        <v>6.7</v>
      </c>
      <c r="I4448" s="2">
        <v>5.6</v>
      </c>
      <c r="J4448" s="2"/>
      <c r="K4448" s="2">
        <v>0</v>
      </c>
      <c r="L4448" s="1">
        <v>3.8099999999999996</v>
      </c>
      <c r="M4448" s="1">
        <v>8.3000000000000007</v>
      </c>
      <c r="O4448" s="1"/>
      <c r="P4448" s="1">
        <v>5.3</v>
      </c>
      <c r="Q4448" s="1">
        <v>9.6999999999999993</v>
      </c>
      <c r="R4448" s="1">
        <v>4.5</v>
      </c>
      <c r="X4448" s="1"/>
    </row>
    <row r="4449" spans="1:24" x14ac:dyDescent="0.25">
      <c r="A4449" s="22">
        <v>42800</v>
      </c>
      <c r="B4449" s="2">
        <v>0</v>
      </c>
      <c r="C4449" s="1">
        <v>10.3</v>
      </c>
      <c r="D4449" s="2">
        <v>12.2</v>
      </c>
      <c r="E4449" s="3" t="s">
        <v>8</v>
      </c>
      <c r="F4449" s="2">
        <v>17</v>
      </c>
      <c r="G4449" s="1">
        <v>10.9</v>
      </c>
      <c r="H4449" s="1">
        <v>11.3</v>
      </c>
      <c r="I4449" s="2">
        <v>0</v>
      </c>
      <c r="J4449" s="2"/>
      <c r="K4449" s="2">
        <v>18.3</v>
      </c>
      <c r="L4449" s="1">
        <v>3.8099999999999996</v>
      </c>
      <c r="M4449" s="1">
        <v>19.2</v>
      </c>
      <c r="O4449" s="1">
        <v>22.352</v>
      </c>
      <c r="P4449" s="1">
        <v>5.4</v>
      </c>
      <c r="Q4449" s="1">
        <v>2.9</v>
      </c>
      <c r="R4449" s="1">
        <v>9.5</v>
      </c>
      <c r="X4449" s="1"/>
    </row>
    <row r="4450" spans="1:24" x14ac:dyDescent="0.25">
      <c r="A4450" s="22">
        <v>42801</v>
      </c>
      <c r="B4450" s="2">
        <v>8.3000000000000007</v>
      </c>
      <c r="C4450" s="1">
        <v>3.4</v>
      </c>
      <c r="D4450" s="2">
        <v>6.2</v>
      </c>
      <c r="E4450" s="3" t="s">
        <v>8</v>
      </c>
      <c r="F4450" s="2">
        <v>2</v>
      </c>
      <c r="G4450" s="1">
        <v>0</v>
      </c>
      <c r="H4450" s="1">
        <v>2.4</v>
      </c>
      <c r="I4450" s="1">
        <v>19.5</v>
      </c>
      <c r="J4450" s="2"/>
      <c r="K4450" s="2">
        <v>9.8000000000000007</v>
      </c>
      <c r="L4450" s="1">
        <v>13.97</v>
      </c>
      <c r="M4450" s="1">
        <v>3.6</v>
      </c>
      <c r="O4450" s="1">
        <v>10.16</v>
      </c>
      <c r="P4450" s="1">
        <v>3.9</v>
      </c>
      <c r="Q4450" s="1">
        <v>0</v>
      </c>
      <c r="R4450" s="1">
        <v>2.1</v>
      </c>
      <c r="X4450" s="1"/>
    </row>
    <row r="4451" spans="1:24" x14ac:dyDescent="0.25">
      <c r="A4451" s="22">
        <v>42802</v>
      </c>
      <c r="B4451" s="2">
        <v>0</v>
      </c>
      <c r="C4451" s="1">
        <v>3</v>
      </c>
      <c r="D4451" s="1">
        <v>0</v>
      </c>
      <c r="E4451" s="3" t="s">
        <v>8</v>
      </c>
      <c r="F4451" s="1">
        <v>0</v>
      </c>
      <c r="G4451" s="1">
        <v>2.7</v>
      </c>
      <c r="H4451" s="1">
        <v>0</v>
      </c>
      <c r="I4451" s="2">
        <v>0.5</v>
      </c>
      <c r="J4451" s="2"/>
      <c r="K4451" s="2">
        <v>0.4</v>
      </c>
      <c r="L4451" s="1">
        <v>2.2859999999999996</v>
      </c>
      <c r="M4451" s="1">
        <v>0.6</v>
      </c>
      <c r="O4451" s="1">
        <v>0</v>
      </c>
      <c r="P4451" s="1">
        <v>0</v>
      </c>
      <c r="Q4451" s="1">
        <v>2.2000000000000002</v>
      </c>
      <c r="R4451" s="1">
        <v>1.2</v>
      </c>
      <c r="X4451" s="1"/>
    </row>
    <row r="4452" spans="1:24" x14ac:dyDescent="0.25">
      <c r="A4452" s="22">
        <v>42803</v>
      </c>
      <c r="B4452" s="2">
        <v>0</v>
      </c>
      <c r="C4452" s="1">
        <v>2.1</v>
      </c>
      <c r="D4452" s="1">
        <v>7.8</v>
      </c>
      <c r="E4452" s="3" t="s">
        <v>8</v>
      </c>
      <c r="F4452" s="1">
        <v>0</v>
      </c>
      <c r="G4452" s="1">
        <v>0.7</v>
      </c>
      <c r="H4452" s="1">
        <v>0</v>
      </c>
      <c r="I4452" s="2">
        <v>1.3</v>
      </c>
      <c r="J4452" s="2"/>
      <c r="K4452" s="2">
        <v>0.5</v>
      </c>
      <c r="L4452" s="1">
        <v>1.778</v>
      </c>
      <c r="M4452" s="1">
        <v>0.2</v>
      </c>
      <c r="O4452" s="1">
        <v>11.683999999999999</v>
      </c>
      <c r="P4452" s="1">
        <v>1.8</v>
      </c>
      <c r="Q4452" s="1">
        <v>0</v>
      </c>
      <c r="R4452" s="1">
        <v>0</v>
      </c>
      <c r="X4452" s="1"/>
    </row>
    <row r="4453" spans="1:24" x14ac:dyDescent="0.25">
      <c r="A4453" s="22">
        <v>42804</v>
      </c>
      <c r="B4453" s="2">
        <v>0</v>
      </c>
      <c r="C4453" s="30" t="s">
        <v>9</v>
      </c>
      <c r="D4453" s="1">
        <v>0</v>
      </c>
      <c r="E4453" s="3" t="s">
        <v>8</v>
      </c>
      <c r="F4453" s="1">
        <v>0</v>
      </c>
      <c r="G4453" s="1">
        <v>4</v>
      </c>
      <c r="H4453" s="1">
        <v>0</v>
      </c>
      <c r="I4453" s="2">
        <v>0</v>
      </c>
      <c r="J4453" s="2"/>
      <c r="K4453" s="2">
        <v>0.8</v>
      </c>
      <c r="L4453" s="1">
        <v>3.302</v>
      </c>
      <c r="M4453" s="1">
        <v>0</v>
      </c>
      <c r="O4453" s="1">
        <v>0</v>
      </c>
      <c r="P4453" s="1">
        <v>0</v>
      </c>
      <c r="Q4453" s="1">
        <v>0</v>
      </c>
      <c r="R4453" s="1">
        <v>0</v>
      </c>
      <c r="X4453" s="1"/>
    </row>
    <row r="4454" spans="1:24" x14ac:dyDescent="0.25">
      <c r="A4454" s="22">
        <v>42805</v>
      </c>
      <c r="B4454" s="2">
        <v>0</v>
      </c>
      <c r="C4454" s="1">
        <v>3.6</v>
      </c>
      <c r="D4454" s="1">
        <v>7</v>
      </c>
      <c r="E4454" s="3" t="s">
        <v>8</v>
      </c>
      <c r="F4454" s="1">
        <v>0</v>
      </c>
      <c r="G4454" s="1">
        <v>1.7</v>
      </c>
      <c r="H4454" s="1">
        <v>0</v>
      </c>
      <c r="I4454" s="2">
        <v>1.2</v>
      </c>
      <c r="J4454" s="2"/>
      <c r="K4454" s="2">
        <v>2.6</v>
      </c>
      <c r="L4454" s="1">
        <v>1.016</v>
      </c>
      <c r="M4454" s="1">
        <v>1.3</v>
      </c>
      <c r="O4454" s="1"/>
      <c r="P4454" s="1">
        <v>0.6</v>
      </c>
      <c r="Q4454" s="1">
        <v>0.9</v>
      </c>
      <c r="R4454" s="1">
        <v>0</v>
      </c>
      <c r="X4454" s="1"/>
    </row>
    <row r="4455" spans="1:24" x14ac:dyDescent="0.25">
      <c r="A4455" s="22">
        <v>42806</v>
      </c>
      <c r="B4455" s="2">
        <v>0</v>
      </c>
      <c r="C4455" s="1">
        <v>6.1</v>
      </c>
      <c r="D4455" s="1">
        <v>5.8</v>
      </c>
      <c r="E4455" s="3" t="s">
        <v>8</v>
      </c>
      <c r="F4455" s="1">
        <v>0</v>
      </c>
      <c r="G4455" s="1">
        <v>2.8</v>
      </c>
      <c r="H4455" s="1">
        <v>3.7</v>
      </c>
      <c r="I4455" s="2">
        <v>1.3</v>
      </c>
      <c r="J4455" s="1"/>
      <c r="K4455" s="2">
        <v>7.3</v>
      </c>
      <c r="L4455" s="1">
        <v>0</v>
      </c>
      <c r="M4455" s="1">
        <v>5.5</v>
      </c>
      <c r="O4455" s="1"/>
      <c r="P4455" s="1">
        <v>2.4</v>
      </c>
      <c r="Q4455" s="1">
        <v>1.6</v>
      </c>
      <c r="R4455" s="1">
        <v>2.8</v>
      </c>
      <c r="X4455" s="1"/>
    </row>
    <row r="4456" spans="1:24" x14ac:dyDescent="0.25">
      <c r="A4456" s="22">
        <v>42807</v>
      </c>
      <c r="B4456" s="2">
        <v>0</v>
      </c>
      <c r="C4456" s="1">
        <v>3.9</v>
      </c>
      <c r="D4456" s="1">
        <v>2.8</v>
      </c>
      <c r="E4456" s="3" t="s">
        <v>8</v>
      </c>
      <c r="F4456" s="1">
        <v>0</v>
      </c>
      <c r="G4456" s="2">
        <v>3.7</v>
      </c>
      <c r="H4456" s="1">
        <v>0</v>
      </c>
      <c r="I4456" s="2">
        <v>1.2</v>
      </c>
      <c r="J4456" s="1"/>
      <c r="K4456" s="2">
        <v>0</v>
      </c>
      <c r="L4456" s="1">
        <v>1.016</v>
      </c>
      <c r="M4456" s="1">
        <v>0</v>
      </c>
      <c r="O4456" s="1">
        <v>8.8899999999999988</v>
      </c>
      <c r="P4456" s="1">
        <v>0</v>
      </c>
      <c r="Q4456" s="1">
        <v>1.1000000000000001</v>
      </c>
      <c r="R4456" s="1">
        <v>0.6</v>
      </c>
      <c r="X4456" s="1"/>
    </row>
    <row r="4457" spans="1:24" x14ac:dyDescent="0.25">
      <c r="A4457" s="22">
        <v>42808</v>
      </c>
      <c r="B4457" s="2">
        <v>0</v>
      </c>
      <c r="C4457" s="1">
        <v>2.5</v>
      </c>
      <c r="D4457" s="1">
        <v>2.2999999999999998</v>
      </c>
      <c r="E4457" s="3" t="s">
        <v>8</v>
      </c>
      <c r="F4457" s="1">
        <v>0</v>
      </c>
      <c r="G4457" s="2">
        <v>18.600000000000001</v>
      </c>
      <c r="H4457" s="1">
        <v>0</v>
      </c>
      <c r="I4457" s="2">
        <v>3.1</v>
      </c>
      <c r="J4457" s="1"/>
      <c r="K4457" s="2">
        <v>4.2</v>
      </c>
      <c r="L4457" s="1">
        <v>4.8259999999999996</v>
      </c>
      <c r="M4457" s="1">
        <v>0</v>
      </c>
      <c r="O4457" s="1">
        <v>5.5880000000000001</v>
      </c>
      <c r="P4457" s="1">
        <v>1.5</v>
      </c>
      <c r="Q4457" s="1">
        <v>15.7</v>
      </c>
      <c r="R4457" s="1">
        <v>13.4</v>
      </c>
      <c r="X4457" s="1"/>
    </row>
    <row r="4458" spans="1:24" x14ac:dyDescent="0.25">
      <c r="A4458" s="22">
        <v>42809</v>
      </c>
      <c r="B4458" s="2">
        <v>0</v>
      </c>
      <c r="C4458" s="1">
        <v>5.5</v>
      </c>
      <c r="D4458" s="1">
        <v>7.7</v>
      </c>
      <c r="E4458" s="3" t="s">
        <v>8</v>
      </c>
      <c r="F4458" s="1">
        <v>19.5</v>
      </c>
      <c r="G4458" s="2">
        <v>0.7</v>
      </c>
      <c r="H4458" s="1">
        <v>10.7</v>
      </c>
      <c r="I4458" s="2">
        <v>17.600000000000001</v>
      </c>
      <c r="J4458" s="2"/>
      <c r="K4458" s="2">
        <v>0</v>
      </c>
      <c r="L4458" s="1">
        <v>7.3659999999999988</v>
      </c>
      <c r="M4458" s="1">
        <v>20.5</v>
      </c>
      <c r="O4458" s="1">
        <v>14.224</v>
      </c>
      <c r="P4458" s="1">
        <v>8</v>
      </c>
      <c r="Q4458" s="1">
        <v>3.5</v>
      </c>
      <c r="R4458" s="1">
        <v>4.7</v>
      </c>
      <c r="X4458" s="1"/>
    </row>
    <row r="4459" spans="1:24" x14ac:dyDescent="0.25">
      <c r="A4459" s="22">
        <v>42810</v>
      </c>
      <c r="B4459" s="2">
        <v>27.9</v>
      </c>
      <c r="C4459" s="1">
        <v>4.0999999999999996</v>
      </c>
      <c r="D4459" s="1">
        <v>6.3</v>
      </c>
      <c r="E4459" s="3">
        <v>26.8</v>
      </c>
      <c r="F4459" s="1">
        <v>0</v>
      </c>
      <c r="G4459" s="2">
        <v>7</v>
      </c>
      <c r="H4459" s="1">
        <v>2.2999999999999998</v>
      </c>
      <c r="I4459" s="1">
        <v>0</v>
      </c>
      <c r="J4459" s="2"/>
      <c r="K4459" s="2">
        <v>30.8</v>
      </c>
      <c r="L4459" s="1">
        <v>3.302</v>
      </c>
      <c r="M4459" s="1">
        <v>0.9</v>
      </c>
      <c r="O4459" s="1">
        <v>7.1120000000000001</v>
      </c>
      <c r="P4459" s="1">
        <v>2.5</v>
      </c>
      <c r="Q4459" s="1">
        <v>13.2</v>
      </c>
      <c r="R4459" s="1">
        <v>13.7</v>
      </c>
      <c r="X4459" s="1"/>
    </row>
    <row r="4460" spans="1:24" x14ac:dyDescent="0.25">
      <c r="A4460" s="22">
        <v>42811</v>
      </c>
      <c r="B4460" s="2">
        <v>0</v>
      </c>
      <c r="C4460" s="1">
        <v>4.4000000000000004</v>
      </c>
      <c r="D4460" s="1">
        <v>5.4</v>
      </c>
      <c r="E4460" s="3" t="s">
        <v>8</v>
      </c>
      <c r="F4460" s="1">
        <v>0</v>
      </c>
      <c r="G4460" s="1">
        <v>3.5</v>
      </c>
      <c r="H4460" s="1">
        <v>3.2</v>
      </c>
      <c r="I4460" s="2">
        <v>4</v>
      </c>
      <c r="J4460" s="2"/>
      <c r="K4460" s="2">
        <v>10.5</v>
      </c>
      <c r="L4460" s="1">
        <v>2.2859999999999996</v>
      </c>
      <c r="M4460" s="1">
        <v>3.6</v>
      </c>
      <c r="O4460" s="1">
        <v>3.0479999999999996</v>
      </c>
      <c r="P4460" s="1">
        <v>1.2</v>
      </c>
      <c r="Q4460" s="1">
        <v>3.2</v>
      </c>
      <c r="R4460" s="1">
        <v>4.0999999999999996</v>
      </c>
      <c r="X4460" s="1"/>
    </row>
    <row r="4461" spans="1:24" x14ac:dyDescent="0.25">
      <c r="A4461" s="22">
        <v>42812</v>
      </c>
      <c r="B4461" s="2">
        <v>0</v>
      </c>
      <c r="C4461" s="1">
        <v>2.5</v>
      </c>
      <c r="D4461" s="2">
        <v>3.1</v>
      </c>
      <c r="E4461" s="3" t="s">
        <v>8</v>
      </c>
      <c r="F4461" s="2">
        <v>0</v>
      </c>
      <c r="G4461" s="1">
        <v>3.7</v>
      </c>
      <c r="H4461" s="1">
        <v>0</v>
      </c>
      <c r="I4461" s="2">
        <v>0</v>
      </c>
      <c r="J4461" s="1"/>
      <c r="K4461" s="2">
        <v>0</v>
      </c>
      <c r="L4461" s="1">
        <v>2.032</v>
      </c>
      <c r="M4461" s="1">
        <v>1</v>
      </c>
      <c r="O4461" s="1"/>
      <c r="P4461" s="1">
        <v>0.6</v>
      </c>
      <c r="Q4461" s="1">
        <v>4.9000000000000004</v>
      </c>
      <c r="R4461" s="1">
        <v>0</v>
      </c>
      <c r="X4461" s="1"/>
    </row>
    <row r="4462" spans="1:24" x14ac:dyDescent="0.25">
      <c r="A4462" s="22">
        <v>42813</v>
      </c>
      <c r="B4462" s="2">
        <v>0</v>
      </c>
      <c r="C4462" s="1">
        <v>6.1</v>
      </c>
      <c r="D4462" s="1">
        <v>5.5</v>
      </c>
      <c r="E4462" s="3" t="s">
        <v>8</v>
      </c>
      <c r="F4462" s="1">
        <v>0</v>
      </c>
      <c r="G4462" s="1">
        <v>0</v>
      </c>
      <c r="H4462" s="1">
        <v>0</v>
      </c>
      <c r="I4462" s="2">
        <v>0</v>
      </c>
      <c r="J4462" s="1"/>
      <c r="K4462" s="1">
        <v>0</v>
      </c>
      <c r="L4462" s="1">
        <v>0</v>
      </c>
      <c r="M4462" s="1">
        <v>0.1</v>
      </c>
      <c r="O4462" s="1"/>
      <c r="P4462" s="1">
        <v>0</v>
      </c>
      <c r="Q4462" s="1">
        <v>0</v>
      </c>
      <c r="R4462" s="1">
        <v>0</v>
      </c>
      <c r="X4462" s="1"/>
    </row>
    <row r="4463" spans="1:24" x14ac:dyDescent="0.25">
      <c r="A4463" s="22">
        <v>42814</v>
      </c>
      <c r="B4463" s="2">
        <v>0</v>
      </c>
      <c r="C4463" s="1">
        <v>2.8</v>
      </c>
      <c r="D4463" s="1">
        <v>0</v>
      </c>
      <c r="E4463" s="3" t="s">
        <v>8</v>
      </c>
      <c r="F4463" s="1">
        <v>0</v>
      </c>
      <c r="G4463" s="1">
        <v>0.7</v>
      </c>
      <c r="H4463" s="1">
        <v>0</v>
      </c>
      <c r="I4463" s="2">
        <v>0</v>
      </c>
      <c r="J4463" s="2"/>
      <c r="K4463" s="2">
        <v>5</v>
      </c>
      <c r="L4463" s="1">
        <v>0</v>
      </c>
      <c r="M4463" s="1">
        <v>0</v>
      </c>
      <c r="O4463" s="1">
        <v>4.8259999999999996</v>
      </c>
      <c r="P4463" s="1">
        <v>0</v>
      </c>
      <c r="Q4463" s="1">
        <v>3.4</v>
      </c>
      <c r="R4463" s="1">
        <v>4.0999999999999996</v>
      </c>
      <c r="X4463" s="1"/>
    </row>
    <row r="4464" spans="1:24" x14ac:dyDescent="0.25">
      <c r="A4464" s="22">
        <v>42815</v>
      </c>
      <c r="B4464" s="2">
        <v>0</v>
      </c>
      <c r="C4464" s="1">
        <v>11.3</v>
      </c>
      <c r="D4464" s="1">
        <v>11</v>
      </c>
      <c r="E4464" s="3" t="s">
        <v>8</v>
      </c>
      <c r="F4464" s="1">
        <v>8.8000000000000007</v>
      </c>
      <c r="G4464" s="1">
        <v>3.5</v>
      </c>
      <c r="H4464" s="1">
        <v>5</v>
      </c>
      <c r="I4464" s="2">
        <v>7.6</v>
      </c>
      <c r="J4464" s="1"/>
      <c r="K4464" s="1">
        <v>2.5</v>
      </c>
      <c r="L4464" s="1">
        <v>7.1120000000000001</v>
      </c>
      <c r="M4464" s="1">
        <v>3.1</v>
      </c>
      <c r="O4464" s="1">
        <v>9.6519999999999992</v>
      </c>
      <c r="P4464" s="1">
        <v>9.3000000000000007</v>
      </c>
      <c r="Q4464" s="1">
        <v>0.8</v>
      </c>
      <c r="R4464" s="1">
        <v>0.2</v>
      </c>
      <c r="X4464" s="1"/>
    </row>
    <row r="4465" spans="1:24" x14ac:dyDescent="0.25">
      <c r="A4465" s="22">
        <v>42816</v>
      </c>
      <c r="B4465" s="2">
        <v>0</v>
      </c>
      <c r="C4465" s="1">
        <v>0.5</v>
      </c>
      <c r="D4465" s="2">
        <v>2.9</v>
      </c>
      <c r="E4465" s="3" t="s">
        <v>8</v>
      </c>
      <c r="F4465" s="1">
        <v>0</v>
      </c>
      <c r="G4465" s="1">
        <v>0.6</v>
      </c>
      <c r="H4465" s="1">
        <v>0</v>
      </c>
      <c r="I4465" s="2">
        <v>0</v>
      </c>
      <c r="J4465" s="1"/>
      <c r="K4465" s="1">
        <v>1.1000000000000001</v>
      </c>
      <c r="L4465" s="1">
        <v>0</v>
      </c>
      <c r="M4465" s="1">
        <v>1.6</v>
      </c>
      <c r="O4465" s="1">
        <v>0</v>
      </c>
      <c r="P4465" s="1">
        <v>0</v>
      </c>
      <c r="Q4465" s="1">
        <v>0</v>
      </c>
      <c r="R4465" s="1">
        <v>0</v>
      </c>
      <c r="X4465" s="1"/>
    </row>
    <row r="4466" spans="1:24" x14ac:dyDescent="0.25">
      <c r="A4466" s="22">
        <v>42817</v>
      </c>
      <c r="B4466" s="2">
        <v>0</v>
      </c>
      <c r="C4466" s="1">
        <v>0</v>
      </c>
      <c r="D4466" s="2">
        <v>0</v>
      </c>
      <c r="E4466" s="3" t="s">
        <v>8</v>
      </c>
      <c r="F4466" s="1">
        <v>0</v>
      </c>
      <c r="G4466" s="1">
        <v>0.5</v>
      </c>
      <c r="H4466" s="1">
        <v>1.9</v>
      </c>
      <c r="I4466" s="1">
        <v>1.6</v>
      </c>
      <c r="J4466" s="1"/>
      <c r="K4466" s="1">
        <v>1.7</v>
      </c>
      <c r="L4466" s="1">
        <v>0</v>
      </c>
      <c r="M4466" s="1">
        <v>0.8</v>
      </c>
      <c r="O4466" s="1">
        <v>0</v>
      </c>
      <c r="P4466" s="1">
        <v>0.6</v>
      </c>
      <c r="Q4466" s="1">
        <v>0</v>
      </c>
      <c r="R4466" s="1">
        <v>0</v>
      </c>
      <c r="X4466" s="1"/>
    </row>
    <row r="4467" spans="1:24" x14ac:dyDescent="0.25">
      <c r="A4467" s="22">
        <v>42818</v>
      </c>
      <c r="B4467" s="2">
        <v>0</v>
      </c>
      <c r="C4467" s="1">
        <v>0</v>
      </c>
      <c r="D4467" s="2"/>
      <c r="E4467" s="3" t="s">
        <v>8</v>
      </c>
      <c r="F4467" s="1">
        <v>0</v>
      </c>
      <c r="G4467" s="1">
        <v>0.7</v>
      </c>
      <c r="H4467" s="1">
        <v>0</v>
      </c>
      <c r="I4467" s="2">
        <v>0</v>
      </c>
      <c r="J4467" s="1"/>
      <c r="K4467" s="1">
        <v>1</v>
      </c>
      <c r="L4467" s="1">
        <v>0</v>
      </c>
      <c r="M4467" s="1">
        <v>0.3</v>
      </c>
      <c r="O4467" s="1">
        <v>0</v>
      </c>
      <c r="P4467" s="1">
        <v>0</v>
      </c>
      <c r="Q4467" s="1">
        <v>1.2</v>
      </c>
      <c r="R4467" s="1">
        <v>0</v>
      </c>
      <c r="X4467" s="1"/>
    </row>
    <row r="4468" spans="1:24" x14ac:dyDescent="0.25">
      <c r="A4468" s="22">
        <v>42819</v>
      </c>
      <c r="B4468" s="2">
        <v>0</v>
      </c>
      <c r="C4468" s="30" t="s">
        <v>9</v>
      </c>
      <c r="D4468" s="2"/>
      <c r="E4468" s="3" t="s">
        <v>8</v>
      </c>
      <c r="F4468" s="2">
        <v>0</v>
      </c>
      <c r="G4468" s="1">
        <v>2.6</v>
      </c>
      <c r="H4468" s="1">
        <v>1</v>
      </c>
      <c r="I4468" s="1">
        <v>0</v>
      </c>
      <c r="J4468" s="2"/>
      <c r="K4468" s="2">
        <v>0.9</v>
      </c>
      <c r="L4468" s="1">
        <v>0</v>
      </c>
      <c r="M4468" s="1">
        <v>0.6</v>
      </c>
      <c r="O4468" s="1"/>
      <c r="P4468" s="1">
        <v>1.6</v>
      </c>
      <c r="Q4468" s="1">
        <v>0.2</v>
      </c>
      <c r="R4468" s="1">
        <v>0</v>
      </c>
      <c r="X4468" s="1"/>
    </row>
    <row r="4469" spans="1:24" x14ac:dyDescent="0.25">
      <c r="A4469" s="22">
        <v>42820</v>
      </c>
      <c r="B4469" s="2">
        <v>0</v>
      </c>
      <c r="C4469" s="30" t="s">
        <v>9</v>
      </c>
      <c r="D4469" s="1">
        <v>0</v>
      </c>
      <c r="E4469" s="3" t="s">
        <v>8</v>
      </c>
      <c r="F4469" s="2">
        <v>0</v>
      </c>
      <c r="G4469" s="1">
        <v>2.7</v>
      </c>
      <c r="H4469" s="1">
        <v>4</v>
      </c>
      <c r="I4469" s="1">
        <v>1</v>
      </c>
      <c r="J4469" s="1"/>
      <c r="K4469" s="2">
        <v>12.1</v>
      </c>
      <c r="L4469" s="1">
        <v>3.0479999999999996</v>
      </c>
      <c r="M4469" s="1">
        <v>1.3</v>
      </c>
      <c r="O4469" s="1"/>
      <c r="P4469" s="1">
        <v>3</v>
      </c>
      <c r="Q4469" s="1">
        <v>0</v>
      </c>
      <c r="R4469" s="1">
        <v>0</v>
      </c>
      <c r="X4469" s="1"/>
    </row>
    <row r="4470" spans="1:24" x14ac:dyDescent="0.25">
      <c r="A4470" s="22">
        <v>42821</v>
      </c>
      <c r="B4470" s="2">
        <v>0</v>
      </c>
      <c r="C4470" s="1">
        <v>0</v>
      </c>
      <c r="D4470" s="1">
        <v>5</v>
      </c>
      <c r="E4470" s="3" t="s">
        <v>8</v>
      </c>
      <c r="F4470" s="2">
        <v>0</v>
      </c>
      <c r="G4470" s="1">
        <v>2.7</v>
      </c>
      <c r="H4470" s="1">
        <v>0</v>
      </c>
      <c r="I4470" s="1">
        <v>2.2000000000000002</v>
      </c>
      <c r="J4470" s="2"/>
      <c r="K4470" s="2">
        <v>0.9</v>
      </c>
      <c r="L4470" s="1">
        <v>0</v>
      </c>
      <c r="M4470" s="1">
        <v>6.5</v>
      </c>
      <c r="O4470" s="1">
        <v>1.5239999999999998</v>
      </c>
      <c r="P4470" s="1">
        <v>0</v>
      </c>
      <c r="Q4470" s="1">
        <v>0</v>
      </c>
      <c r="R4470" s="1">
        <v>0</v>
      </c>
      <c r="X4470" s="1"/>
    </row>
    <row r="4471" spans="1:24" x14ac:dyDescent="0.25">
      <c r="A4471" s="22">
        <v>42822</v>
      </c>
      <c r="B4471" s="2">
        <v>14.5</v>
      </c>
      <c r="C4471" s="1">
        <v>0</v>
      </c>
      <c r="D4471" s="1">
        <v>0</v>
      </c>
      <c r="E4471" s="3" t="s">
        <v>8</v>
      </c>
      <c r="F4471" s="2">
        <v>0</v>
      </c>
      <c r="G4471" s="1">
        <v>0.1</v>
      </c>
      <c r="H4471" s="1">
        <v>1.4</v>
      </c>
      <c r="I4471" s="1">
        <v>0</v>
      </c>
      <c r="J4471" s="1"/>
      <c r="K4471" s="2">
        <v>0.1</v>
      </c>
      <c r="L4471" s="1">
        <v>0</v>
      </c>
      <c r="M4471" s="1">
        <v>0.8</v>
      </c>
      <c r="O4471" s="1">
        <v>0</v>
      </c>
      <c r="P4471" s="1">
        <v>0</v>
      </c>
      <c r="Q4471" s="1">
        <v>1.6</v>
      </c>
      <c r="R4471" s="1">
        <v>0</v>
      </c>
      <c r="X4471" s="1"/>
    </row>
    <row r="4472" spans="1:24" x14ac:dyDescent="0.25">
      <c r="A4472" s="22">
        <v>42823</v>
      </c>
      <c r="B4472" s="2"/>
      <c r="C4472" s="1">
        <v>0</v>
      </c>
      <c r="D4472" s="1">
        <v>0</v>
      </c>
      <c r="E4472" s="3">
        <v>64.2</v>
      </c>
      <c r="F4472" s="2">
        <v>0</v>
      </c>
      <c r="G4472" s="1"/>
      <c r="H4472" s="1"/>
      <c r="I4472" s="1">
        <v>0.9</v>
      </c>
      <c r="J4472" s="1"/>
      <c r="K4472" s="2">
        <v>0</v>
      </c>
      <c r="L4472" s="1">
        <v>0</v>
      </c>
      <c r="M4472" s="1">
        <v>0.4</v>
      </c>
      <c r="O4472" s="1">
        <v>0</v>
      </c>
      <c r="P4472" s="1">
        <v>0</v>
      </c>
      <c r="Q4472" s="1">
        <v>0</v>
      </c>
      <c r="R4472" s="1">
        <v>0</v>
      </c>
      <c r="X4472" s="1"/>
    </row>
    <row r="4473" spans="1:24" x14ac:dyDescent="0.25">
      <c r="A4473" s="22">
        <v>42824</v>
      </c>
      <c r="B4473" s="2"/>
      <c r="C4473" s="1">
        <v>0</v>
      </c>
      <c r="D4473" s="1">
        <v>0</v>
      </c>
      <c r="E4473" s="3"/>
      <c r="F4473" s="2"/>
      <c r="G4473" s="1"/>
      <c r="H4473" s="1"/>
      <c r="I4473" s="1"/>
      <c r="J4473" s="1"/>
      <c r="K4473" s="2">
        <v>0.8</v>
      </c>
      <c r="L4473" s="1"/>
      <c r="M4473" s="1"/>
      <c r="O4473" s="1"/>
      <c r="P4473" s="1"/>
      <c r="Q4473" s="1">
        <v>0</v>
      </c>
      <c r="R4473" s="1">
        <v>0</v>
      </c>
      <c r="X4473" s="1"/>
    </row>
    <row r="4474" spans="1:24" x14ac:dyDescent="0.25">
      <c r="A4474" s="22">
        <v>42825</v>
      </c>
      <c r="B4474" s="2"/>
      <c r="C4474" s="1"/>
      <c r="D4474" s="1"/>
      <c r="E4474" s="3"/>
      <c r="F4474" s="2"/>
      <c r="G4474" s="1"/>
      <c r="H4474" s="1"/>
      <c r="I4474" s="2"/>
      <c r="J4474" s="1"/>
      <c r="K4474" s="1"/>
      <c r="L4474" s="1"/>
      <c r="M4474" s="1"/>
      <c r="O4474" s="1"/>
      <c r="P4474" s="1"/>
      <c r="Q4474" s="1">
        <v>0</v>
      </c>
      <c r="R4474" s="1"/>
      <c r="X4474" s="1"/>
    </row>
    <row r="4475" spans="1:24" x14ac:dyDescent="0.25">
      <c r="A4475" s="22">
        <v>42826</v>
      </c>
      <c r="B4475" s="2"/>
      <c r="C4475" s="30" t="s">
        <v>9</v>
      </c>
      <c r="D4475" s="1">
        <v>0</v>
      </c>
      <c r="E4475" s="3" t="s">
        <v>8</v>
      </c>
      <c r="F4475" s="1"/>
      <c r="G4475" s="1">
        <v>0</v>
      </c>
      <c r="H4475" s="1"/>
      <c r="I4475" s="2"/>
      <c r="J4475" s="1">
        <v>16.600000000000001</v>
      </c>
      <c r="K4475" s="2">
        <v>0</v>
      </c>
      <c r="L4475" s="1">
        <v>0</v>
      </c>
      <c r="M4475" s="1"/>
      <c r="O4475" s="1"/>
      <c r="P4475" s="1">
        <v>0</v>
      </c>
      <c r="Q4475" s="1">
        <v>0</v>
      </c>
      <c r="R4475" s="1"/>
      <c r="X4475" s="1"/>
    </row>
    <row r="4476" spans="1:24" x14ac:dyDescent="0.25">
      <c r="A4476" s="22">
        <v>42827</v>
      </c>
      <c r="B4476" s="2"/>
      <c r="C4476" s="30" t="s">
        <v>9</v>
      </c>
      <c r="D4476" s="1">
        <v>0</v>
      </c>
      <c r="E4476" s="3" t="s">
        <v>8</v>
      </c>
      <c r="F4476" s="1"/>
      <c r="G4476" s="1">
        <v>1.6</v>
      </c>
      <c r="H4476" s="1"/>
      <c r="I4476" s="2"/>
      <c r="J4476" s="2">
        <v>11.8</v>
      </c>
      <c r="K4476" s="2">
        <v>0</v>
      </c>
      <c r="L4476" s="1">
        <v>3.556</v>
      </c>
      <c r="M4476" s="1"/>
      <c r="O4476" s="1"/>
      <c r="P4476" s="1">
        <v>1.2</v>
      </c>
      <c r="Q4476" s="1">
        <v>0.6</v>
      </c>
      <c r="R4476" s="1">
        <v>0.3</v>
      </c>
      <c r="X4476" s="1"/>
    </row>
    <row r="4477" spans="1:24" x14ac:dyDescent="0.25">
      <c r="A4477" s="22">
        <v>42828</v>
      </c>
      <c r="B4477" s="2"/>
      <c r="C4477" s="1">
        <v>0.6</v>
      </c>
      <c r="D4477" s="1">
        <v>0</v>
      </c>
      <c r="E4477" s="3" t="s">
        <v>8</v>
      </c>
      <c r="F4477" s="1"/>
      <c r="G4477" s="1">
        <v>0</v>
      </c>
      <c r="H4477" s="1"/>
      <c r="I4477" s="2"/>
      <c r="J4477" s="2">
        <v>0</v>
      </c>
      <c r="K4477" s="2">
        <v>3.2</v>
      </c>
      <c r="L4477" s="1">
        <v>0</v>
      </c>
      <c r="M4477" s="1"/>
      <c r="O4477" s="1"/>
      <c r="P4477" s="1">
        <v>0</v>
      </c>
      <c r="Q4477" s="1">
        <v>0</v>
      </c>
      <c r="R4477" s="1"/>
      <c r="X4477" s="1"/>
    </row>
    <row r="4478" spans="1:24" x14ac:dyDescent="0.25">
      <c r="A4478" s="22">
        <v>42829</v>
      </c>
      <c r="B4478" s="2"/>
      <c r="C4478" s="30" t="s">
        <v>9</v>
      </c>
      <c r="D4478" s="1">
        <v>0</v>
      </c>
      <c r="E4478" s="3" t="s">
        <v>8</v>
      </c>
      <c r="F4478" s="1"/>
      <c r="G4478" s="1">
        <v>0</v>
      </c>
      <c r="H4478" s="1"/>
      <c r="I4478" s="2"/>
      <c r="J4478" s="1">
        <v>2.5</v>
      </c>
      <c r="K4478" s="2">
        <v>0</v>
      </c>
      <c r="L4478" s="1">
        <v>0</v>
      </c>
      <c r="M4478" s="1"/>
      <c r="O4478" s="1"/>
      <c r="P4478" s="1">
        <v>0</v>
      </c>
      <c r="Q4478" s="1">
        <v>0</v>
      </c>
      <c r="R4478" s="1"/>
      <c r="X4478" s="1"/>
    </row>
    <row r="4479" spans="1:24" x14ac:dyDescent="0.25">
      <c r="A4479" s="22">
        <v>42830</v>
      </c>
      <c r="B4479" s="2"/>
      <c r="C4479" s="1">
        <v>0</v>
      </c>
      <c r="D4479" s="2">
        <v>0</v>
      </c>
      <c r="E4479" s="3" t="s">
        <v>8</v>
      </c>
      <c r="F4479" s="2"/>
      <c r="G4479" s="1">
        <v>1.4</v>
      </c>
      <c r="H4479" s="1"/>
      <c r="I4479" s="2"/>
      <c r="J4479" s="2">
        <v>1.4</v>
      </c>
      <c r="K4479" s="2">
        <v>0</v>
      </c>
      <c r="L4479" s="1">
        <v>1.016</v>
      </c>
      <c r="M4479" s="1"/>
      <c r="O4479" s="1"/>
      <c r="P4479" s="1">
        <v>3.3</v>
      </c>
      <c r="Q4479" s="1">
        <v>0</v>
      </c>
      <c r="R4479" s="1"/>
      <c r="X4479" s="1"/>
    </row>
    <row r="4480" spans="1:24" x14ac:dyDescent="0.25">
      <c r="A4480" s="22">
        <v>42831</v>
      </c>
      <c r="B4480" s="2"/>
      <c r="C4480" s="1">
        <v>0</v>
      </c>
      <c r="D4480" s="2">
        <v>0</v>
      </c>
      <c r="E4480" s="3" t="s">
        <v>8</v>
      </c>
      <c r="F4480" s="2"/>
      <c r="G4480" s="1">
        <v>2.6</v>
      </c>
      <c r="H4480" s="1"/>
      <c r="I4480" s="2"/>
      <c r="J4480" s="30" t="s">
        <v>9</v>
      </c>
      <c r="K4480" s="2">
        <v>2.2000000000000002</v>
      </c>
      <c r="L4480" s="1">
        <v>0</v>
      </c>
      <c r="M4480" s="1">
        <v>0.2</v>
      </c>
      <c r="O4480" s="1"/>
      <c r="P4480" s="1">
        <v>0</v>
      </c>
      <c r="Q4480" s="1">
        <v>0</v>
      </c>
      <c r="R4480" s="1"/>
      <c r="X4480" s="1"/>
    </row>
    <row r="4481" spans="1:24" x14ac:dyDescent="0.25">
      <c r="A4481" s="22">
        <v>42832</v>
      </c>
      <c r="B4481" s="2"/>
      <c r="C4481" s="1">
        <v>0</v>
      </c>
      <c r="D4481" s="2">
        <v>0</v>
      </c>
      <c r="E4481" s="3" t="s">
        <v>8</v>
      </c>
      <c r="F4481" s="2"/>
      <c r="G4481" s="1">
        <v>4.4000000000000004</v>
      </c>
      <c r="H4481" s="1"/>
      <c r="I4481" s="1"/>
      <c r="J4481" s="2">
        <v>8.4</v>
      </c>
      <c r="K4481" s="2">
        <v>0</v>
      </c>
      <c r="L4481" s="1">
        <v>0</v>
      </c>
      <c r="M4481" s="1"/>
      <c r="O4481" s="1"/>
      <c r="P4481" s="1">
        <v>0</v>
      </c>
      <c r="Q4481" s="1">
        <v>6.2</v>
      </c>
      <c r="R4481" s="1"/>
      <c r="X4481" s="1"/>
    </row>
    <row r="4482" spans="1:24" x14ac:dyDescent="0.25">
      <c r="A4482" s="22">
        <v>42833</v>
      </c>
      <c r="B4482" s="2"/>
      <c r="C4482" s="1">
        <v>9</v>
      </c>
      <c r="D4482" s="1">
        <v>6.6</v>
      </c>
      <c r="E4482" s="3" t="s">
        <v>8</v>
      </c>
      <c r="F4482" s="1"/>
      <c r="G4482" s="1">
        <v>2</v>
      </c>
      <c r="H4482" s="1"/>
      <c r="I4482" s="2">
        <v>5.2</v>
      </c>
      <c r="J4482" s="2">
        <v>14.2</v>
      </c>
      <c r="K4482" s="2">
        <v>0.3</v>
      </c>
      <c r="L4482" s="1">
        <v>0</v>
      </c>
      <c r="M4482" s="1">
        <v>5.8</v>
      </c>
      <c r="O4482" s="1"/>
      <c r="P4482" s="1">
        <v>0</v>
      </c>
      <c r="Q4482" s="1">
        <v>0</v>
      </c>
      <c r="R4482" s="1"/>
      <c r="X4482" s="1">
        <v>4.07</v>
      </c>
    </row>
    <row r="4483" spans="1:24" x14ac:dyDescent="0.25">
      <c r="A4483" s="22">
        <v>42834</v>
      </c>
      <c r="B4483" s="2"/>
      <c r="C4483" s="1">
        <v>0</v>
      </c>
      <c r="D4483" s="1">
        <v>0</v>
      </c>
      <c r="E4483" s="3" t="s">
        <v>8</v>
      </c>
      <c r="F4483" s="1"/>
      <c r="G4483" s="1">
        <v>2.2999999999999998</v>
      </c>
      <c r="H4483" s="1"/>
      <c r="I4483" s="2"/>
      <c r="J4483" s="2">
        <v>0.1</v>
      </c>
      <c r="K4483" s="2">
        <v>0</v>
      </c>
      <c r="L4483" s="1">
        <v>0</v>
      </c>
      <c r="M4483" s="1"/>
      <c r="O4483" s="1"/>
      <c r="P4483" s="1">
        <v>0</v>
      </c>
      <c r="Q4483" s="1">
        <v>0.3</v>
      </c>
      <c r="R4483" s="1"/>
      <c r="X4483" s="1"/>
    </row>
    <row r="4484" spans="1:24" x14ac:dyDescent="0.25">
      <c r="A4484" s="22">
        <v>42835</v>
      </c>
      <c r="B4484" s="2"/>
      <c r="C4484" s="1">
        <v>0</v>
      </c>
      <c r="D4484" s="1">
        <v>0.6</v>
      </c>
      <c r="E4484" s="3" t="s">
        <v>8</v>
      </c>
      <c r="F4484" s="1"/>
      <c r="G4484" s="1">
        <v>0</v>
      </c>
      <c r="H4484" s="1"/>
      <c r="I4484" s="2">
        <v>6.4</v>
      </c>
      <c r="J4484" s="2">
        <v>6.5</v>
      </c>
      <c r="K4484" s="2">
        <v>0</v>
      </c>
      <c r="L4484" s="1">
        <v>12.953999999999999</v>
      </c>
      <c r="M4484" s="1">
        <v>2.5</v>
      </c>
      <c r="O4484" s="1"/>
      <c r="P4484" s="1">
        <v>5.6</v>
      </c>
      <c r="Q4484" s="1">
        <v>0</v>
      </c>
      <c r="R4484" s="1"/>
      <c r="X4484" s="1"/>
    </row>
    <row r="4485" spans="1:24" x14ac:dyDescent="0.25">
      <c r="A4485" s="22">
        <v>42836</v>
      </c>
      <c r="B4485" s="2">
        <v>21</v>
      </c>
      <c r="C4485" s="1">
        <v>0</v>
      </c>
      <c r="D4485" s="1">
        <v>1</v>
      </c>
      <c r="E4485" s="3" t="s">
        <v>8</v>
      </c>
      <c r="F4485" s="1"/>
      <c r="G4485" s="1">
        <v>1</v>
      </c>
      <c r="H4485" s="1"/>
      <c r="I4485" s="2"/>
      <c r="J4485" s="30" t="s">
        <v>9</v>
      </c>
      <c r="K4485" s="2">
        <v>1.7</v>
      </c>
      <c r="L4485" s="1">
        <v>0</v>
      </c>
      <c r="M4485" s="1"/>
      <c r="O4485" s="1"/>
      <c r="P4485" s="1">
        <v>2.2000000000000002</v>
      </c>
      <c r="Q4485" s="1">
        <v>0.8</v>
      </c>
      <c r="R4485" s="1">
        <v>1.2</v>
      </c>
      <c r="X4485" s="1"/>
    </row>
    <row r="4486" spans="1:24" x14ac:dyDescent="0.25">
      <c r="A4486" s="22">
        <v>42837</v>
      </c>
      <c r="B4486" s="2"/>
      <c r="C4486" s="1">
        <v>0</v>
      </c>
      <c r="D4486" s="1">
        <v>1.6</v>
      </c>
      <c r="E4486" s="3" t="s">
        <v>8</v>
      </c>
      <c r="F4486" s="1"/>
      <c r="G4486" s="1">
        <v>0</v>
      </c>
      <c r="H4486" s="1"/>
      <c r="I4486" s="2"/>
      <c r="J4486" s="30" t="s">
        <v>9</v>
      </c>
      <c r="K4486" s="2">
        <v>7.9</v>
      </c>
      <c r="L4486" s="1">
        <v>0</v>
      </c>
      <c r="M4486" s="1">
        <v>1.6</v>
      </c>
      <c r="O4486" s="1"/>
      <c r="P4486" s="1">
        <v>0</v>
      </c>
      <c r="Q4486" s="1">
        <v>0</v>
      </c>
      <c r="R4486" s="1"/>
      <c r="X4486" s="1"/>
    </row>
    <row r="4487" spans="1:24" x14ac:dyDescent="0.25">
      <c r="A4487" s="22">
        <v>42838</v>
      </c>
      <c r="B4487" s="2"/>
      <c r="C4487" s="1">
        <v>0</v>
      </c>
      <c r="D4487" s="1">
        <v>0</v>
      </c>
      <c r="E4487" s="3" t="s">
        <v>8</v>
      </c>
      <c r="F4487" s="1">
        <v>94.9</v>
      </c>
      <c r="G4487" s="2">
        <v>0</v>
      </c>
      <c r="H4487" s="1"/>
      <c r="I4487" s="2"/>
      <c r="J4487" s="1">
        <v>8.5</v>
      </c>
      <c r="K4487" s="2">
        <v>0</v>
      </c>
      <c r="L4487" s="1">
        <v>0</v>
      </c>
      <c r="M4487" s="1"/>
      <c r="O4487" s="1"/>
      <c r="P4487" s="1">
        <v>0</v>
      </c>
      <c r="Q4487" s="1">
        <v>0</v>
      </c>
      <c r="R4487" s="1"/>
      <c r="X4487" s="1"/>
    </row>
    <row r="4488" spans="1:24" x14ac:dyDescent="0.25">
      <c r="A4488" s="22">
        <v>42839</v>
      </c>
      <c r="B4488" s="2"/>
      <c r="C4488" s="1">
        <v>0</v>
      </c>
      <c r="D4488" s="1">
        <v>0</v>
      </c>
      <c r="E4488" s="3" t="s">
        <v>8</v>
      </c>
      <c r="F4488" s="1"/>
      <c r="G4488" s="2">
        <v>0</v>
      </c>
      <c r="H4488" s="1"/>
      <c r="I4488" s="2"/>
      <c r="J4488" s="1">
        <v>4.0999999999999996</v>
      </c>
      <c r="K4488" s="2">
        <v>0</v>
      </c>
      <c r="L4488" s="1">
        <v>0</v>
      </c>
      <c r="M4488" s="1"/>
      <c r="O4488" s="1"/>
      <c r="P4488" s="1">
        <v>0</v>
      </c>
      <c r="Q4488" s="1">
        <v>1</v>
      </c>
      <c r="R4488" s="1"/>
      <c r="X4488" s="1"/>
    </row>
    <row r="4489" spans="1:24" x14ac:dyDescent="0.25">
      <c r="A4489" s="22">
        <v>42840</v>
      </c>
      <c r="B4489" s="2"/>
      <c r="C4489" s="1">
        <v>0</v>
      </c>
      <c r="D4489" s="1">
        <v>1.2</v>
      </c>
      <c r="E4489" s="3" t="s">
        <v>8</v>
      </c>
      <c r="F4489" s="1"/>
      <c r="G4489" s="2">
        <v>0.2</v>
      </c>
      <c r="H4489" s="1"/>
      <c r="I4489" s="2"/>
      <c r="J4489" s="2">
        <v>8.6</v>
      </c>
      <c r="K4489" s="2">
        <v>0</v>
      </c>
      <c r="L4489" s="1">
        <v>2.794</v>
      </c>
      <c r="M4489" s="1">
        <v>0.1</v>
      </c>
      <c r="O4489" s="1"/>
      <c r="P4489" s="1">
        <v>0</v>
      </c>
      <c r="Q4489" s="1">
        <v>0</v>
      </c>
      <c r="R4489" s="1"/>
      <c r="X4489" s="1"/>
    </row>
    <row r="4490" spans="1:24" x14ac:dyDescent="0.25">
      <c r="A4490" s="22">
        <v>42841</v>
      </c>
      <c r="B4490" s="2"/>
      <c r="C4490" s="1">
        <v>0</v>
      </c>
      <c r="D4490" s="1">
        <v>0</v>
      </c>
      <c r="E4490" s="3">
        <v>10.1</v>
      </c>
      <c r="F4490" s="1"/>
      <c r="G4490" s="2">
        <v>0</v>
      </c>
      <c r="H4490" s="1"/>
      <c r="I4490" s="1"/>
      <c r="J4490" s="2">
        <v>1</v>
      </c>
      <c r="K4490" s="2">
        <v>2</v>
      </c>
      <c r="L4490" s="1">
        <v>1.016</v>
      </c>
      <c r="M4490" s="1"/>
      <c r="O4490" s="1"/>
      <c r="P4490" s="1">
        <v>0</v>
      </c>
      <c r="Q4490" s="1">
        <v>0</v>
      </c>
      <c r="R4490" s="1"/>
      <c r="X4490" s="1"/>
    </row>
    <row r="4491" spans="1:24" x14ac:dyDescent="0.25">
      <c r="A4491" s="22">
        <v>42842</v>
      </c>
      <c r="B4491" s="2"/>
      <c r="C4491" s="1">
        <v>0</v>
      </c>
      <c r="D4491" s="1">
        <v>0</v>
      </c>
      <c r="E4491" s="3" t="s">
        <v>8</v>
      </c>
      <c r="F4491" s="1"/>
      <c r="G4491" s="1">
        <v>0</v>
      </c>
      <c r="H4491" s="1"/>
      <c r="I4491" s="2"/>
      <c r="J4491" s="2">
        <v>0.9</v>
      </c>
      <c r="K4491" s="2">
        <v>0</v>
      </c>
      <c r="L4491" s="1">
        <v>0</v>
      </c>
      <c r="M4491" s="1"/>
      <c r="O4491" s="1"/>
      <c r="P4491" s="1">
        <v>0</v>
      </c>
      <c r="Q4491" s="1">
        <v>0</v>
      </c>
      <c r="R4491" s="1"/>
      <c r="X4491" s="1"/>
    </row>
    <row r="4492" spans="1:24" x14ac:dyDescent="0.25">
      <c r="A4492" s="22">
        <v>42843</v>
      </c>
      <c r="B4492" s="2"/>
      <c r="C4492" s="1">
        <v>0</v>
      </c>
      <c r="D4492" s="1">
        <v>0</v>
      </c>
      <c r="E4492" s="3" t="s">
        <v>8</v>
      </c>
      <c r="F4492" s="2"/>
      <c r="G4492" s="1">
        <v>0</v>
      </c>
      <c r="H4492" s="1"/>
      <c r="I4492" s="2"/>
      <c r="J4492" s="1">
        <v>16.5</v>
      </c>
      <c r="K4492" s="2">
        <v>0</v>
      </c>
      <c r="L4492" s="1">
        <v>0</v>
      </c>
      <c r="M4492" s="1"/>
      <c r="O4492" s="1"/>
      <c r="P4492" s="1">
        <v>0.6</v>
      </c>
      <c r="Q4492" s="1">
        <v>0</v>
      </c>
      <c r="R4492" s="1"/>
      <c r="X4492" s="1"/>
    </row>
    <row r="4493" spans="1:24" x14ac:dyDescent="0.25">
      <c r="A4493" s="22">
        <v>42844</v>
      </c>
      <c r="B4493" s="2"/>
      <c r="C4493" s="1">
        <v>0</v>
      </c>
      <c r="D4493" s="1">
        <v>0</v>
      </c>
      <c r="E4493" s="3" t="s">
        <v>8</v>
      </c>
      <c r="F4493" s="1"/>
      <c r="G4493" s="1">
        <v>0</v>
      </c>
      <c r="H4493" s="1"/>
      <c r="I4493" s="2"/>
      <c r="J4493" s="1">
        <v>3.5</v>
      </c>
      <c r="K4493" s="1">
        <v>0</v>
      </c>
      <c r="L4493" s="1">
        <v>0</v>
      </c>
      <c r="M4493" s="1"/>
      <c r="O4493" s="1"/>
      <c r="P4493" s="1">
        <v>0</v>
      </c>
      <c r="Q4493" s="1">
        <v>13.1</v>
      </c>
      <c r="R4493" s="1"/>
      <c r="X4493" s="1"/>
    </row>
    <row r="4494" spans="1:24" x14ac:dyDescent="0.25">
      <c r="A4494" s="22">
        <v>42845</v>
      </c>
      <c r="B4494" s="2"/>
      <c r="C4494" s="1">
        <v>0</v>
      </c>
      <c r="D4494" s="1">
        <v>0</v>
      </c>
      <c r="E4494" s="3" t="s">
        <v>8</v>
      </c>
      <c r="F4494" s="1"/>
      <c r="G4494" s="1">
        <v>0</v>
      </c>
      <c r="H4494" s="1"/>
      <c r="I4494" s="2"/>
      <c r="J4494" s="30" t="s">
        <v>9</v>
      </c>
      <c r="K4494" s="2">
        <v>0</v>
      </c>
      <c r="L4494" s="1">
        <v>2.2859999999999996</v>
      </c>
      <c r="M4494" s="1"/>
      <c r="O4494" s="1"/>
      <c r="P4494" s="1">
        <v>0.7</v>
      </c>
      <c r="Q4494" s="1">
        <v>86.4</v>
      </c>
      <c r="R4494" s="1">
        <v>8.8000000000000007</v>
      </c>
      <c r="X4494" s="1">
        <v>8.1300000000000008</v>
      </c>
    </row>
    <row r="4495" spans="1:24" x14ac:dyDescent="0.25">
      <c r="A4495" s="22">
        <v>42846</v>
      </c>
      <c r="B4495" s="2"/>
      <c r="C4495" s="1">
        <v>0</v>
      </c>
      <c r="D4495" s="1">
        <v>2.5</v>
      </c>
      <c r="E4495" s="3" t="s">
        <v>8</v>
      </c>
      <c r="F4495" s="1">
        <v>3.2</v>
      </c>
      <c r="G4495" s="1">
        <v>0.4</v>
      </c>
      <c r="H4495" s="1"/>
      <c r="I4495" s="2"/>
      <c r="J4495" s="30" t="s">
        <v>9</v>
      </c>
      <c r="K4495" s="1">
        <v>6.8</v>
      </c>
      <c r="L4495" s="1">
        <v>60.959999999999994</v>
      </c>
      <c r="M4495" s="1">
        <v>0.8</v>
      </c>
      <c r="O4495" s="1"/>
      <c r="P4495" s="1">
        <v>52.1</v>
      </c>
      <c r="Q4495" s="1">
        <v>0</v>
      </c>
      <c r="R4495" s="1">
        <v>62.7</v>
      </c>
      <c r="X4495" s="1"/>
    </row>
    <row r="4496" spans="1:24" x14ac:dyDescent="0.25">
      <c r="A4496" s="22">
        <v>42847</v>
      </c>
      <c r="B4496" s="2"/>
      <c r="C4496" s="1">
        <v>12.3</v>
      </c>
      <c r="D4496" s="1">
        <v>10.6</v>
      </c>
      <c r="E4496" s="3" t="s">
        <v>8</v>
      </c>
      <c r="F4496" s="1">
        <v>22</v>
      </c>
      <c r="G4496" s="1">
        <v>0</v>
      </c>
      <c r="H4496" s="1">
        <v>20.3</v>
      </c>
      <c r="I4496" s="2"/>
      <c r="J4496" s="1">
        <v>3.2</v>
      </c>
      <c r="K4496" s="1">
        <v>3.5</v>
      </c>
      <c r="L4496" s="1">
        <v>4.0640000000000001</v>
      </c>
      <c r="M4496" s="1">
        <v>7</v>
      </c>
      <c r="O4496" s="1"/>
      <c r="P4496" s="1">
        <v>3.5</v>
      </c>
      <c r="Q4496" s="1">
        <v>0.3</v>
      </c>
      <c r="R4496" s="1"/>
      <c r="X4496" s="1">
        <v>25.4</v>
      </c>
    </row>
    <row r="4497" spans="1:24" x14ac:dyDescent="0.25">
      <c r="A4497" s="22">
        <v>42848</v>
      </c>
      <c r="B4497" s="2"/>
      <c r="C4497" s="1">
        <v>0</v>
      </c>
      <c r="D4497" s="1">
        <v>0</v>
      </c>
      <c r="E4497" s="3" t="s">
        <v>8</v>
      </c>
      <c r="F4497" s="1"/>
      <c r="G4497" s="1">
        <v>0</v>
      </c>
      <c r="H4497" s="1"/>
      <c r="I4497" s="1"/>
      <c r="J4497" s="30" t="s">
        <v>9</v>
      </c>
      <c r="K4497" s="1">
        <v>3.8</v>
      </c>
      <c r="L4497" s="1">
        <v>0</v>
      </c>
      <c r="M4497" s="1"/>
      <c r="O4497" s="1"/>
      <c r="P4497" s="1">
        <v>0</v>
      </c>
      <c r="Q4497" s="1">
        <v>0</v>
      </c>
      <c r="R4497" s="1"/>
      <c r="X4497" s="1"/>
    </row>
    <row r="4498" spans="1:24" x14ac:dyDescent="0.25">
      <c r="A4498" s="22">
        <v>42849</v>
      </c>
      <c r="B4498" s="2"/>
      <c r="C4498" s="1">
        <v>0</v>
      </c>
      <c r="D4498" s="1">
        <v>0</v>
      </c>
      <c r="E4498" s="3" t="s">
        <v>8</v>
      </c>
      <c r="F4498" s="1"/>
      <c r="G4498" s="1">
        <v>1.1000000000000001</v>
      </c>
      <c r="H4498" s="1"/>
      <c r="I4498" s="2"/>
      <c r="J4498" s="30" t="s">
        <v>9</v>
      </c>
      <c r="K4498" s="1"/>
      <c r="L4498" s="1">
        <v>0</v>
      </c>
      <c r="M4498" s="1"/>
      <c r="O4498" s="1"/>
      <c r="P4498" s="1">
        <v>0.7</v>
      </c>
      <c r="Q4498" s="1">
        <v>0.9</v>
      </c>
      <c r="R4498" s="1"/>
      <c r="X4498" s="1"/>
    </row>
    <row r="4499" spans="1:24" x14ac:dyDescent="0.25">
      <c r="A4499" s="22">
        <v>42850</v>
      </c>
      <c r="B4499" s="2"/>
      <c r="C4499" s="1">
        <v>0</v>
      </c>
      <c r="D4499" s="1">
        <v>0</v>
      </c>
      <c r="E4499" s="3" t="s">
        <v>8</v>
      </c>
      <c r="F4499" s="2"/>
      <c r="G4499" s="1">
        <v>0</v>
      </c>
      <c r="H4499" s="1"/>
      <c r="I4499" s="1"/>
      <c r="J4499" s="30" t="s">
        <v>9</v>
      </c>
      <c r="K4499" s="2"/>
      <c r="L4499" s="1">
        <v>0</v>
      </c>
      <c r="M4499" s="1"/>
      <c r="O4499" s="1"/>
      <c r="P4499" s="1">
        <v>0</v>
      </c>
      <c r="Q4499" s="1">
        <v>0</v>
      </c>
      <c r="R4499" s="1">
        <v>5.5</v>
      </c>
      <c r="X4499" s="1"/>
    </row>
    <row r="4500" spans="1:24" x14ac:dyDescent="0.25">
      <c r="A4500" s="22">
        <v>42851</v>
      </c>
      <c r="B4500" s="2"/>
      <c r="C4500" s="1">
        <v>0</v>
      </c>
      <c r="D4500" s="1">
        <v>0</v>
      </c>
      <c r="E4500" s="3" t="s">
        <v>8</v>
      </c>
      <c r="F4500" s="2"/>
      <c r="G4500" s="1">
        <v>0</v>
      </c>
      <c r="H4500" s="1"/>
      <c r="I4500" s="1"/>
      <c r="J4500" s="1">
        <v>5.5</v>
      </c>
      <c r="K4500" s="2"/>
      <c r="L4500" s="1">
        <v>0</v>
      </c>
      <c r="M4500" s="1"/>
      <c r="O4500" s="1"/>
      <c r="P4500" s="1">
        <v>1.9</v>
      </c>
      <c r="Q4500" s="1">
        <v>0.9</v>
      </c>
      <c r="R4500" s="1"/>
      <c r="X4500" s="1"/>
    </row>
    <row r="4501" spans="1:24" x14ac:dyDescent="0.25">
      <c r="A4501" s="22">
        <v>42852</v>
      </c>
      <c r="B4501" s="2"/>
      <c r="C4501" s="1">
        <v>0</v>
      </c>
      <c r="D4501" s="1">
        <v>0</v>
      </c>
      <c r="E4501" s="3" t="s">
        <v>8</v>
      </c>
      <c r="F4501" s="2"/>
      <c r="G4501" s="1">
        <v>0.4</v>
      </c>
      <c r="H4501" s="1">
        <v>1</v>
      </c>
      <c r="I4501" s="1"/>
      <c r="J4501" s="2">
        <v>3.3</v>
      </c>
      <c r="K4501" s="2"/>
      <c r="L4501" s="1">
        <v>0</v>
      </c>
      <c r="M4501" s="1"/>
      <c r="O4501" s="1"/>
      <c r="P4501" s="1">
        <v>0</v>
      </c>
      <c r="Q4501" s="1">
        <v>0</v>
      </c>
      <c r="R4501" s="1"/>
      <c r="X4501" s="1"/>
    </row>
    <row r="4502" spans="1:24" x14ac:dyDescent="0.25">
      <c r="A4502" s="22">
        <v>42853</v>
      </c>
      <c r="B4502" s="2"/>
      <c r="C4502" s="1">
        <v>0</v>
      </c>
      <c r="D4502" s="1">
        <v>0</v>
      </c>
      <c r="E4502" s="3" t="s">
        <v>8</v>
      </c>
      <c r="F4502" s="2"/>
      <c r="G4502" s="1">
        <v>0</v>
      </c>
      <c r="H4502" s="1"/>
      <c r="I4502" s="1"/>
      <c r="J4502" s="1">
        <v>21.9</v>
      </c>
      <c r="K4502" s="2">
        <v>2</v>
      </c>
      <c r="L4502" s="1">
        <v>3.556</v>
      </c>
      <c r="M4502" s="1">
        <v>0.2</v>
      </c>
      <c r="O4502" s="1"/>
      <c r="P4502" s="1">
        <v>0.9</v>
      </c>
      <c r="Q4502" s="1">
        <v>0.3</v>
      </c>
      <c r="R4502" s="1"/>
      <c r="X4502" s="1"/>
    </row>
    <row r="4503" spans="1:24" x14ac:dyDescent="0.25">
      <c r="A4503" s="22">
        <v>42854</v>
      </c>
      <c r="B4503" s="2"/>
      <c r="C4503" s="1">
        <v>0</v>
      </c>
      <c r="D4503" s="1">
        <v>0</v>
      </c>
      <c r="E4503" s="3"/>
      <c r="F4503" s="2"/>
      <c r="G4503" s="1">
        <v>0</v>
      </c>
      <c r="H4503" s="1"/>
      <c r="I4503" s="1"/>
      <c r="J4503" s="1">
        <v>0</v>
      </c>
      <c r="K4503" s="2"/>
      <c r="L4503" s="1">
        <v>0</v>
      </c>
      <c r="M4503" s="1"/>
      <c r="O4503" s="1"/>
      <c r="P4503" s="1">
        <v>0</v>
      </c>
      <c r="Q4503" s="1">
        <v>0</v>
      </c>
      <c r="R4503" s="1"/>
      <c r="X4503" s="1"/>
    </row>
    <row r="4504" spans="1:24" x14ac:dyDescent="0.25">
      <c r="A4504" s="22">
        <v>42855</v>
      </c>
      <c r="B4504" s="2"/>
      <c r="C4504" s="1">
        <v>0</v>
      </c>
      <c r="D4504" s="1">
        <v>0</v>
      </c>
      <c r="E4504" s="3">
        <v>67.599999999999994</v>
      </c>
      <c r="F4504" s="2"/>
      <c r="G4504" s="1">
        <v>0</v>
      </c>
      <c r="H4504" s="1"/>
      <c r="I4504" s="1"/>
      <c r="J4504" s="1">
        <v>0</v>
      </c>
      <c r="K4504" s="2"/>
      <c r="L4504" s="1">
        <v>0</v>
      </c>
      <c r="M4504" s="1"/>
      <c r="O4504" s="1">
        <v>28.8</v>
      </c>
      <c r="P4504" s="1">
        <v>0</v>
      </c>
      <c r="Q4504" s="1">
        <v>0</v>
      </c>
      <c r="R4504" s="1"/>
      <c r="X4504" s="1"/>
    </row>
    <row r="4505" spans="1:24" x14ac:dyDescent="0.25">
      <c r="A4505" s="22">
        <v>42856</v>
      </c>
      <c r="B4505" s="2"/>
      <c r="C4505" s="1">
        <v>0</v>
      </c>
      <c r="D4505" s="1">
        <v>0</v>
      </c>
      <c r="E4505" s="3" t="s">
        <v>8</v>
      </c>
      <c r="F4505" s="1">
        <v>0</v>
      </c>
      <c r="G4505" s="1">
        <v>0</v>
      </c>
      <c r="H4505" s="1">
        <v>0</v>
      </c>
      <c r="I4505" s="2">
        <v>0</v>
      </c>
      <c r="J4505" s="30" t="s">
        <v>9</v>
      </c>
      <c r="K4505" s="2">
        <v>0</v>
      </c>
      <c r="L4505" s="1">
        <v>0</v>
      </c>
      <c r="M4505" s="1">
        <v>0</v>
      </c>
      <c r="O4505" s="1"/>
      <c r="P4505" s="1">
        <v>0</v>
      </c>
      <c r="Q4505" s="1">
        <v>1</v>
      </c>
      <c r="R4505" s="1">
        <v>0.2</v>
      </c>
      <c r="X4505" s="1">
        <v>0</v>
      </c>
    </row>
    <row r="4506" spans="1:24" x14ac:dyDescent="0.25">
      <c r="A4506" s="22">
        <v>42857</v>
      </c>
      <c r="B4506" s="2"/>
      <c r="C4506" s="1">
        <v>5.7</v>
      </c>
      <c r="D4506" s="1">
        <v>5.8</v>
      </c>
      <c r="E4506" s="3" t="s">
        <v>8</v>
      </c>
      <c r="F4506" s="1">
        <v>0</v>
      </c>
      <c r="G4506" s="1">
        <v>0</v>
      </c>
      <c r="H4506" s="1">
        <v>0</v>
      </c>
      <c r="I4506" s="2">
        <v>0</v>
      </c>
      <c r="J4506" s="2">
        <v>0.5</v>
      </c>
      <c r="K4506" s="2">
        <v>0.5</v>
      </c>
      <c r="L4506" s="1">
        <v>2.794</v>
      </c>
      <c r="M4506" s="1">
        <v>0</v>
      </c>
      <c r="O4506" s="1"/>
      <c r="P4506" s="1">
        <v>0.5</v>
      </c>
      <c r="Q4506" s="1">
        <v>0</v>
      </c>
      <c r="R4506" s="1">
        <v>0</v>
      </c>
      <c r="X4506" s="1">
        <v>0</v>
      </c>
    </row>
    <row r="4507" spans="1:24" x14ac:dyDescent="0.25">
      <c r="A4507" s="22">
        <v>42858</v>
      </c>
      <c r="B4507" s="2"/>
      <c r="C4507" s="30" t="s">
        <v>9</v>
      </c>
      <c r="D4507" s="1">
        <v>1.5</v>
      </c>
      <c r="E4507" s="3" t="s">
        <v>8</v>
      </c>
      <c r="F4507" s="1">
        <v>0</v>
      </c>
      <c r="G4507" s="1">
        <v>0.2</v>
      </c>
      <c r="H4507" s="1">
        <v>0</v>
      </c>
      <c r="I4507" s="2">
        <v>0</v>
      </c>
      <c r="J4507" s="30" t="s">
        <v>9</v>
      </c>
      <c r="K4507" s="2">
        <v>2</v>
      </c>
      <c r="L4507" s="1">
        <v>0</v>
      </c>
      <c r="M4507" s="1">
        <v>0.2</v>
      </c>
      <c r="O4507" s="1"/>
      <c r="P4507" s="1">
        <v>0</v>
      </c>
      <c r="Q4507" s="1">
        <v>0</v>
      </c>
      <c r="R4507" s="1">
        <v>0</v>
      </c>
      <c r="X4507" s="1">
        <v>0</v>
      </c>
    </row>
    <row r="4508" spans="1:24" x14ac:dyDescent="0.25">
      <c r="A4508" s="22">
        <v>42859</v>
      </c>
      <c r="B4508" s="2"/>
      <c r="C4508" s="1">
        <v>0</v>
      </c>
      <c r="D4508" s="1">
        <v>0</v>
      </c>
      <c r="E4508" s="3" t="s">
        <v>8</v>
      </c>
      <c r="F4508" s="1">
        <v>0</v>
      </c>
      <c r="G4508" s="1">
        <v>1.5</v>
      </c>
      <c r="H4508" s="1">
        <v>0</v>
      </c>
      <c r="I4508" s="2">
        <v>0</v>
      </c>
      <c r="J4508" s="1">
        <v>0.4</v>
      </c>
      <c r="K4508" s="2">
        <v>0</v>
      </c>
      <c r="L4508" s="1">
        <v>0</v>
      </c>
      <c r="M4508" s="1">
        <v>0</v>
      </c>
      <c r="O4508" s="1"/>
      <c r="P4508" s="1">
        <v>0</v>
      </c>
      <c r="Q4508" s="1">
        <v>0.6</v>
      </c>
      <c r="R4508" s="1">
        <v>0</v>
      </c>
      <c r="X4508" s="1">
        <v>5.08</v>
      </c>
    </row>
    <row r="4509" spans="1:24" x14ac:dyDescent="0.25">
      <c r="A4509" s="22">
        <v>42860</v>
      </c>
      <c r="B4509" s="2"/>
      <c r="C4509" s="1">
        <v>3.2</v>
      </c>
      <c r="D4509" s="2">
        <v>1.4</v>
      </c>
      <c r="E4509" s="3" t="s">
        <v>8</v>
      </c>
      <c r="F4509" s="2">
        <v>0</v>
      </c>
      <c r="G4509" s="1">
        <v>11</v>
      </c>
      <c r="H4509" s="1">
        <v>0</v>
      </c>
      <c r="I4509" s="2">
        <v>0</v>
      </c>
      <c r="J4509" s="2">
        <v>2.2999999999999998</v>
      </c>
      <c r="K4509" s="2">
        <v>2.8</v>
      </c>
      <c r="L4509" s="1">
        <v>0</v>
      </c>
      <c r="M4509" s="1">
        <v>0</v>
      </c>
      <c r="O4509" s="1"/>
      <c r="P4509" s="1">
        <v>5.2</v>
      </c>
      <c r="Q4509" s="1">
        <v>2.4</v>
      </c>
      <c r="R4509" s="1">
        <v>3.6</v>
      </c>
      <c r="X4509" s="1">
        <v>0</v>
      </c>
    </row>
    <row r="4510" spans="1:24" x14ac:dyDescent="0.25">
      <c r="A4510" s="22">
        <v>42861</v>
      </c>
      <c r="B4510" s="2"/>
      <c r="C4510" s="1">
        <v>0</v>
      </c>
      <c r="D4510" s="2">
        <v>8.3000000000000007</v>
      </c>
      <c r="E4510" s="3" t="s">
        <v>8</v>
      </c>
      <c r="F4510" s="2">
        <v>5.5</v>
      </c>
      <c r="G4510" s="1">
        <v>2.6</v>
      </c>
      <c r="H4510" s="1">
        <v>6.2</v>
      </c>
      <c r="I4510" s="2">
        <v>0</v>
      </c>
      <c r="J4510" s="2">
        <v>13.8</v>
      </c>
      <c r="K4510" s="2">
        <v>14.7</v>
      </c>
      <c r="L4510" s="1">
        <v>0</v>
      </c>
      <c r="M4510" s="1">
        <v>9.6999999999999993</v>
      </c>
      <c r="O4510" s="1"/>
      <c r="P4510" s="1">
        <v>0</v>
      </c>
      <c r="Q4510" s="1">
        <v>0</v>
      </c>
      <c r="R4510" s="1">
        <v>0</v>
      </c>
      <c r="X4510" s="1">
        <v>5.08</v>
      </c>
    </row>
    <row r="4511" spans="1:24" x14ac:dyDescent="0.25">
      <c r="A4511" s="22">
        <v>42862</v>
      </c>
      <c r="B4511" s="2"/>
      <c r="C4511" s="1">
        <v>7.3</v>
      </c>
      <c r="D4511" s="2">
        <v>3</v>
      </c>
      <c r="E4511" s="3" t="s">
        <v>8</v>
      </c>
      <c r="F4511" s="2">
        <v>0</v>
      </c>
      <c r="G4511" s="1">
        <v>11</v>
      </c>
      <c r="H4511" s="1">
        <v>0</v>
      </c>
      <c r="I4511" s="1">
        <v>4.2</v>
      </c>
      <c r="J4511" s="2">
        <v>0.7</v>
      </c>
      <c r="K4511" s="2">
        <v>0</v>
      </c>
      <c r="L4511" s="1">
        <v>0</v>
      </c>
      <c r="M4511" s="1">
        <v>0</v>
      </c>
      <c r="O4511" s="1"/>
      <c r="P4511" s="1">
        <v>0</v>
      </c>
      <c r="Q4511" s="1">
        <v>1</v>
      </c>
      <c r="R4511" s="1">
        <v>0.6</v>
      </c>
      <c r="X4511" s="1">
        <v>12.7</v>
      </c>
    </row>
    <row r="4512" spans="1:24" x14ac:dyDescent="0.25">
      <c r="A4512" s="22">
        <v>42863</v>
      </c>
      <c r="B4512" s="2"/>
      <c r="C4512" s="1">
        <v>0</v>
      </c>
      <c r="D4512" s="1">
        <v>4.5</v>
      </c>
      <c r="E4512" s="3" t="s">
        <v>8</v>
      </c>
      <c r="F4512" s="1">
        <v>8.5</v>
      </c>
      <c r="G4512" s="1">
        <v>12.7</v>
      </c>
      <c r="H4512" s="1">
        <v>0</v>
      </c>
      <c r="I4512" s="2">
        <v>10</v>
      </c>
      <c r="J4512" s="2">
        <v>8.1</v>
      </c>
      <c r="K4512" s="2">
        <v>6</v>
      </c>
      <c r="L4512" s="1">
        <v>2.794</v>
      </c>
      <c r="M4512" s="1">
        <v>11.9</v>
      </c>
      <c r="O4512" s="1"/>
      <c r="P4512" s="1">
        <v>2.6</v>
      </c>
      <c r="Q4512" s="1">
        <v>34.4</v>
      </c>
      <c r="R4512" s="1">
        <v>18.3</v>
      </c>
      <c r="X4512" s="1">
        <f>0.6*25.4</f>
        <v>15.239999999999998</v>
      </c>
    </row>
    <row r="4513" spans="1:24" x14ac:dyDescent="0.25">
      <c r="A4513" s="22">
        <v>42864</v>
      </c>
      <c r="B4513" s="2"/>
      <c r="C4513" s="1">
        <v>154.6</v>
      </c>
      <c r="D4513" s="1">
        <v>92</v>
      </c>
      <c r="E4513" s="3" t="s">
        <v>8</v>
      </c>
      <c r="F4513" s="1">
        <v>4.3</v>
      </c>
      <c r="G4513" s="1">
        <v>2</v>
      </c>
      <c r="H4513" s="1">
        <v>0</v>
      </c>
      <c r="I4513" s="2">
        <v>11.6</v>
      </c>
      <c r="J4513" s="2">
        <v>43.4</v>
      </c>
      <c r="K4513" s="2">
        <v>58.2</v>
      </c>
      <c r="L4513" s="1">
        <v>18.287999999999997</v>
      </c>
      <c r="M4513" s="1">
        <v>14.5</v>
      </c>
      <c r="O4513" s="1"/>
      <c r="P4513" s="1">
        <v>17.399999999999999</v>
      </c>
      <c r="Q4513" s="1">
        <v>2.2999999999999998</v>
      </c>
      <c r="R4513" s="1">
        <v>2.2999999999999998</v>
      </c>
      <c r="X4513" s="1">
        <v>15.239999999999998</v>
      </c>
    </row>
    <row r="4514" spans="1:24" x14ac:dyDescent="0.25">
      <c r="A4514" s="22">
        <v>42865</v>
      </c>
      <c r="B4514" s="2"/>
      <c r="C4514" s="30" t="s">
        <v>9</v>
      </c>
      <c r="D4514" s="1">
        <v>1</v>
      </c>
      <c r="E4514" s="3" t="s">
        <v>8</v>
      </c>
      <c r="F4514" s="1">
        <v>0</v>
      </c>
      <c r="G4514" s="1">
        <v>0</v>
      </c>
      <c r="H4514" s="1">
        <v>0</v>
      </c>
      <c r="I4514" s="2">
        <v>0</v>
      </c>
      <c r="J4514" s="2">
        <v>1.1000000000000001</v>
      </c>
      <c r="K4514" s="2">
        <v>3.4</v>
      </c>
      <c r="L4514" s="1">
        <v>1.016</v>
      </c>
      <c r="M4514" s="1">
        <v>0.2</v>
      </c>
      <c r="O4514" s="1"/>
      <c r="P4514" s="1">
        <v>1</v>
      </c>
      <c r="Q4514" s="1">
        <v>1.2</v>
      </c>
      <c r="R4514" s="1">
        <v>0.4</v>
      </c>
      <c r="X4514" s="1">
        <v>0</v>
      </c>
    </row>
    <row r="4515" spans="1:24" x14ac:dyDescent="0.25">
      <c r="A4515" s="22">
        <v>42866</v>
      </c>
      <c r="B4515" s="2"/>
      <c r="C4515" s="1">
        <v>0</v>
      </c>
      <c r="D4515" s="1">
        <v>0</v>
      </c>
      <c r="E4515" s="3" t="s">
        <v>8</v>
      </c>
      <c r="F4515" s="1">
        <v>0</v>
      </c>
      <c r="G4515" s="1">
        <v>0</v>
      </c>
      <c r="H4515" s="1">
        <v>0</v>
      </c>
      <c r="I4515" s="2">
        <v>0</v>
      </c>
      <c r="J4515" s="30" t="s">
        <v>9</v>
      </c>
      <c r="K4515" s="2">
        <v>0</v>
      </c>
      <c r="L4515" s="1">
        <v>0</v>
      </c>
      <c r="M4515" s="1">
        <v>0</v>
      </c>
      <c r="O4515" s="1"/>
      <c r="P4515" s="1">
        <v>0</v>
      </c>
      <c r="Q4515" s="1">
        <v>0</v>
      </c>
      <c r="R4515" s="1">
        <v>0</v>
      </c>
      <c r="X4515" s="1">
        <v>0</v>
      </c>
    </row>
    <row r="4516" spans="1:24" x14ac:dyDescent="0.25">
      <c r="A4516" s="22">
        <v>42867</v>
      </c>
      <c r="B4516" s="2"/>
      <c r="C4516" s="1">
        <v>0</v>
      </c>
      <c r="D4516" s="1">
        <v>0</v>
      </c>
      <c r="E4516" s="3" t="s">
        <v>8</v>
      </c>
      <c r="F4516" s="1">
        <v>0</v>
      </c>
      <c r="G4516" s="1">
        <v>35.5</v>
      </c>
      <c r="H4516" s="1">
        <v>0</v>
      </c>
      <c r="I4516" s="2">
        <v>0</v>
      </c>
      <c r="J4516" s="30" t="s">
        <v>9</v>
      </c>
      <c r="K4516" s="2">
        <v>0</v>
      </c>
      <c r="L4516" s="1">
        <v>0</v>
      </c>
      <c r="M4516" s="1">
        <v>0</v>
      </c>
      <c r="O4516" s="1"/>
      <c r="P4516" s="1">
        <v>0</v>
      </c>
      <c r="Q4516" s="1">
        <v>29.5</v>
      </c>
      <c r="R4516" s="1">
        <v>25.8</v>
      </c>
      <c r="X4516" s="1">
        <v>0</v>
      </c>
    </row>
    <row r="4517" spans="1:24" x14ac:dyDescent="0.25">
      <c r="A4517" s="22">
        <v>42868</v>
      </c>
      <c r="B4517" s="2"/>
      <c r="C4517" s="1">
        <v>28.1</v>
      </c>
      <c r="D4517" s="1">
        <v>8.5</v>
      </c>
      <c r="E4517" s="3" t="s">
        <v>8</v>
      </c>
      <c r="F4517" s="1">
        <v>46.6</v>
      </c>
      <c r="G4517" s="2">
        <v>9.6999999999999993</v>
      </c>
      <c r="H4517" s="1">
        <v>42.5</v>
      </c>
      <c r="I4517" s="2">
        <v>27.3</v>
      </c>
      <c r="J4517" s="1">
        <v>42.7</v>
      </c>
      <c r="K4517" s="2">
        <v>52.3</v>
      </c>
      <c r="L4517" s="1">
        <v>16.001999999999999</v>
      </c>
      <c r="M4517" s="1">
        <v>38.799999999999997</v>
      </c>
      <c r="O4517" s="1"/>
      <c r="P4517" s="1">
        <v>17.2</v>
      </c>
      <c r="Q4517" s="1">
        <v>10.199999999999999</v>
      </c>
      <c r="R4517" s="1">
        <v>8.9</v>
      </c>
      <c r="X4517" s="1">
        <v>12.7</v>
      </c>
    </row>
    <row r="4518" spans="1:24" x14ac:dyDescent="0.25">
      <c r="A4518" s="22">
        <v>42869</v>
      </c>
      <c r="B4518" s="2"/>
      <c r="C4518" s="1">
        <v>21.7</v>
      </c>
      <c r="D4518" s="1">
        <v>18</v>
      </c>
      <c r="E4518" s="3" t="s">
        <v>8</v>
      </c>
      <c r="F4518" s="1">
        <v>6</v>
      </c>
      <c r="G4518" s="2">
        <v>4.5999999999999996</v>
      </c>
      <c r="H4518" s="1">
        <v>12.4</v>
      </c>
      <c r="I4518" s="2">
        <v>4.5</v>
      </c>
      <c r="J4518" s="1">
        <v>21.4</v>
      </c>
      <c r="K4518" s="2">
        <v>0</v>
      </c>
      <c r="L4518" s="1">
        <v>3.0479999999999996</v>
      </c>
      <c r="M4518" s="1">
        <v>8.4</v>
      </c>
      <c r="O4518" s="1"/>
      <c r="P4518" s="1">
        <v>1.7</v>
      </c>
      <c r="Q4518" s="1">
        <v>2.6</v>
      </c>
      <c r="R4518" s="1">
        <v>0.4</v>
      </c>
      <c r="X4518" s="1">
        <v>12.7</v>
      </c>
    </row>
    <row r="4519" spans="1:24" x14ac:dyDescent="0.25">
      <c r="A4519" s="22">
        <v>42870</v>
      </c>
      <c r="B4519" s="2">
        <v>96.5</v>
      </c>
      <c r="C4519" s="1">
        <v>6.7</v>
      </c>
      <c r="D4519" s="1">
        <v>7.9</v>
      </c>
      <c r="E4519" s="3" t="s">
        <v>8</v>
      </c>
      <c r="F4519" s="1">
        <v>11.4</v>
      </c>
      <c r="G4519" s="2">
        <v>0</v>
      </c>
      <c r="H4519" s="1">
        <v>0</v>
      </c>
      <c r="I4519" s="2">
        <v>1.2</v>
      </c>
      <c r="J4519" s="2">
        <v>2.4</v>
      </c>
      <c r="K4519" s="2">
        <v>10.5</v>
      </c>
      <c r="L4519" s="1">
        <v>2.032</v>
      </c>
      <c r="M4519" s="1">
        <v>4.8</v>
      </c>
      <c r="O4519" s="1"/>
      <c r="P4519" s="1">
        <v>0.7</v>
      </c>
      <c r="Q4519" s="1">
        <v>0</v>
      </c>
      <c r="R4519" s="1">
        <v>0.5</v>
      </c>
      <c r="X4519" s="1">
        <v>24.13</v>
      </c>
    </row>
    <row r="4520" spans="1:24" x14ac:dyDescent="0.25">
      <c r="A4520" s="22">
        <v>42871</v>
      </c>
      <c r="B4520" s="2"/>
      <c r="C4520" s="1">
        <v>0</v>
      </c>
      <c r="D4520" s="1">
        <v>0</v>
      </c>
      <c r="E4520" s="3" t="s">
        <v>8</v>
      </c>
      <c r="F4520" s="1">
        <v>0</v>
      </c>
      <c r="G4520" s="2">
        <v>0</v>
      </c>
      <c r="H4520" s="1">
        <v>0</v>
      </c>
      <c r="I4520" s="1">
        <v>0</v>
      </c>
      <c r="J4520" s="30" t="s">
        <v>9</v>
      </c>
      <c r="K4520" s="2">
        <v>0</v>
      </c>
      <c r="L4520" s="1">
        <v>0</v>
      </c>
      <c r="M4520" s="1">
        <v>0</v>
      </c>
      <c r="O4520" s="1"/>
      <c r="P4520" s="1">
        <v>0</v>
      </c>
      <c r="Q4520" s="1">
        <v>0</v>
      </c>
      <c r="R4520" s="1">
        <v>0</v>
      </c>
      <c r="X4520" s="1">
        <v>22.86</v>
      </c>
    </row>
    <row r="4521" spans="1:24" x14ac:dyDescent="0.25">
      <c r="A4521" s="22">
        <v>42872</v>
      </c>
      <c r="B4521" s="2"/>
      <c r="C4521" s="1">
        <v>0</v>
      </c>
      <c r="D4521" s="1">
        <v>0</v>
      </c>
      <c r="E4521" s="3" t="s">
        <v>8</v>
      </c>
      <c r="F4521" s="1">
        <v>0</v>
      </c>
      <c r="G4521" s="1">
        <v>4.5</v>
      </c>
      <c r="H4521" s="1">
        <v>0</v>
      </c>
      <c r="I4521" s="2">
        <v>0</v>
      </c>
      <c r="J4521" s="30" t="s">
        <v>9</v>
      </c>
      <c r="K4521" s="2">
        <v>0</v>
      </c>
      <c r="L4521" s="1">
        <v>0</v>
      </c>
      <c r="M4521" s="1">
        <v>0</v>
      </c>
      <c r="O4521" s="1"/>
      <c r="P4521" s="1">
        <v>0</v>
      </c>
      <c r="Q4521" s="1">
        <v>0.4</v>
      </c>
      <c r="R4521" s="1">
        <v>0</v>
      </c>
      <c r="X4521" s="1">
        <v>0</v>
      </c>
    </row>
    <row r="4522" spans="1:24" x14ac:dyDescent="0.25">
      <c r="A4522" s="22">
        <v>42873</v>
      </c>
      <c r="B4522" s="2"/>
      <c r="C4522" s="1">
        <v>3</v>
      </c>
      <c r="D4522" s="1">
        <v>5.6</v>
      </c>
      <c r="E4522" s="3" t="s">
        <v>8</v>
      </c>
      <c r="F4522" s="2">
        <v>1.5</v>
      </c>
      <c r="G4522" s="1">
        <v>2.4</v>
      </c>
      <c r="H4522" s="1">
        <v>0</v>
      </c>
      <c r="I4522" s="2">
        <v>4.2</v>
      </c>
      <c r="J4522" s="1">
        <v>3.8</v>
      </c>
      <c r="K4522" s="2">
        <v>5.8</v>
      </c>
      <c r="L4522" s="1">
        <v>2.032</v>
      </c>
      <c r="M4522" s="1">
        <v>2.9</v>
      </c>
      <c r="O4522" s="1"/>
      <c r="P4522" s="1">
        <v>2.1</v>
      </c>
      <c r="Q4522" s="1">
        <v>0</v>
      </c>
      <c r="R4522" s="1">
        <v>0</v>
      </c>
      <c r="X4522" s="1">
        <v>0</v>
      </c>
    </row>
    <row r="4523" spans="1:24" x14ac:dyDescent="0.25">
      <c r="A4523" s="22">
        <v>42874</v>
      </c>
      <c r="B4523" s="2">
        <v>11</v>
      </c>
      <c r="C4523" s="1">
        <v>3.2</v>
      </c>
      <c r="D4523" s="1">
        <v>1</v>
      </c>
      <c r="E4523" s="3" t="s">
        <v>8</v>
      </c>
      <c r="F4523" s="1">
        <v>0</v>
      </c>
      <c r="G4523" s="1">
        <v>6.7</v>
      </c>
      <c r="H4523" s="1">
        <v>0</v>
      </c>
      <c r="I4523" s="2">
        <v>1.3</v>
      </c>
      <c r="J4523" s="1">
        <v>1</v>
      </c>
      <c r="K4523" s="1">
        <v>1</v>
      </c>
      <c r="L4523" s="1">
        <v>6.0959999999999992</v>
      </c>
      <c r="M4523" s="1">
        <v>0.7</v>
      </c>
      <c r="O4523" s="1"/>
      <c r="P4523" s="1">
        <v>0</v>
      </c>
      <c r="Q4523" s="1">
        <v>8.3000000000000007</v>
      </c>
      <c r="R4523" s="1">
        <v>5.6</v>
      </c>
      <c r="X4523" s="1">
        <v>0</v>
      </c>
    </row>
    <row r="4524" spans="1:24" x14ac:dyDescent="0.25">
      <c r="A4524" s="22">
        <v>42875</v>
      </c>
      <c r="B4524" s="2"/>
      <c r="C4524" s="1">
        <v>1.6</v>
      </c>
      <c r="D4524" s="1">
        <v>8.1</v>
      </c>
      <c r="E4524" s="3" t="s">
        <v>8</v>
      </c>
      <c r="F4524" s="1">
        <v>0</v>
      </c>
      <c r="G4524" s="1">
        <v>1</v>
      </c>
      <c r="H4524" s="1">
        <v>6.3</v>
      </c>
      <c r="I4524" s="2">
        <v>1.2</v>
      </c>
      <c r="J4524" s="2">
        <v>4.7</v>
      </c>
      <c r="K4524" s="2">
        <v>6.2</v>
      </c>
      <c r="L4524" s="1">
        <v>22.352</v>
      </c>
      <c r="M4524" s="1">
        <v>5.7</v>
      </c>
      <c r="O4524" s="1"/>
      <c r="P4524" s="1">
        <v>4.3</v>
      </c>
      <c r="Q4524" s="1">
        <v>0.4</v>
      </c>
      <c r="R4524" s="1">
        <v>0</v>
      </c>
      <c r="X4524" s="1">
        <v>5.08</v>
      </c>
    </row>
    <row r="4525" spans="1:24" x14ac:dyDescent="0.25">
      <c r="A4525" s="22">
        <v>42876</v>
      </c>
      <c r="B4525" s="2"/>
      <c r="C4525" s="30" t="s">
        <v>9</v>
      </c>
      <c r="D4525" s="1">
        <v>4.7</v>
      </c>
      <c r="E4525" s="3" t="s">
        <v>8</v>
      </c>
      <c r="F4525" s="1">
        <v>0</v>
      </c>
      <c r="G4525" s="1">
        <v>0</v>
      </c>
      <c r="H4525" s="1">
        <v>0</v>
      </c>
      <c r="I4525" s="2">
        <v>2.2999999999999998</v>
      </c>
      <c r="J4525" s="1">
        <v>1</v>
      </c>
      <c r="K4525" s="1">
        <v>0</v>
      </c>
      <c r="L4525" s="1">
        <v>0</v>
      </c>
      <c r="M4525" s="1">
        <v>0</v>
      </c>
      <c r="O4525" s="1"/>
      <c r="P4525" s="1">
        <v>1.1000000000000001</v>
      </c>
      <c r="Q4525" s="1">
        <v>0</v>
      </c>
      <c r="R4525" s="1">
        <v>0</v>
      </c>
      <c r="X4525" s="1">
        <v>2.54</v>
      </c>
    </row>
    <row r="4526" spans="1:24" x14ac:dyDescent="0.25">
      <c r="A4526" s="22">
        <v>42877</v>
      </c>
      <c r="B4526" s="2"/>
      <c r="C4526" s="1">
        <v>15</v>
      </c>
      <c r="D4526" s="1">
        <v>0</v>
      </c>
      <c r="E4526" s="3" t="s">
        <v>8</v>
      </c>
      <c r="F4526" s="1">
        <v>0</v>
      </c>
      <c r="G4526" s="1">
        <v>1.1000000000000001</v>
      </c>
      <c r="H4526" s="1">
        <v>1</v>
      </c>
      <c r="I4526" s="2">
        <v>1</v>
      </c>
      <c r="J4526" s="1">
        <v>2.1</v>
      </c>
      <c r="K4526" s="1">
        <v>1.2</v>
      </c>
      <c r="L4526" s="1">
        <v>0.50800000000000001</v>
      </c>
      <c r="M4526" s="1">
        <v>0</v>
      </c>
      <c r="O4526" s="1"/>
      <c r="P4526" s="1">
        <v>0</v>
      </c>
      <c r="Q4526" s="1">
        <v>3.1</v>
      </c>
      <c r="R4526" s="1">
        <v>5.6</v>
      </c>
      <c r="X4526" s="1">
        <v>0</v>
      </c>
    </row>
    <row r="4527" spans="1:24" x14ac:dyDescent="0.25">
      <c r="A4527" s="22">
        <v>42878</v>
      </c>
      <c r="B4527" s="2">
        <v>71.599999999999994</v>
      </c>
      <c r="C4527" s="1">
        <v>0</v>
      </c>
      <c r="D4527" s="1">
        <v>8.4</v>
      </c>
      <c r="E4527" s="3" t="s">
        <v>8</v>
      </c>
      <c r="F4527" s="1">
        <v>0</v>
      </c>
      <c r="G4527" s="1">
        <v>5.5</v>
      </c>
      <c r="H4527" s="1">
        <v>4</v>
      </c>
      <c r="I4527" s="1">
        <v>0</v>
      </c>
      <c r="J4527" s="1">
        <v>4.0999999999999996</v>
      </c>
      <c r="K4527" s="1">
        <v>4.4000000000000004</v>
      </c>
      <c r="L4527" s="1">
        <v>5.3339999999999996</v>
      </c>
      <c r="M4527" s="1">
        <v>0.5</v>
      </c>
      <c r="O4527" s="1"/>
      <c r="P4527" s="1">
        <v>2</v>
      </c>
      <c r="Q4527" s="1">
        <v>8.1999999999999993</v>
      </c>
      <c r="R4527" s="1">
        <v>11.8</v>
      </c>
      <c r="X4527" s="1">
        <v>12.7</v>
      </c>
    </row>
    <row r="4528" spans="1:24" x14ac:dyDescent="0.25">
      <c r="A4528" s="22">
        <v>42879</v>
      </c>
      <c r="B4528" s="2"/>
      <c r="C4528" s="1">
        <v>0</v>
      </c>
      <c r="D4528" s="1">
        <v>3.6</v>
      </c>
      <c r="E4528" s="3" t="s">
        <v>8</v>
      </c>
      <c r="F4528" s="1">
        <v>5.4</v>
      </c>
      <c r="G4528" s="1">
        <v>0</v>
      </c>
      <c r="H4528" s="1">
        <v>0</v>
      </c>
      <c r="I4528" s="2">
        <v>1.6</v>
      </c>
      <c r="J4528" s="1">
        <v>3.7</v>
      </c>
      <c r="K4528" s="1">
        <v>4.4000000000000004</v>
      </c>
      <c r="L4528" s="1">
        <v>28.194000000000003</v>
      </c>
      <c r="M4528" s="1">
        <v>5.7</v>
      </c>
      <c r="O4528" s="1"/>
      <c r="P4528" s="1">
        <v>27.3</v>
      </c>
      <c r="Q4528" s="1">
        <v>0</v>
      </c>
      <c r="R4528" s="1">
        <v>0</v>
      </c>
      <c r="X4528" s="1">
        <v>0</v>
      </c>
    </row>
    <row r="4529" spans="1:24" x14ac:dyDescent="0.25">
      <c r="A4529" s="22">
        <v>42880</v>
      </c>
      <c r="B4529" s="2"/>
      <c r="C4529" s="30" t="s">
        <v>9</v>
      </c>
      <c r="D4529" s="1">
        <v>0</v>
      </c>
      <c r="E4529" s="3" t="s">
        <v>8</v>
      </c>
      <c r="F4529" s="2">
        <v>0</v>
      </c>
      <c r="G4529" s="1">
        <v>0</v>
      </c>
      <c r="H4529" s="1">
        <v>0</v>
      </c>
      <c r="I4529" s="1">
        <v>0</v>
      </c>
      <c r="J4529" s="30" t="s">
        <v>9</v>
      </c>
      <c r="K4529" s="2">
        <v>0</v>
      </c>
      <c r="L4529" s="1">
        <v>3.0479999999999996</v>
      </c>
      <c r="M4529" s="1">
        <v>0</v>
      </c>
      <c r="O4529" s="1"/>
      <c r="P4529" s="1">
        <v>2.2000000000000002</v>
      </c>
      <c r="Q4529" s="1">
        <v>0</v>
      </c>
      <c r="R4529" s="1">
        <v>0</v>
      </c>
      <c r="X4529" s="1">
        <v>0</v>
      </c>
    </row>
    <row r="4530" spans="1:24" x14ac:dyDescent="0.25">
      <c r="A4530" s="22">
        <v>42881</v>
      </c>
      <c r="B4530" s="2"/>
      <c r="C4530" s="1">
        <v>0</v>
      </c>
      <c r="D4530" s="1">
        <v>2</v>
      </c>
      <c r="E4530" s="3" t="s">
        <v>8</v>
      </c>
      <c r="F4530" s="2">
        <v>1.3</v>
      </c>
      <c r="G4530" s="1">
        <v>0.2</v>
      </c>
      <c r="H4530" s="1">
        <v>0</v>
      </c>
      <c r="I4530" s="1">
        <v>0</v>
      </c>
      <c r="J4530" s="30" t="s">
        <v>9</v>
      </c>
      <c r="K4530" s="2">
        <v>0</v>
      </c>
      <c r="L4530" s="1">
        <v>0</v>
      </c>
      <c r="M4530" s="1">
        <v>0</v>
      </c>
      <c r="O4530" s="1"/>
      <c r="P4530" s="1">
        <v>0</v>
      </c>
      <c r="Q4530" s="1">
        <v>0</v>
      </c>
      <c r="R4530" s="1">
        <v>0</v>
      </c>
      <c r="X4530" s="1">
        <v>0</v>
      </c>
    </row>
    <row r="4531" spans="1:24" x14ac:dyDescent="0.25">
      <c r="A4531" s="22">
        <v>42882</v>
      </c>
      <c r="B4531" s="2"/>
      <c r="C4531" s="1">
        <v>0</v>
      </c>
      <c r="D4531" s="1">
        <v>2</v>
      </c>
      <c r="E4531" s="3" t="s">
        <v>8</v>
      </c>
      <c r="F4531" s="2">
        <v>0</v>
      </c>
      <c r="G4531" s="1">
        <v>8.5</v>
      </c>
      <c r="H4531" s="1">
        <v>1</v>
      </c>
      <c r="I4531" s="1">
        <v>1</v>
      </c>
      <c r="J4531" s="30" t="s">
        <v>9</v>
      </c>
      <c r="K4531" s="2">
        <v>3.4</v>
      </c>
      <c r="L4531" s="1">
        <v>2.2859999999999996</v>
      </c>
      <c r="M4531" s="1">
        <v>1.7</v>
      </c>
      <c r="O4531" s="1"/>
      <c r="P4531" s="1">
        <v>1.4</v>
      </c>
      <c r="Q4531" s="1">
        <v>12.8</v>
      </c>
      <c r="R4531" s="1">
        <v>11.9</v>
      </c>
      <c r="X4531" s="1">
        <v>0</v>
      </c>
    </row>
    <row r="4532" spans="1:24" x14ac:dyDescent="0.25">
      <c r="A4532" s="22">
        <v>42883</v>
      </c>
      <c r="B4532" s="2"/>
      <c r="C4532" s="1">
        <v>3.7</v>
      </c>
      <c r="D4532" s="1">
        <v>7.5</v>
      </c>
      <c r="E4532" s="3" t="s">
        <v>8</v>
      </c>
      <c r="F4532" s="2">
        <v>18.3</v>
      </c>
      <c r="G4532" s="1">
        <v>7.2</v>
      </c>
      <c r="H4532" s="1">
        <v>14.4</v>
      </c>
      <c r="I4532" s="1">
        <v>8.5</v>
      </c>
      <c r="J4532" s="1">
        <v>5.9</v>
      </c>
      <c r="K4532" s="2">
        <v>0</v>
      </c>
      <c r="L4532" s="1">
        <v>12.446</v>
      </c>
      <c r="M4532" s="1">
        <v>11.8</v>
      </c>
      <c r="O4532" s="1"/>
      <c r="P4532" s="1">
        <v>13.4</v>
      </c>
      <c r="Q4532" s="1">
        <v>6</v>
      </c>
      <c r="R4532" s="1">
        <v>4.3</v>
      </c>
      <c r="X4532" s="1">
        <v>0</v>
      </c>
    </row>
    <row r="4533" spans="1:24" x14ac:dyDescent="0.25">
      <c r="A4533" s="22">
        <v>42884</v>
      </c>
      <c r="B4533" s="2">
        <v>28.2</v>
      </c>
      <c r="C4533" s="1">
        <v>10.5</v>
      </c>
      <c r="D4533" s="1">
        <v>7.6</v>
      </c>
      <c r="E4533" s="3" t="s">
        <v>8</v>
      </c>
      <c r="F4533" s="2">
        <v>6.3</v>
      </c>
      <c r="G4533" s="1">
        <v>2.5</v>
      </c>
      <c r="H4533" s="1">
        <v>2.5</v>
      </c>
      <c r="I4533" s="1">
        <v>2</v>
      </c>
      <c r="J4533" s="1">
        <v>2.2999999999999998</v>
      </c>
      <c r="K4533" s="2">
        <v>7.3</v>
      </c>
      <c r="L4533" s="1">
        <v>4.3180000000000005</v>
      </c>
      <c r="M4533" s="1">
        <v>4.2</v>
      </c>
      <c r="O4533" s="1"/>
      <c r="P4533" s="1">
        <v>3.1</v>
      </c>
      <c r="Q4533" s="1">
        <v>1</v>
      </c>
      <c r="R4533" s="1">
        <v>0.7</v>
      </c>
      <c r="X4533" s="1">
        <v>12.7</v>
      </c>
    </row>
    <row r="4534" spans="1:24" x14ac:dyDescent="0.25">
      <c r="A4534" s="22">
        <v>42885</v>
      </c>
      <c r="B4534" s="2"/>
      <c r="C4534" s="1">
        <v>0</v>
      </c>
      <c r="D4534" s="1">
        <v>3.3</v>
      </c>
      <c r="E4534" s="3" t="s">
        <v>8</v>
      </c>
      <c r="F4534" s="2">
        <v>1.3</v>
      </c>
      <c r="G4534" s="1">
        <v>1</v>
      </c>
      <c r="H4534" s="1">
        <v>1.5</v>
      </c>
      <c r="I4534" s="1">
        <v>2.5</v>
      </c>
      <c r="J4534" s="1">
        <v>4.3</v>
      </c>
      <c r="K4534" s="2">
        <v>4.8</v>
      </c>
      <c r="L4534" s="1">
        <v>4.0640000000000001</v>
      </c>
      <c r="M4534" s="1">
        <v>3.8</v>
      </c>
      <c r="O4534" s="1"/>
      <c r="P4534" s="1">
        <v>2.2999999999999998</v>
      </c>
      <c r="Q4534" s="1">
        <v>2.5</v>
      </c>
      <c r="R4534" s="1">
        <v>2.1</v>
      </c>
      <c r="X4534" s="1">
        <v>0</v>
      </c>
    </row>
    <row r="4535" spans="1:24" x14ac:dyDescent="0.25">
      <c r="A4535" s="22">
        <v>42886</v>
      </c>
      <c r="B4535" s="2"/>
      <c r="C4535" s="30" t="s">
        <v>9</v>
      </c>
      <c r="D4535" s="1">
        <v>0.5</v>
      </c>
      <c r="E4535" s="3">
        <v>122.3</v>
      </c>
      <c r="F4535" s="2">
        <v>0</v>
      </c>
      <c r="G4535" s="1">
        <v>9.9</v>
      </c>
      <c r="H4535" s="1">
        <v>0</v>
      </c>
      <c r="I4535" s="1">
        <v>0</v>
      </c>
      <c r="J4535" s="1">
        <v>0.7</v>
      </c>
      <c r="K4535" s="2">
        <v>2.5</v>
      </c>
      <c r="L4535" s="1">
        <v>2.032</v>
      </c>
      <c r="M4535" s="1">
        <v>0.1</v>
      </c>
      <c r="O4535" s="1"/>
      <c r="P4535" s="1">
        <v>1.1000000000000001</v>
      </c>
      <c r="Q4535" s="1">
        <v>0.5</v>
      </c>
      <c r="R4535" s="1">
        <v>0</v>
      </c>
      <c r="X4535" s="1">
        <v>5.08</v>
      </c>
    </row>
    <row r="4536" spans="1:24" x14ac:dyDescent="0.25">
      <c r="A4536" s="22">
        <v>42887</v>
      </c>
      <c r="B4536" s="2"/>
      <c r="C4536" s="1">
        <v>3.3</v>
      </c>
      <c r="D4536" s="1">
        <v>4.5999999999999996</v>
      </c>
      <c r="E4536" s="3" t="s">
        <v>8</v>
      </c>
      <c r="F4536" s="1">
        <v>2</v>
      </c>
      <c r="G4536" s="1">
        <v>1.7</v>
      </c>
      <c r="H4536" s="1">
        <v>2.1</v>
      </c>
      <c r="I4536" s="2">
        <v>14.1</v>
      </c>
      <c r="J4536" s="1">
        <v>4.4000000000000004</v>
      </c>
      <c r="K4536" s="2">
        <v>1.1000000000000001</v>
      </c>
      <c r="L4536" s="1">
        <v>3.0479999999999996</v>
      </c>
      <c r="M4536" s="1">
        <v>5.6</v>
      </c>
      <c r="O4536" s="1">
        <v>0.7619999999999999</v>
      </c>
      <c r="P4536" s="1">
        <v>0</v>
      </c>
      <c r="Q4536" s="1">
        <v>1.2</v>
      </c>
      <c r="R4536" s="1">
        <v>0</v>
      </c>
      <c r="X4536" s="1">
        <v>0</v>
      </c>
    </row>
    <row r="4537" spans="1:24" x14ac:dyDescent="0.25">
      <c r="A4537" s="22">
        <v>42888</v>
      </c>
      <c r="B4537" s="2"/>
      <c r="C4537" s="1">
        <v>1.5</v>
      </c>
      <c r="D4537" s="1">
        <v>0</v>
      </c>
      <c r="E4537" s="3" t="s">
        <v>8</v>
      </c>
      <c r="F4537" s="1">
        <v>0</v>
      </c>
      <c r="G4537" s="1">
        <v>11.2</v>
      </c>
      <c r="H4537" s="1">
        <v>0.5</v>
      </c>
      <c r="I4537" s="2">
        <v>0</v>
      </c>
      <c r="J4537" s="30" t="s">
        <v>9</v>
      </c>
      <c r="K4537" s="2">
        <v>0.5</v>
      </c>
      <c r="L4537" s="1">
        <v>0</v>
      </c>
      <c r="M4537" s="1">
        <v>0.3</v>
      </c>
      <c r="O4537" s="1">
        <v>1.5239999999999998</v>
      </c>
      <c r="P4537" s="1">
        <v>0.9</v>
      </c>
      <c r="Q4537" s="1">
        <v>11.3</v>
      </c>
      <c r="R4537" s="1">
        <v>9.1</v>
      </c>
      <c r="X4537" s="1">
        <v>0.1</v>
      </c>
    </row>
    <row r="4538" spans="1:24" x14ac:dyDescent="0.25">
      <c r="A4538" s="22">
        <v>42889</v>
      </c>
      <c r="B4538" s="2"/>
      <c r="C4538" s="1">
        <v>9.5</v>
      </c>
      <c r="D4538" s="1">
        <v>10</v>
      </c>
      <c r="E4538" s="3" t="s">
        <v>8</v>
      </c>
      <c r="F4538" s="1">
        <v>6</v>
      </c>
      <c r="G4538" s="1">
        <v>4.7</v>
      </c>
      <c r="H4538" s="1">
        <v>0</v>
      </c>
      <c r="I4538" s="2">
        <v>3.9</v>
      </c>
      <c r="J4538" s="2">
        <v>5.7</v>
      </c>
      <c r="K4538" s="2">
        <v>5.9</v>
      </c>
      <c r="L4538" s="1">
        <v>1.016</v>
      </c>
      <c r="M4538" s="1">
        <v>5</v>
      </c>
      <c r="O4538" s="1">
        <v>0</v>
      </c>
      <c r="P4538" s="1">
        <v>16.399999999999999</v>
      </c>
      <c r="Q4538" s="1">
        <v>11.1</v>
      </c>
      <c r="R4538" s="1">
        <v>5.4</v>
      </c>
      <c r="X4538" s="1">
        <v>0.5</v>
      </c>
    </row>
    <row r="4539" spans="1:24" x14ac:dyDescent="0.25">
      <c r="A4539" s="22">
        <v>42890</v>
      </c>
      <c r="B4539" s="2"/>
      <c r="C4539" s="1">
        <v>11.2</v>
      </c>
      <c r="D4539" s="1">
        <v>3.4</v>
      </c>
      <c r="E4539" s="3" t="s">
        <v>8</v>
      </c>
      <c r="F4539" s="1">
        <v>6.5</v>
      </c>
      <c r="G4539" s="1">
        <v>0</v>
      </c>
      <c r="H4539" s="1">
        <v>11.2</v>
      </c>
      <c r="I4539" s="2">
        <v>30.9</v>
      </c>
      <c r="J4539" s="1">
        <v>19.3</v>
      </c>
      <c r="K4539" s="2">
        <v>19.7</v>
      </c>
      <c r="L4539" s="1">
        <v>15.493999999999998</v>
      </c>
      <c r="M4539" s="1">
        <v>15.2</v>
      </c>
      <c r="O4539" s="1">
        <v>0</v>
      </c>
      <c r="P4539" s="1">
        <v>1.5</v>
      </c>
      <c r="Q4539" s="1">
        <v>0.4</v>
      </c>
      <c r="R4539" s="1">
        <v>0.3</v>
      </c>
      <c r="X4539" s="1">
        <v>0.5</v>
      </c>
    </row>
    <row r="4540" spans="1:24" x14ac:dyDescent="0.25">
      <c r="A4540" s="22">
        <v>42891</v>
      </c>
      <c r="B4540" s="2"/>
      <c r="C4540" s="30" t="s">
        <v>9</v>
      </c>
      <c r="D4540" s="2">
        <v>2.6</v>
      </c>
      <c r="E4540" s="3" t="s">
        <v>8</v>
      </c>
      <c r="F4540" s="2">
        <v>0</v>
      </c>
      <c r="G4540" s="1">
        <v>0</v>
      </c>
      <c r="H4540" s="1">
        <v>0</v>
      </c>
      <c r="I4540" s="2">
        <v>2.1</v>
      </c>
      <c r="J4540" s="30" t="s">
        <v>9</v>
      </c>
      <c r="K4540" s="2">
        <v>0.4</v>
      </c>
      <c r="L4540" s="1">
        <v>8.1280000000000001</v>
      </c>
      <c r="M4540" s="1">
        <v>0</v>
      </c>
      <c r="O4540" s="1">
        <v>0</v>
      </c>
      <c r="P4540" s="1">
        <v>1.7</v>
      </c>
      <c r="Q4540" s="1">
        <v>0</v>
      </c>
      <c r="R4540" s="1">
        <v>0</v>
      </c>
      <c r="X4540" s="1">
        <v>0.35</v>
      </c>
    </row>
    <row r="4541" spans="1:24" x14ac:dyDescent="0.25">
      <c r="A4541" s="22">
        <v>42892</v>
      </c>
      <c r="B4541" s="2"/>
      <c r="C4541" s="1">
        <v>3.5</v>
      </c>
      <c r="D4541" s="2">
        <v>0</v>
      </c>
      <c r="E4541" s="3" t="s">
        <v>8</v>
      </c>
      <c r="F4541" s="2">
        <v>0</v>
      </c>
      <c r="G4541" s="1">
        <v>2.2000000000000002</v>
      </c>
      <c r="H4541" s="1">
        <v>0</v>
      </c>
      <c r="I4541" s="2">
        <v>0</v>
      </c>
      <c r="J4541" s="30" t="s">
        <v>9</v>
      </c>
      <c r="K4541" s="2">
        <v>0.5</v>
      </c>
      <c r="L4541" s="1">
        <v>0.7619999999999999</v>
      </c>
      <c r="M4541" s="1">
        <v>0.2</v>
      </c>
      <c r="O4541" s="1">
        <v>0</v>
      </c>
      <c r="P4541" s="1">
        <v>3.1</v>
      </c>
      <c r="Q4541" s="1">
        <v>0.9</v>
      </c>
      <c r="R4541" s="1">
        <v>0.6</v>
      </c>
      <c r="X4541" s="1"/>
    </row>
    <row r="4542" spans="1:24" x14ac:dyDescent="0.25">
      <c r="A4542" s="22">
        <v>42893</v>
      </c>
      <c r="B4542" s="2">
        <v>33.700000000000003</v>
      </c>
      <c r="C4542" s="1">
        <v>2.5</v>
      </c>
      <c r="D4542" s="2">
        <v>2.7</v>
      </c>
      <c r="E4542" s="3" t="s">
        <v>8</v>
      </c>
      <c r="F4542" s="2">
        <v>0</v>
      </c>
      <c r="G4542" s="1">
        <v>0</v>
      </c>
      <c r="H4542" s="1">
        <v>0</v>
      </c>
      <c r="I4542" s="1">
        <v>3.3</v>
      </c>
      <c r="J4542" s="2">
        <v>1.8</v>
      </c>
      <c r="K4542" s="2">
        <v>4.0999999999999996</v>
      </c>
      <c r="L4542" s="1">
        <v>0</v>
      </c>
      <c r="M4542" s="1">
        <v>3.5</v>
      </c>
      <c r="O4542" s="1">
        <v>0</v>
      </c>
      <c r="P4542" s="1">
        <v>2.2000000000000002</v>
      </c>
      <c r="Q4542" s="1">
        <v>0</v>
      </c>
      <c r="R4542" s="1">
        <v>0</v>
      </c>
      <c r="X4542" s="1"/>
    </row>
    <row r="4543" spans="1:24" x14ac:dyDescent="0.25">
      <c r="A4543" s="22">
        <v>42894</v>
      </c>
      <c r="B4543" s="2"/>
      <c r="C4543" s="1">
        <v>0.5</v>
      </c>
      <c r="D4543" s="1">
        <v>0</v>
      </c>
      <c r="E4543" s="3" t="s">
        <v>8</v>
      </c>
      <c r="F4543" s="1">
        <v>0</v>
      </c>
      <c r="G4543" s="1">
        <v>0</v>
      </c>
      <c r="H4543" s="1">
        <v>0</v>
      </c>
      <c r="I4543" s="2">
        <v>0</v>
      </c>
      <c r="J4543" s="30" t="s">
        <v>9</v>
      </c>
      <c r="K4543" s="2">
        <v>0.9</v>
      </c>
      <c r="L4543" s="1">
        <v>9.9060000000000006</v>
      </c>
      <c r="M4543" s="1">
        <v>0.1</v>
      </c>
      <c r="O4543" s="1">
        <v>0</v>
      </c>
      <c r="P4543" s="1">
        <v>1.5</v>
      </c>
      <c r="Q4543" s="1">
        <v>1.3</v>
      </c>
      <c r="R4543" s="1">
        <v>0</v>
      </c>
      <c r="X4543" s="1"/>
    </row>
    <row r="4544" spans="1:24" x14ac:dyDescent="0.25">
      <c r="A4544" s="22">
        <v>42895</v>
      </c>
      <c r="B4544" s="2">
        <v>6.9</v>
      </c>
      <c r="C4544" s="1">
        <v>2.5</v>
      </c>
      <c r="D4544" s="1">
        <v>3.3</v>
      </c>
      <c r="E4544" s="3" t="s">
        <v>8</v>
      </c>
      <c r="F4544" s="1">
        <v>1.1000000000000001</v>
      </c>
      <c r="G4544" s="1">
        <v>0</v>
      </c>
      <c r="H4544" s="1">
        <v>0</v>
      </c>
      <c r="I4544" s="2">
        <v>0.6</v>
      </c>
      <c r="J4544" s="2">
        <v>5</v>
      </c>
      <c r="K4544" s="2">
        <v>6.2</v>
      </c>
      <c r="L4544" s="1">
        <v>8.636000000000001</v>
      </c>
      <c r="M4544" s="1">
        <v>0</v>
      </c>
      <c r="O4544" s="1">
        <v>0</v>
      </c>
      <c r="P4544" s="1">
        <v>1.6</v>
      </c>
      <c r="Q4544" s="1">
        <v>0</v>
      </c>
      <c r="R4544" s="1">
        <v>0.3</v>
      </c>
      <c r="X4544" s="1">
        <v>0.25</v>
      </c>
    </row>
    <row r="4545" spans="1:24" x14ac:dyDescent="0.25">
      <c r="A4545" s="22">
        <v>42896</v>
      </c>
      <c r="B4545" s="2"/>
      <c r="C4545" s="1">
        <v>2.2000000000000002</v>
      </c>
      <c r="D4545" s="1">
        <v>1</v>
      </c>
      <c r="E4545" s="3" t="s">
        <v>8</v>
      </c>
      <c r="F4545" s="1">
        <v>0</v>
      </c>
      <c r="G4545" s="1">
        <v>0.5</v>
      </c>
      <c r="H4545" s="1">
        <v>0</v>
      </c>
      <c r="I4545" s="2">
        <v>0</v>
      </c>
      <c r="J4545" s="2">
        <v>3</v>
      </c>
      <c r="K4545" s="2">
        <v>1.6</v>
      </c>
      <c r="L4545" s="1">
        <v>0.7619999999999999</v>
      </c>
      <c r="M4545" s="1">
        <v>0</v>
      </c>
      <c r="O4545" s="1">
        <v>7.6199999999999992</v>
      </c>
      <c r="P4545" s="1">
        <v>0.9</v>
      </c>
      <c r="Q4545" s="1">
        <v>0</v>
      </c>
      <c r="R4545" s="1">
        <v>0</v>
      </c>
      <c r="X4545" s="1"/>
    </row>
    <row r="4546" spans="1:24" x14ac:dyDescent="0.25">
      <c r="A4546" s="22">
        <v>42897</v>
      </c>
      <c r="B4546" s="2">
        <v>9.6</v>
      </c>
      <c r="C4546" s="1">
        <v>9.6999999999999993</v>
      </c>
      <c r="D4546" s="1">
        <v>3</v>
      </c>
      <c r="E4546" s="3" t="s">
        <v>8</v>
      </c>
      <c r="F4546" s="1">
        <v>0</v>
      </c>
      <c r="G4546" s="1">
        <v>42.4</v>
      </c>
      <c r="H4546" s="1">
        <v>0</v>
      </c>
      <c r="I4546" s="2">
        <v>0.7</v>
      </c>
      <c r="J4546" s="2">
        <v>5</v>
      </c>
      <c r="K4546" s="2">
        <v>21.4</v>
      </c>
      <c r="L4546" s="1">
        <v>0</v>
      </c>
      <c r="M4546" s="1">
        <v>9.6</v>
      </c>
      <c r="O4546" s="1">
        <v>50.8</v>
      </c>
      <c r="P4546" s="1">
        <v>1.3</v>
      </c>
      <c r="Q4546" s="1">
        <v>38.5</v>
      </c>
      <c r="R4546" s="1">
        <v>33.4</v>
      </c>
      <c r="X4546" s="1">
        <v>0.5</v>
      </c>
    </row>
    <row r="4547" spans="1:24" x14ac:dyDescent="0.25">
      <c r="A4547" s="22">
        <v>42898</v>
      </c>
      <c r="B4547" s="2"/>
      <c r="C4547" s="1">
        <v>22.3</v>
      </c>
      <c r="D4547" s="1">
        <v>24.6</v>
      </c>
      <c r="E4547" s="3" t="s">
        <v>8</v>
      </c>
      <c r="F4547" s="1">
        <v>24.4</v>
      </c>
      <c r="G4547" s="1">
        <v>9.6</v>
      </c>
      <c r="H4547" s="1">
        <v>20.5</v>
      </c>
      <c r="I4547" s="2">
        <v>39.299999999999997</v>
      </c>
      <c r="J4547" s="1">
        <v>38.700000000000003</v>
      </c>
      <c r="K4547" s="2">
        <v>30.5</v>
      </c>
      <c r="L4547" s="1">
        <v>3.302</v>
      </c>
      <c r="M4547" s="1">
        <v>26</v>
      </c>
      <c r="O4547" s="1">
        <v>0</v>
      </c>
      <c r="P4547" s="1">
        <v>33.5</v>
      </c>
      <c r="Q4547" s="1">
        <v>7.2</v>
      </c>
      <c r="R4547" s="1">
        <v>7.4</v>
      </c>
      <c r="X4547" s="1">
        <v>0.25</v>
      </c>
    </row>
    <row r="4548" spans="1:24" x14ac:dyDescent="0.25">
      <c r="A4548" s="22">
        <v>42899</v>
      </c>
      <c r="B4548" s="2">
        <v>41.9</v>
      </c>
      <c r="C4548" s="1">
        <v>18</v>
      </c>
      <c r="D4548" s="1">
        <v>14.5</v>
      </c>
      <c r="E4548" s="3" t="s">
        <v>8</v>
      </c>
      <c r="F4548" s="1">
        <v>9.4</v>
      </c>
      <c r="G4548" s="2">
        <v>12.5</v>
      </c>
      <c r="H4548" s="1">
        <v>9</v>
      </c>
      <c r="I4548" s="2">
        <v>14.5</v>
      </c>
      <c r="J4548" s="1">
        <v>14</v>
      </c>
      <c r="K4548" s="2">
        <v>22</v>
      </c>
      <c r="L4548" s="1">
        <v>8.636000000000001</v>
      </c>
      <c r="M4548" s="1">
        <v>13.2</v>
      </c>
      <c r="O4548" s="1">
        <v>0</v>
      </c>
      <c r="P4548" s="1">
        <v>8.6</v>
      </c>
      <c r="Q4548" s="1">
        <v>13.1</v>
      </c>
      <c r="R4548" s="1">
        <v>10.199999999999999</v>
      </c>
      <c r="X4548" s="1">
        <v>0.1</v>
      </c>
    </row>
    <row r="4549" spans="1:24" x14ac:dyDescent="0.25">
      <c r="A4549" s="22">
        <v>42900</v>
      </c>
      <c r="B4549" s="2"/>
      <c r="C4549" s="1">
        <v>19.100000000000001</v>
      </c>
      <c r="D4549" s="1">
        <v>17.399999999999999</v>
      </c>
      <c r="E4549" s="3" t="s">
        <v>8</v>
      </c>
      <c r="F4549" s="1">
        <v>20</v>
      </c>
      <c r="G4549" s="2">
        <v>1.9</v>
      </c>
      <c r="H4549" s="1">
        <v>15.2</v>
      </c>
      <c r="I4549" s="2">
        <v>12</v>
      </c>
      <c r="J4549" s="1">
        <v>12.1</v>
      </c>
      <c r="K4549" s="2">
        <v>9.5</v>
      </c>
      <c r="L4549" s="1">
        <v>0</v>
      </c>
      <c r="M4549" s="1">
        <v>12</v>
      </c>
      <c r="O4549" s="1">
        <v>0</v>
      </c>
      <c r="P4549" s="1">
        <v>14.2</v>
      </c>
      <c r="Q4549" s="1">
        <v>9.6</v>
      </c>
      <c r="R4549" s="1">
        <v>0.4</v>
      </c>
      <c r="X4549" s="1">
        <v>1.1000000000000001</v>
      </c>
    </row>
    <row r="4550" spans="1:24" x14ac:dyDescent="0.25">
      <c r="A4550" s="22">
        <v>42901</v>
      </c>
      <c r="B4550" s="2">
        <v>21.8</v>
      </c>
      <c r="C4550" s="1">
        <v>28.1</v>
      </c>
      <c r="D4550" s="1">
        <v>6.7</v>
      </c>
      <c r="E4550" s="3" t="s">
        <v>8</v>
      </c>
      <c r="F4550" s="1">
        <v>4.9000000000000004</v>
      </c>
      <c r="G4550" s="2">
        <v>6.5</v>
      </c>
      <c r="H4550" s="1">
        <v>5.7</v>
      </c>
      <c r="I4550" s="2">
        <v>0</v>
      </c>
      <c r="J4550" s="2">
        <v>4.7</v>
      </c>
      <c r="K4550" s="2">
        <v>6.6</v>
      </c>
      <c r="L4550" s="1">
        <v>0.7619999999999999</v>
      </c>
      <c r="M4550" s="1">
        <v>4.8</v>
      </c>
      <c r="O4550" s="1">
        <v>0</v>
      </c>
      <c r="P4550" s="1">
        <v>0.9</v>
      </c>
      <c r="Q4550" s="1">
        <v>0</v>
      </c>
      <c r="R4550" s="1">
        <v>0</v>
      </c>
      <c r="X4550" s="1">
        <v>0.3</v>
      </c>
    </row>
    <row r="4551" spans="1:24" x14ac:dyDescent="0.25">
      <c r="A4551" s="22">
        <v>42902</v>
      </c>
      <c r="B4551" s="2">
        <v>13.3</v>
      </c>
      <c r="C4551" s="1">
        <v>2</v>
      </c>
      <c r="D4551" s="1">
        <v>2.2999999999999998</v>
      </c>
      <c r="E4551" s="3" t="s">
        <v>8</v>
      </c>
      <c r="F4551" s="1">
        <v>0</v>
      </c>
      <c r="G4551" s="2">
        <v>0</v>
      </c>
      <c r="H4551" s="1">
        <v>0.5</v>
      </c>
      <c r="I4551" s="1">
        <v>5.6</v>
      </c>
      <c r="J4551" s="30" t="s">
        <v>9</v>
      </c>
      <c r="K4551" s="2">
        <v>0</v>
      </c>
      <c r="L4551" s="1">
        <v>9.9060000000000006</v>
      </c>
      <c r="M4551" s="1">
        <v>0</v>
      </c>
      <c r="O4551" s="1">
        <v>0</v>
      </c>
      <c r="P4551" s="1">
        <v>0</v>
      </c>
      <c r="Q4551" s="1">
        <v>0</v>
      </c>
      <c r="R4551" s="1">
        <v>0</v>
      </c>
      <c r="X4551" s="1">
        <v>0</v>
      </c>
    </row>
    <row r="4552" spans="1:24" x14ac:dyDescent="0.25">
      <c r="A4552" s="22">
        <v>42903</v>
      </c>
      <c r="B4552" s="2">
        <v>3.3</v>
      </c>
      <c r="C4552" s="1">
        <v>0</v>
      </c>
      <c r="D4552" s="1">
        <v>0</v>
      </c>
      <c r="E4552" s="3" t="s">
        <v>8</v>
      </c>
      <c r="F4552" s="1">
        <v>0</v>
      </c>
      <c r="G4552" s="1">
        <v>17.600000000000001</v>
      </c>
      <c r="H4552" s="1">
        <v>0</v>
      </c>
      <c r="I4552" s="2">
        <v>0.5</v>
      </c>
      <c r="J4552" s="30" t="s">
        <v>9</v>
      </c>
      <c r="K4552" s="2">
        <v>0</v>
      </c>
      <c r="L4552" s="1">
        <v>0.7619999999999999</v>
      </c>
      <c r="M4552" s="1">
        <v>0</v>
      </c>
      <c r="O4552" s="1">
        <v>0</v>
      </c>
      <c r="P4552" s="1">
        <v>0</v>
      </c>
      <c r="Q4552" s="1">
        <v>7.8</v>
      </c>
      <c r="R4552" s="1">
        <v>5.9</v>
      </c>
      <c r="X4552" s="1">
        <v>0.5</v>
      </c>
    </row>
    <row r="4553" spans="1:24" x14ac:dyDescent="0.25">
      <c r="A4553" s="22">
        <v>42904</v>
      </c>
      <c r="B4553" s="2"/>
      <c r="C4553" s="1">
        <v>18.3</v>
      </c>
      <c r="D4553" s="1">
        <v>15.7</v>
      </c>
      <c r="E4553" s="3" t="s">
        <v>8</v>
      </c>
      <c r="F4553" s="2">
        <v>11.1</v>
      </c>
      <c r="G4553" s="1">
        <v>9.1</v>
      </c>
      <c r="H4553" s="1">
        <v>4</v>
      </c>
      <c r="I4553" s="2">
        <v>12.7</v>
      </c>
      <c r="J4553" s="1">
        <v>7</v>
      </c>
      <c r="K4553" s="2">
        <v>0</v>
      </c>
      <c r="L4553" s="1">
        <v>0</v>
      </c>
      <c r="M4553" s="1">
        <v>6.9</v>
      </c>
      <c r="O4553" s="1">
        <v>0</v>
      </c>
      <c r="P4553" s="1">
        <v>6.3</v>
      </c>
      <c r="Q4553" s="1">
        <v>33.200000000000003</v>
      </c>
      <c r="R4553" s="1">
        <v>24.4</v>
      </c>
      <c r="X4553" s="1"/>
    </row>
    <row r="4554" spans="1:24" x14ac:dyDescent="0.25">
      <c r="A4554" s="22">
        <v>42905</v>
      </c>
      <c r="B4554" s="2"/>
      <c r="C4554" s="1">
        <v>21</v>
      </c>
      <c r="D4554" s="1">
        <v>19</v>
      </c>
      <c r="E4554" s="3" t="s">
        <v>8</v>
      </c>
      <c r="F4554" s="1">
        <v>0</v>
      </c>
      <c r="G4554" s="1">
        <v>44.5</v>
      </c>
      <c r="H4554" s="1">
        <v>16</v>
      </c>
      <c r="I4554" s="2">
        <v>12.9</v>
      </c>
      <c r="J4554" s="1">
        <v>21.3</v>
      </c>
      <c r="K4554" s="1">
        <v>14.3</v>
      </c>
      <c r="L4554" s="1">
        <v>0</v>
      </c>
      <c r="M4554" s="1">
        <v>20.399999999999999</v>
      </c>
      <c r="O4554" s="1">
        <v>0</v>
      </c>
      <c r="P4554" s="1">
        <v>18.7</v>
      </c>
      <c r="Q4554" s="1">
        <v>31.4</v>
      </c>
      <c r="R4554" s="1">
        <v>30.1</v>
      </c>
      <c r="X4554" s="1">
        <v>1.02</v>
      </c>
    </row>
    <row r="4555" spans="1:24" x14ac:dyDescent="0.25">
      <c r="A4555" s="22">
        <v>42906</v>
      </c>
      <c r="B4555" s="2">
        <v>65.099999999999994</v>
      </c>
      <c r="C4555" s="1">
        <v>26.3</v>
      </c>
      <c r="D4555" s="1">
        <v>21</v>
      </c>
      <c r="E4555" s="3" t="s">
        <v>8</v>
      </c>
      <c r="F4555" s="1">
        <v>54.3</v>
      </c>
      <c r="G4555" s="1">
        <v>56.7</v>
      </c>
      <c r="H4555" s="1">
        <v>28</v>
      </c>
      <c r="I4555" s="2">
        <v>70</v>
      </c>
      <c r="J4555" s="2">
        <v>53.2</v>
      </c>
      <c r="K4555" s="2">
        <v>39.700000000000003</v>
      </c>
      <c r="L4555" s="1">
        <v>0</v>
      </c>
      <c r="M4555" s="1">
        <v>45</v>
      </c>
      <c r="O4555" s="1">
        <v>0</v>
      </c>
      <c r="P4555" s="1">
        <v>37.9</v>
      </c>
      <c r="Q4555" s="1">
        <v>123.1</v>
      </c>
      <c r="R4555" s="1">
        <v>110</v>
      </c>
      <c r="X4555" s="1">
        <v>2</v>
      </c>
    </row>
    <row r="4556" spans="1:24" x14ac:dyDescent="0.25">
      <c r="A4556" s="22">
        <v>42907</v>
      </c>
      <c r="B4556" s="2"/>
      <c r="C4556" s="1">
        <v>133.9</v>
      </c>
      <c r="D4556" s="1">
        <v>63</v>
      </c>
      <c r="E4556" s="3" t="s">
        <v>8</v>
      </c>
      <c r="F4556" s="1">
        <v>69.5</v>
      </c>
      <c r="G4556" s="1">
        <v>0</v>
      </c>
      <c r="H4556" s="1">
        <v>74.099999999999994</v>
      </c>
      <c r="I4556" s="2">
        <v>16.600000000000001</v>
      </c>
      <c r="J4556" s="1">
        <v>75.5</v>
      </c>
      <c r="K4556" s="1">
        <v>83.8</v>
      </c>
      <c r="L4556" s="1">
        <v>1.016</v>
      </c>
      <c r="M4556" s="1">
        <v>66.599999999999994</v>
      </c>
      <c r="O4556" s="1">
        <v>0</v>
      </c>
      <c r="P4556" s="1">
        <v>111.7</v>
      </c>
      <c r="Q4556" s="1">
        <v>0</v>
      </c>
      <c r="R4556" s="1">
        <v>0.4</v>
      </c>
      <c r="X4556" s="1">
        <v>3.2</v>
      </c>
    </row>
    <row r="4557" spans="1:24" x14ac:dyDescent="0.25">
      <c r="A4557" s="22">
        <v>42908</v>
      </c>
      <c r="B4557" s="2">
        <v>124.5</v>
      </c>
      <c r="C4557" s="1">
        <v>1</v>
      </c>
      <c r="D4557" s="1">
        <v>0</v>
      </c>
      <c r="E4557" s="3" t="s">
        <v>8</v>
      </c>
      <c r="F4557" s="1">
        <v>0</v>
      </c>
      <c r="G4557" s="1">
        <v>0</v>
      </c>
      <c r="H4557" s="1">
        <v>0</v>
      </c>
      <c r="I4557" s="2">
        <v>0</v>
      </c>
      <c r="J4557" s="1">
        <v>0.5</v>
      </c>
      <c r="K4557" s="1">
        <v>1.8</v>
      </c>
      <c r="L4557" s="1">
        <v>12.446</v>
      </c>
      <c r="M4557" s="1">
        <v>0</v>
      </c>
      <c r="O4557" s="1">
        <v>0</v>
      </c>
      <c r="P4557" s="1">
        <v>0</v>
      </c>
      <c r="Q4557" s="1">
        <v>0.8</v>
      </c>
      <c r="R4557" s="1">
        <v>0</v>
      </c>
      <c r="X4557" s="1"/>
    </row>
    <row r="4558" spans="1:24" x14ac:dyDescent="0.25">
      <c r="A4558" s="22">
        <v>42909</v>
      </c>
      <c r="B4558" s="2">
        <v>1.5</v>
      </c>
      <c r="C4558" s="1">
        <v>0</v>
      </c>
      <c r="D4558" s="1">
        <v>0</v>
      </c>
      <c r="E4558" s="3" t="s">
        <v>8</v>
      </c>
      <c r="F4558" s="1">
        <v>0</v>
      </c>
      <c r="G4558" s="1">
        <v>0</v>
      </c>
      <c r="H4558" s="1">
        <v>0</v>
      </c>
      <c r="I4558" s="1">
        <v>0</v>
      </c>
      <c r="J4558" s="30" t="s">
        <v>9</v>
      </c>
      <c r="K4558" s="1">
        <v>0</v>
      </c>
      <c r="L4558" s="1">
        <v>0.7619999999999999</v>
      </c>
      <c r="M4558" s="1">
        <v>0</v>
      </c>
      <c r="O4558" s="1">
        <v>0</v>
      </c>
      <c r="P4558" s="1">
        <v>0</v>
      </c>
      <c r="Q4558" s="1">
        <v>3.4</v>
      </c>
      <c r="R4558" s="1">
        <v>0</v>
      </c>
      <c r="X4558" s="1"/>
    </row>
    <row r="4559" spans="1:24" x14ac:dyDescent="0.25">
      <c r="A4559" s="22">
        <v>42910</v>
      </c>
      <c r="B4559" s="2"/>
      <c r="C4559" s="1">
        <v>5.3</v>
      </c>
      <c r="D4559" s="1">
        <v>4</v>
      </c>
      <c r="E4559" s="3" t="s">
        <v>8</v>
      </c>
      <c r="F4559" s="1">
        <v>0</v>
      </c>
      <c r="G4559" s="1">
        <v>7</v>
      </c>
      <c r="H4559" s="1">
        <v>0</v>
      </c>
      <c r="I4559" s="2">
        <v>0</v>
      </c>
      <c r="J4559" s="30" t="s">
        <v>9</v>
      </c>
      <c r="K4559" s="1">
        <v>1.4</v>
      </c>
      <c r="L4559" s="1">
        <v>0</v>
      </c>
      <c r="M4559" s="1">
        <v>0.3</v>
      </c>
      <c r="O4559" s="1">
        <v>50.8</v>
      </c>
      <c r="P4559" s="1">
        <v>0</v>
      </c>
      <c r="Q4559" s="1">
        <v>12.5</v>
      </c>
      <c r="R4559" s="1">
        <v>0</v>
      </c>
      <c r="X4559" s="1">
        <v>0.4</v>
      </c>
    </row>
    <row r="4560" spans="1:24" x14ac:dyDescent="0.25">
      <c r="A4560" s="22">
        <v>42911</v>
      </c>
      <c r="B4560" s="2">
        <v>0.5</v>
      </c>
      <c r="C4560" s="1">
        <v>7.6</v>
      </c>
      <c r="D4560" s="1">
        <v>16</v>
      </c>
      <c r="E4560" s="3" t="s">
        <v>8</v>
      </c>
      <c r="F4560" s="2">
        <v>0</v>
      </c>
      <c r="G4560" s="1">
        <v>0.4</v>
      </c>
      <c r="H4560" s="1">
        <v>5.0999999999999996</v>
      </c>
      <c r="I4560" s="1">
        <v>10.199999999999999</v>
      </c>
      <c r="J4560" s="2">
        <v>8</v>
      </c>
      <c r="K4560" s="2">
        <v>0</v>
      </c>
      <c r="L4560" s="1">
        <v>0</v>
      </c>
      <c r="M4560" s="1">
        <v>5.5</v>
      </c>
      <c r="O4560" s="1">
        <v>44.449999999999996</v>
      </c>
      <c r="P4560" s="1">
        <v>17.399999999999999</v>
      </c>
      <c r="Q4560" s="1">
        <v>8.4</v>
      </c>
      <c r="R4560" s="1">
        <v>23.8</v>
      </c>
      <c r="X4560" s="1">
        <v>0.45</v>
      </c>
    </row>
    <row r="4561" spans="1:24" x14ac:dyDescent="0.25">
      <c r="A4561" s="22">
        <v>42912</v>
      </c>
      <c r="B4561" s="2"/>
      <c r="C4561" s="1">
        <v>14.1</v>
      </c>
      <c r="D4561" s="1">
        <v>4.8</v>
      </c>
      <c r="E4561" s="3" t="s">
        <v>8</v>
      </c>
      <c r="F4561" s="2">
        <v>0</v>
      </c>
      <c r="G4561" s="1">
        <v>0.5</v>
      </c>
      <c r="H4561" s="1">
        <v>0.5</v>
      </c>
      <c r="I4561" s="1">
        <v>0</v>
      </c>
      <c r="J4561" s="1">
        <v>2.4</v>
      </c>
      <c r="K4561" s="2">
        <v>6.2</v>
      </c>
      <c r="L4561" s="1">
        <v>0</v>
      </c>
      <c r="M4561" s="1">
        <v>4.4000000000000004</v>
      </c>
      <c r="O4561" s="1">
        <v>0</v>
      </c>
      <c r="P4561" s="1">
        <v>6.3</v>
      </c>
      <c r="Q4561" s="1">
        <v>0</v>
      </c>
      <c r="R4561" s="1">
        <v>0</v>
      </c>
      <c r="X4561" s="1"/>
    </row>
    <row r="4562" spans="1:24" x14ac:dyDescent="0.25">
      <c r="A4562" s="22">
        <v>42913</v>
      </c>
      <c r="B4562" s="2">
        <v>33.5</v>
      </c>
      <c r="C4562" s="1">
        <v>0</v>
      </c>
      <c r="D4562" s="1">
        <v>0</v>
      </c>
      <c r="E4562" s="3" t="s">
        <v>8</v>
      </c>
      <c r="F4562" s="2">
        <v>0</v>
      </c>
      <c r="G4562" s="1">
        <v>48.2</v>
      </c>
      <c r="H4562" s="1">
        <v>0</v>
      </c>
      <c r="I4562" s="1">
        <v>0</v>
      </c>
      <c r="J4562" s="30" t="s">
        <v>9</v>
      </c>
      <c r="K4562" s="2">
        <v>0</v>
      </c>
      <c r="L4562" s="1">
        <v>0</v>
      </c>
      <c r="M4562" s="1">
        <v>0</v>
      </c>
      <c r="O4562" s="1">
        <v>0</v>
      </c>
      <c r="P4562" s="1">
        <v>0</v>
      </c>
      <c r="Q4562" s="1">
        <v>39.1</v>
      </c>
      <c r="R4562" s="1">
        <v>33.799999999999997</v>
      </c>
      <c r="X4562" s="1"/>
    </row>
    <row r="4563" spans="1:24" x14ac:dyDescent="0.25">
      <c r="A4563" s="22">
        <v>42914</v>
      </c>
      <c r="B4563" s="2">
        <v>0</v>
      </c>
      <c r="C4563" s="1">
        <v>23.5</v>
      </c>
      <c r="D4563" s="1">
        <v>12</v>
      </c>
      <c r="E4563" s="3" t="s">
        <v>8</v>
      </c>
      <c r="F4563" s="2">
        <v>44.5</v>
      </c>
      <c r="G4563" s="1">
        <v>13.5</v>
      </c>
      <c r="H4563" s="1">
        <v>41.5</v>
      </c>
      <c r="I4563" s="1">
        <v>36.200000000000003</v>
      </c>
      <c r="J4563" s="1">
        <v>43.1</v>
      </c>
      <c r="K4563" s="2">
        <v>47.8</v>
      </c>
      <c r="L4563" s="1">
        <v>11.43</v>
      </c>
      <c r="M4563" s="1">
        <v>44.7</v>
      </c>
      <c r="O4563" s="1">
        <v>0</v>
      </c>
      <c r="P4563" s="1">
        <v>24.1</v>
      </c>
      <c r="Q4563" s="1">
        <v>13.9</v>
      </c>
      <c r="R4563" s="1">
        <v>11.6</v>
      </c>
      <c r="X4563" s="1">
        <v>1.7</v>
      </c>
    </row>
    <row r="4564" spans="1:24" x14ac:dyDescent="0.25">
      <c r="A4564" s="22">
        <v>42915</v>
      </c>
      <c r="B4564" s="2">
        <v>0</v>
      </c>
      <c r="C4564" s="1">
        <v>21.5</v>
      </c>
      <c r="D4564" s="1">
        <v>25.7</v>
      </c>
      <c r="E4564" s="3" t="s">
        <v>8</v>
      </c>
      <c r="F4564" s="2">
        <v>12.3</v>
      </c>
      <c r="G4564" s="1">
        <v>7.6</v>
      </c>
      <c r="H4564" s="1">
        <v>16.8</v>
      </c>
      <c r="I4564" s="1">
        <v>13.4</v>
      </c>
      <c r="J4564" s="1">
        <v>17.100000000000001</v>
      </c>
      <c r="K4564" s="2">
        <v>13.7</v>
      </c>
      <c r="L4564" s="1">
        <v>0</v>
      </c>
      <c r="M4564" s="1">
        <v>20.399999999999999</v>
      </c>
      <c r="O4564" s="1">
        <v>0</v>
      </c>
      <c r="P4564" s="1">
        <v>24.7</v>
      </c>
      <c r="Q4564" s="1">
        <v>3.2</v>
      </c>
      <c r="R4564" s="1">
        <v>0</v>
      </c>
      <c r="X4564" s="1"/>
    </row>
    <row r="4565" spans="1:24" x14ac:dyDescent="0.25">
      <c r="A4565" s="22">
        <v>42916</v>
      </c>
      <c r="B4565" s="2">
        <v>52.2</v>
      </c>
      <c r="C4565" s="1">
        <v>12.9</v>
      </c>
      <c r="D4565" s="1">
        <v>8.4</v>
      </c>
      <c r="E4565" s="3">
        <v>282</v>
      </c>
      <c r="F4565" s="2">
        <v>11</v>
      </c>
      <c r="G4565" s="1">
        <v>14.9</v>
      </c>
      <c r="H4565" s="1">
        <v>10</v>
      </c>
      <c r="I4565" s="1">
        <v>4.8</v>
      </c>
      <c r="J4565" s="1">
        <v>12.4</v>
      </c>
      <c r="K4565" s="2">
        <v>9.8000000000000007</v>
      </c>
      <c r="L4565" s="1">
        <v>0.7619999999999999</v>
      </c>
      <c r="M4565" s="1">
        <v>5.7</v>
      </c>
      <c r="O4565" s="1">
        <v>34.798000000000002</v>
      </c>
      <c r="P4565" s="1">
        <v>1.8</v>
      </c>
      <c r="Q4565" s="1">
        <v>11.1</v>
      </c>
      <c r="R4565" s="1">
        <v>7.14</v>
      </c>
      <c r="X4565" s="1">
        <v>0.25</v>
      </c>
    </row>
    <row r="4566" spans="1:24" x14ac:dyDescent="0.25">
      <c r="A4566" s="22">
        <v>42917</v>
      </c>
      <c r="B4566" s="2">
        <v>0</v>
      </c>
      <c r="C4566" s="1">
        <v>15.1</v>
      </c>
      <c r="D4566" s="1">
        <v>12</v>
      </c>
      <c r="E4566" s="3" t="s">
        <v>8</v>
      </c>
      <c r="F4566" s="1">
        <v>12.7</v>
      </c>
      <c r="G4566" s="1">
        <v>41.5</v>
      </c>
      <c r="H4566" s="1">
        <v>10.8</v>
      </c>
      <c r="I4566" s="2">
        <v>5</v>
      </c>
      <c r="J4566" s="1">
        <v>30.6</v>
      </c>
      <c r="K4566" s="2">
        <v>25.4</v>
      </c>
      <c r="L4566" s="1">
        <v>3.0479999999999996</v>
      </c>
      <c r="M4566" s="1">
        <v>11.7</v>
      </c>
      <c r="O4566" s="1"/>
      <c r="P4566" s="1">
        <v>15.1</v>
      </c>
      <c r="Q4566" s="1">
        <v>26.3</v>
      </c>
      <c r="R4566" s="1">
        <v>41.9</v>
      </c>
      <c r="X4566" s="1"/>
    </row>
    <row r="4567" spans="1:24" x14ac:dyDescent="0.25">
      <c r="A4567" s="22">
        <v>42918</v>
      </c>
      <c r="B4567" s="2">
        <v>0</v>
      </c>
      <c r="C4567" s="1">
        <v>30.2</v>
      </c>
      <c r="D4567" s="1">
        <v>27.3</v>
      </c>
      <c r="E4567" s="3" t="s">
        <v>8</v>
      </c>
      <c r="F4567" s="1">
        <v>23</v>
      </c>
      <c r="G4567" s="1">
        <v>1.7</v>
      </c>
      <c r="H4567" s="1">
        <v>41.8</v>
      </c>
      <c r="I4567" s="2">
        <v>25.5</v>
      </c>
      <c r="J4567" s="2">
        <v>33.700000000000003</v>
      </c>
      <c r="K4567" s="2">
        <v>0</v>
      </c>
      <c r="L4567" s="1">
        <v>0</v>
      </c>
      <c r="M4567" s="1">
        <v>32.700000000000003</v>
      </c>
      <c r="O4567" s="1"/>
      <c r="P4567" s="1">
        <v>30.2</v>
      </c>
      <c r="Q4567" s="1">
        <v>3.6</v>
      </c>
      <c r="R4567" s="1">
        <v>5.8</v>
      </c>
      <c r="X4567" s="1"/>
    </row>
    <row r="4568" spans="1:24" x14ac:dyDescent="0.25">
      <c r="A4568" s="22">
        <v>42919</v>
      </c>
      <c r="B4568" s="2">
        <v>0</v>
      </c>
      <c r="C4568" s="1">
        <v>13.5</v>
      </c>
      <c r="D4568" s="1">
        <v>10.1</v>
      </c>
      <c r="E4568" s="3" t="s">
        <v>8</v>
      </c>
      <c r="F4568" s="1">
        <v>0</v>
      </c>
      <c r="G4568" s="1">
        <v>25</v>
      </c>
      <c r="H4568" s="1">
        <v>1.7</v>
      </c>
      <c r="I4568" s="2">
        <v>1.5</v>
      </c>
      <c r="J4568" s="2">
        <v>6.5</v>
      </c>
      <c r="K4568" s="2">
        <v>16</v>
      </c>
      <c r="L4568" s="1">
        <v>1.016</v>
      </c>
      <c r="M4568" s="1">
        <v>12.4</v>
      </c>
      <c r="O4568" s="1"/>
      <c r="P4568" s="1">
        <v>13.5</v>
      </c>
      <c r="Q4568" s="1">
        <v>17.5</v>
      </c>
      <c r="R4568" s="1">
        <v>4</v>
      </c>
      <c r="X4568" s="1"/>
    </row>
    <row r="4569" spans="1:24" x14ac:dyDescent="0.25">
      <c r="A4569" s="22">
        <v>42920</v>
      </c>
      <c r="B4569" s="2">
        <v>0</v>
      </c>
      <c r="C4569" s="1">
        <v>29.5</v>
      </c>
      <c r="D4569" s="1">
        <v>12.5</v>
      </c>
      <c r="E4569" s="3" t="s">
        <v>8</v>
      </c>
      <c r="F4569" s="1">
        <v>26.5</v>
      </c>
      <c r="G4569" s="1">
        <v>2.2000000000000002</v>
      </c>
      <c r="H4569" s="1">
        <v>20.100000000000001</v>
      </c>
      <c r="I4569" s="2">
        <v>17.2</v>
      </c>
      <c r="J4569" s="1">
        <v>39</v>
      </c>
      <c r="K4569" s="2">
        <v>20.8</v>
      </c>
      <c r="L4569" s="1">
        <v>15.493999999999998</v>
      </c>
      <c r="M4569" s="1">
        <v>23.2</v>
      </c>
      <c r="O4569" s="1"/>
      <c r="P4569" s="1">
        <v>29.5</v>
      </c>
      <c r="Q4569" s="1">
        <v>0.8</v>
      </c>
      <c r="R4569" s="1">
        <v>10.4</v>
      </c>
      <c r="X4569" s="1"/>
    </row>
    <row r="4570" spans="1:24" x14ac:dyDescent="0.25">
      <c r="A4570" s="22">
        <v>42921</v>
      </c>
      <c r="B4570" s="2">
        <v>30</v>
      </c>
      <c r="C4570" s="1">
        <v>6.2</v>
      </c>
      <c r="D4570" s="2">
        <v>8.4</v>
      </c>
      <c r="E4570" s="3" t="s">
        <v>8</v>
      </c>
      <c r="F4570" s="2">
        <v>0</v>
      </c>
      <c r="G4570" s="1">
        <v>1.5</v>
      </c>
      <c r="H4570" s="1">
        <v>0</v>
      </c>
      <c r="I4570" s="2">
        <v>2.4</v>
      </c>
      <c r="J4570" s="2">
        <v>4.2</v>
      </c>
      <c r="K4570" s="2">
        <v>0</v>
      </c>
      <c r="L4570" s="1">
        <v>8.1280000000000001</v>
      </c>
      <c r="M4570" s="1">
        <v>2.9</v>
      </c>
      <c r="O4570" s="1"/>
      <c r="P4570" s="1">
        <v>6.2</v>
      </c>
      <c r="Q4570" s="1">
        <v>0</v>
      </c>
      <c r="R4570" s="1">
        <v>0</v>
      </c>
      <c r="X4570" s="1"/>
    </row>
    <row r="4571" spans="1:24" x14ac:dyDescent="0.25">
      <c r="A4571" s="22">
        <v>42922</v>
      </c>
      <c r="B4571" s="2">
        <v>0</v>
      </c>
      <c r="C4571" s="1">
        <v>2.4</v>
      </c>
      <c r="D4571" s="2">
        <v>0</v>
      </c>
      <c r="E4571" s="3" t="s">
        <v>8</v>
      </c>
      <c r="F4571" s="2">
        <v>0</v>
      </c>
      <c r="G4571" s="1">
        <v>16.399999999999999</v>
      </c>
      <c r="H4571" s="1">
        <v>0</v>
      </c>
      <c r="I4571" s="2">
        <v>3.3</v>
      </c>
      <c r="J4571" s="2">
        <v>2.2000000000000002</v>
      </c>
      <c r="K4571" s="2">
        <v>1.8</v>
      </c>
      <c r="L4571" s="1">
        <v>0.7619999999999999</v>
      </c>
      <c r="M4571" s="1">
        <v>3.4</v>
      </c>
      <c r="O4571" s="1"/>
      <c r="P4571" s="1">
        <v>2.4</v>
      </c>
      <c r="Q4571" s="1">
        <v>47.6</v>
      </c>
      <c r="R4571" s="1">
        <v>0</v>
      </c>
      <c r="X4571" s="1"/>
    </row>
    <row r="4572" spans="1:24" x14ac:dyDescent="0.25">
      <c r="A4572" s="22">
        <v>42923</v>
      </c>
      <c r="B4572" s="2">
        <v>47.5</v>
      </c>
      <c r="C4572" s="1">
        <v>28.5</v>
      </c>
      <c r="D4572" s="2">
        <v>33</v>
      </c>
      <c r="E4572" s="3" t="s">
        <v>8</v>
      </c>
      <c r="F4572" s="2">
        <v>18</v>
      </c>
      <c r="G4572" s="1">
        <v>0</v>
      </c>
      <c r="H4572" s="1">
        <v>16.8</v>
      </c>
      <c r="I4572" s="1">
        <v>15.1</v>
      </c>
      <c r="J4572" s="2">
        <v>31.9</v>
      </c>
      <c r="K4572" s="2">
        <v>32.799999999999997</v>
      </c>
      <c r="L4572" s="1">
        <v>0</v>
      </c>
      <c r="M4572" s="1">
        <v>20.3</v>
      </c>
      <c r="O4572" s="1"/>
      <c r="P4572" s="1">
        <v>28.5</v>
      </c>
      <c r="Q4572" s="1">
        <v>8.1999999999999993</v>
      </c>
      <c r="R4572" s="1">
        <v>40.299999999999997</v>
      </c>
      <c r="X4572" s="1"/>
    </row>
    <row r="4573" spans="1:24" x14ac:dyDescent="0.25">
      <c r="A4573" s="22">
        <v>42924</v>
      </c>
      <c r="B4573" s="2">
        <v>7.8</v>
      </c>
      <c r="C4573" s="1">
        <v>10.5</v>
      </c>
      <c r="D4573" s="1">
        <v>9.4</v>
      </c>
      <c r="E4573" s="3" t="s">
        <v>8</v>
      </c>
      <c r="F4573" s="1">
        <v>4</v>
      </c>
      <c r="G4573" s="1">
        <v>3.5</v>
      </c>
      <c r="H4573" s="1"/>
      <c r="I4573" s="2">
        <v>0</v>
      </c>
      <c r="J4573" s="2">
        <v>1.2</v>
      </c>
      <c r="K4573" s="2">
        <v>5.4</v>
      </c>
      <c r="L4573" s="1">
        <v>9.9060000000000006</v>
      </c>
      <c r="M4573" s="1">
        <v>0.6</v>
      </c>
      <c r="O4573" s="1"/>
      <c r="P4573" s="1">
        <v>10.5</v>
      </c>
      <c r="Q4573" s="1">
        <v>3.6</v>
      </c>
      <c r="R4573" s="1">
        <v>0</v>
      </c>
      <c r="X4573" s="1"/>
    </row>
    <row r="4574" spans="1:24" x14ac:dyDescent="0.25">
      <c r="A4574" s="22">
        <v>42925</v>
      </c>
      <c r="B4574" s="2">
        <v>0</v>
      </c>
      <c r="C4574" s="1">
        <v>3.2</v>
      </c>
      <c r="D4574" s="1">
        <v>7.8</v>
      </c>
      <c r="E4574" s="3" t="s">
        <v>8</v>
      </c>
      <c r="F4574" s="1">
        <v>3.7</v>
      </c>
      <c r="G4574" s="1">
        <v>0.2</v>
      </c>
      <c r="H4574" s="1">
        <v>2.4</v>
      </c>
      <c r="I4574" s="2">
        <v>0</v>
      </c>
      <c r="J4574" s="2">
        <v>4.0999999999999996</v>
      </c>
      <c r="K4574" s="2">
        <v>0</v>
      </c>
      <c r="L4574" s="1">
        <v>8.636000000000001</v>
      </c>
      <c r="M4574" s="1">
        <v>0</v>
      </c>
      <c r="O4574" s="1"/>
      <c r="P4574" s="1">
        <v>3.2</v>
      </c>
      <c r="Q4574" s="1">
        <v>0.4</v>
      </c>
      <c r="R4574" s="1">
        <v>4.3</v>
      </c>
      <c r="X4574" s="1"/>
    </row>
    <row r="4575" spans="1:24" x14ac:dyDescent="0.25">
      <c r="A4575" s="22">
        <v>42926</v>
      </c>
      <c r="B4575" s="2">
        <v>6.6</v>
      </c>
      <c r="C4575" s="1">
        <v>1.5</v>
      </c>
      <c r="D4575" s="30" t="s">
        <v>9</v>
      </c>
      <c r="E4575" s="3" t="s">
        <v>8</v>
      </c>
      <c r="F4575" s="1">
        <v>0</v>
      </c>
      <c r="G4575" s="1">
        <v>0</v>
      </c>
      <c r="H4575" s="1"/>
      <c r="I4575" s="2">
        <v>0</v>
      </c>
      <c r="J4575" s="2">
        <v>0.4</v>
      </c>
      <c r="K4575" s="2">
        <v>1.8</v>
      </c>
      <c r="L4575" s="1">
        <v>0.7619999999999999</v>
      </c>
      <c r="M4575" s="1">
        <v>0.8</v>
      </c>
      <c r="O4575" s="1"/>
      <c r="P4575" s="1">
        <v>1.5</v>
      </c>
      <c r="Q4575" s="1">
        <v>0</v>
      </c>
      <c r="R4575" s="1">
        <v>0</v>
      </c>
      <c r="X4575" s="1"/>
    </row>
    <row r="4576" spans="1:24" x14ac:dyDescent="0.25">
      <c r="A4576" s="22">
        <v>42927</v>
      </c>
      <c r="B4576" s="2">
        <v>0</v>
      </c>
      <c r="C4576" s="1">
        <v>0</v>
      </c>
      <c r="D4576" s="1">
        <v>0</v>
      </c>
      <c r="E4576" s="3" t="s">
        <v>8</v>
      </c>
      <c r="F4576" s="1">
        <v>0</v>
      </c>
      <c r="G4576" s="1">
        <v>2.4</v>
      </c>
      <c r="H4576" s="1"/>
      <c r="I4576" s="2">
        <v>0</v>
      </c>
      <c r="J4576" s="30" t="s">
        <v>9</v>
      </c>
      <c r="K4576" s="2">
        <v>0</v>
      </c>
      <c r="L4576" s="1">
        <v>0</v>
      </c>
      <c r="M4576" s="1">
        <v>0</v>
      </c>
      <c r="O4576" s="1"/>
      <c r="P4576" s="1">
        <v>0</v>
      </c>
      <c r="Q4576" s="1">
        <v>2.1</v>
      </c>
      <c r="R4576" s="1">
        <v>0</v>
      </c>
      <c r="X4576" s="1"/>
    </row>
    <row r="4577" spans="1:24" x14ac:dyDescent="0.25">
      <c r="A4577" s="22">
        <v>42928</v>
      </c>
      <c r="B4577" s="2">
        <v>0</v>
      </c>
      <c r="C4577" s="1">
        <v>0.5</v>
      </c>
      <c r="D4577" s="1">
        <v>2</v>
      </c>
      <c r="E4577" s="3" t="s">
        <v>8</v>
      </c>
      <c r="F4577" s="1">
        <v>0</v>
      </c>
      <c r="G4577" s="1">
        <v>7.4</v>
      </c>
      <c r="H4577" s="1">
        <v>2.1</v>
      </c>
      <c r="I4577" s="2">
        <v>3.6</v>
      </c>
      <c r="J4577" s="30" t="s">
        <v>9</v>
      </c>
      <c r="K4577" s="2">
        <v>0</v>
      </c>
      <c r="L4577" s="1">
        <v>3.302</v>
      </c>
      <c r="M4577" s="1">
        <v>3.4</v>
      </c>
      <c r="O4577" s="1"/>
      <c r="P4577" s="1">
        <v>0.5</v>
      </c>
      <c r="Q4577" s="1">
        <v>3.1</v>
      </c>
      <c r="R4577" s="1">
        <v>2.7</v>
      </c>
      <c r="X4577" s="1"/>
    </row>
    <row r="4578" spans="1:24" x14ac:dyDescent="0.25">
      <c r="A4578" s="22">
        <v>42929</v>
      </c>
      <c r="B4578" s="2">
        <v>14.6</v>
      </c>
      <c r="C4578" s="1">
        <v>1.9</v>
      </c>
      <c r="D4578" s="1">
        <v>9.8000000000000007</v>
      </c>
      <c r="E4578" s="3" t="s">
        <v>8</v>
      </c>
      <c r="F4578" s="1">
        <v>0</v>
      </c>
      <c r="G4578" s="2">
        <v>23.6</v>
      </c>
      <c r="H4578" s="1">
        <v>1.9</v>
      </c>
      <c r="I4578" s="2">
        <v>2.2000000000000002</v>
      </c>
      <c r="J4578" s="1">
        <v>7.4</v>
      </c>
      <c r="K4578" s="2">
        <v>0</v>
      </c>
      <c r="L4578" s="1">
        <v>8.636000000000001</v>
      </c>
      <c r="M4578" s="1">
        <v>1.9</v>
      </c>
      <c r="O4578" s="1"/>
      <c r="P4578" s="1">
        <v>1.9</v>
      </c>
      <c r="Q4578" s="1">
        <v>47.6</v>
      </c>
      <c r="R4578" s="1">
        <v>44.5</v>
      </c>
      <c r="X4578" s="1"/>
    </row>
    <row r="4579" spans="1:24" x14ac:dyDescent="0.25">
      <c r="A4579" s="22">
        <v>42930</v>
      </c>
      <c r="B4579" s="2">
        <v>34.799999999999997</v>
      </c>
      <c r="C4579" s="1">
        <v>39.9</v>
      </c>
      <c r="D4579" s="1">
        <v>28.5</v>
      </c>
      <c r="E4579" s="3" t="s">
        <v>8</v>
      </c>
      <c r="F4579" s="1">
        <v>30.5</v>
      </c>
      <c r="G4579" s="2">
        <v>8.4</v>
      </c>
      <c r="H4579" s="1">
        <v>33.299999999999997</v>
      </c>
      <c r="I4579" s="2">
        <v>0</v>
      </c>
      <c r="J4579" s="1">
        <v>26.4</v>
      </c>
      <c r="K4579" s="2">
        <v>44.4</v>
      </c>
      <c r="L4579" s="1">
        <v>0</v>
      </c>
      <c r="M4579" s="1">
        <v>37.799999999999997</v>
      </c>
      <c r="O4579" s="1"/>
      <c r="P4579" s="1">
        <v>39.9</v>
      </c>
      <c r="Q4579" s="1">
        <v>6.7</v>
      </c>
      <c r="R4579" s="1">
        <v>5.6</v>
      </c>
      <c r="X4579" s="1"/>
    </row>
    <row r="4580" spans="1:24" x14ac:dyDescent="0.25">
      <c r="A4580" s="22">
        <v>42931</v>
      </c>
      <c r="B4580" s="2">
        <v>8</v>
      </c>
      <c r="C4580" s="1">
        <v>0</v>
      </c>
      <c r="D4580" s="1">
        <v>8</v>
      </c>
      <c r="E4580" s="3" t="s">
        <v>8</v>
      </c>
      <c r="F4580" s="1">
        <v>0.8</v>
      </c>
      <c r="G4580" s="2">
        <v>4.3</v>
      </c>
      <c r="H4580" s="1"/>
      <c r="I4580" s="2">
        <v>24.1</v>
      </c>
      <c r="J4580" s="2">
        <v>6.6</v>
      </c>
      <c r="K4580" s="2">
        <v>3.6</v>
      </c>
      <c r="L4580" s="1">
        <v>0.7619999999999999</v>
      </c>
      <c r="M4580" s="1">
        <v>0</v>
      </c>
      <c r="O4580" s="1"/>
      <c r="P4580" s="1">
        <v>0</v>
      </c>
      <c r="Q4580" s="1">
        <v>1.1000000000000001</v>
      </c>
      <c r="R4580" s="1">
        <v>2.5</v>
      </c>
      <c r="X4580" s="1"/>
    </row>
    <row r="4581" spans="1:24" x14ac:dyDescent="0.25">
      <c r="A4581" s="22">
        <v>42932</v>
      </c>
      <c r="B4581" s="2">
        <v>0</v>
      </c>
      <c r="C4581" s="1">
        <v>0</v>
      </c>
      <c r="D4581" s="1">
        <v>6</v>
      </c>
      <c r="E4581" s="3">
        <v>173.5</v>
      </c>
      <c r="F4581" s="1">
        <v>0</v>
      </c>
      <c r="G4581" s="2">
        <v>3.1</v>
      </c>
      <c r="H4581" s="1">
        <v>2.2999999999999998</v>
      </c>
      <c r="I4581" s="1">
        <v>5.2</v>
      </c>
      <c r="J4581" s="2">
        <v>11.7</v>
      </c>
      <c r="K4581" s="2">
        <v>0</v>
      </c>
      <c r="L4581" s="1">
        <v>9.9060000000000006</v>
      </c>
      <c r="M4581" s="1">
        <v>4.0999999999999996</v>
      </c>
      <c r="O4581" s="1"/>
      <c r="P4581" s="1">
        <v>0</v>
      </c>
      <c r="Q4581" s="1">
        <v>0.6</v>
      </c>
      <c r="R4581" s="1">
        <v>0.5</v>
      </c>
      <c r="X4581" s="1"/>
    </row>
    <row r="4582" spans="1:24" x14ac:dyDescent="0.25">
      <c r="A4582" s="22">
        <v>42933</v>
      </c>
      <c r="B4582" s="2">
        <v>0</v>
      </c>
      <c r="C4582" s="1">
        <v>0.5</v>
      </c>
      <c r="D4582" s="1">
        <v>2.2000000000000002</v>
      </c>
      <c r="E4582" s="3" t="s">
        <v>8</v>
      </c>
      <c r="F4582" s="1">
        <v>0</v>
      </c>
      <c r="G4582" s="1">
        <v>2.9</v>
      </c>
      <c r="H4582" s="1">
        <v>0.6</v>
      </c>
      <c r="I4582" s="2">
        <v>2.4</v>
      </c>
      <c r="J4582" s="2">
        <v>1.5</v>
      </c>
      <c r="K4582" s="2">
        <v>4</v>
      </c>
      <c r="L4582" s="1">
        <v>0.7619999999999999</v>
      </c>
      <c r="M4582" s="1">
        <v>3.2</v>
      </c>
      <c r="O4582" s="1"/>
      <c r="P4582" s="1">
        <v>0.5</v>
      </c>
      <c r="Q4582" s="1">
        <v>3.8</v>
      </c>
      <c r="R4582" s="1">
        <v>4.4000000000000004</v>
      </c>
      <c r="X4582" s="1"/>
    </row>
    <row r="4583" spans="1:24" x14ac:dyDescent="0.25">
      <c r="A4583" s="22">
        <v>42934</v>
      </c>
      <c r="B4583" s="2">
        <v>0</v>
      </c>
      <c r="C4583" s="1">
        <v>13.5</v>
      </c>
      <c r="D4583" s="1">
        <v>6.5</v>
      </c>
      <c r="E4583" s="3" t="s">
        <v>8</v>
      </c>
      <c r="F4583" s="2">
        <v>0</v>
      </c>
      <c r="G4583" s="1">
        <v>18.8</v>
      </c>
      <c r="H4583" s="1">
        <v>1</v>
      </c>
      <c r="I4583" s="2">
        <v>0</v>
      </c>
      <c r="J4583" s="1">
        <v>9.3000000000000007</v>
      </c>
      <c r="K4583" s="2">
        <v>11.3</v>
      </c>
      <c r="L4583" s="1">
        <v>0</v>
      </c>
      <c r="M4583" s="1">
        <v>2.4</v>
      </c>
      <c r="O4583" s="1"/>
      <c r="P4583" s="1">
        <v>13.5</v>
      </c>
      <c r="Q4583" s="1">
        <v>6.2</v>
      </c>
      <c r="R4583" s="1">
        <v>6.4</v>
      </c>
      <c r="X4583" s="1"/>
    </row>
    <row r="4584" spans="1:24" x14ac:dyDescent="0.25">
      <c r="A4584" s="22">
        <v>42935</v>
      </c>
      <c r="B4584" s="2">
        <v>0</v>
      </c>
      <c r="C4584" s="1">
        <v>14.7</v>
      </c>
      <c r="D4584" s="1">
        <v>14.5</v>
      </c>
      <c r="E4584" s="3" t="s">
        <v>8</v>
      </c>
      <c r="F4584" s="1">
        <v>0</v>
      </c>
      <c r="G4584" s="1">
        <v>8.4</v>
      </c>
      <c r="H4584" s="1">
        <v>11.7</v>
      </c>
      <c r="I4584" s="2">
        <v>24.5</v>
      </c>
      <c r="J4584" s="1">
        <v>22.6</v>
      </c>
      <c r="K4584" s="1">
        <v>19.100000000000001</v>
      </c>
      <c r="L4584" s="1">
        <v>0</v>
      </c>
      <c r="M4584" s="1">
        <v>24.7</v>
      </c>
      <c r="O4584" s="1"/>
      <c r="P4584" s="1">
        <v>14.7</v>
      </c>
      <c r="Q4584" s="1">
        <v>10.4</v>
      </c>
      <c r="R4584" s="1">
        <v>8.3000000000000007</v>
      </c>
      <c r="X4584" s="1"/>
    </row>
    <row r="4585" spans="1:24" x14ac:dyDescent="0.25">
      <c r="A4585" s="22">
        <v>42936</v>
      </c>
      <c r="B4585" s="2">
        <v>0</v>
      </c>
      <c r="C4585" s="1">
        <v>17.2</v>
      </c>
      <c r="D4585" s="1">
        <v>11.5</v>
      </c>
      <c r="E4585" s="3" t="s">
        <v>8</v>
      </c>
      <c r="F4585" s="1">
        <v>0</v>
      </c>
      <c r="G4585" s="1">
        <v>2</v>
      </c>
      <c r="H4585" s="1">
        <v>20</v>
      </c>
      <c r="I4585" s="2">
        <v>14.6</v>
      </c>
      <c r="J4585" s="2">
        <v>13.7</v>
      </c>
      <c r="K4585" s="2">
        <v>21.4</v>
      </c>
      <c r="L4585" s="1">
        <v>0</v>
      </c>
      <c r="M4585" s="1">
        <v>6.8</v>
      </c>
      <c r="O4585" s="1"/>
      <c r="P4585" s="1">
        <v>17.2</v>
      </c>
      <c r="Q4585" s="1">
        <v>0</v>
      </c>
      <c r="R4585" s="1">
        <v>0</v>
      </c>
      <c r="X4585" s="1"/>
    </row>
    <row r="4586" spans="1:24" x14ac:dyDescent="0.25">
      <c r="A4586" s="22">
        <v>42937</v>
      </c>
      <c r="B4586" s="2">
        <v>0</v>
      </c>
      <c r="C4586" s="1">
        <v>0.5</v>
      </c>
      <c r="D4586" s="1">
        <v>1.5</v>
      </c>
      <c r="E4586" s="3" t="s">
        <v>8</v>
      </c>
      <c r="F4586" s="1">
        <v>0</v>
      </c>
      <c r="G4586" s="1">
        <v>2.5</v>
      </c>
      <c r="H4586" s="1">
        <v>2</v>
      </c>
      <c r="I4586" s="2">
        <v>0</v>
      </c>
      <c r="J4586" s="1">
        <v>3</v>
      </c>
      <c r="K4586" s="1">
        <v>6.1</v>
      </c>
      <c r="L4586" s="1">
        <v>1.016</v>
      </c>
      <c r="M4586" s="1">
        <v>0.1</v>
      </c>
      <c r="O4586" s="1"/>
      <c r="P4586" s="1">
        <v>0.5</v>
      </c>
      <c r="Q4586" s="1">
        <v>9.3000000000000007</v>
      </c>
      <c r="R4586" s="1">
        <v>0</v>
      </c>
      <c r="X4586" s="1"/>
    </row>
    <row r="4587" spans="1:24" x14ac:dyDescent="0.25">
      <c r="A4587" s="22">
        <v>42938</v>
      </c>
      <c r="B4587" s="2">
        <v>0</v>
      </c>
      <c r="C4587" s="1">
        <v>3.1</v>
      </c>
      <c r="D4587" s="1">
        <v>10</v>
      </c>
      <c r="E4587" s="3" t="s">
        <v>8</v>
      </c>
      <c r="F4587" s="1">
        <v>0</v>
      </c>
      <c r="G4587" s="1">
        <v>8.1999999999999993</v>
      </c>
      <c r="H4587" s="1">
        <v>1.1000000000000001</v>
      </c>
      <c r="I4587" s="2">
        <v>5.2</v>
      </c>
      <c r="J4587" s="1">
        <v>2.5</v>
      </c>
      <c r="K4587" s="1">
        <v>5.5</v>
      </c>
      <c r="L4587" s="1">
        <v>12.446</v>
      </c>
      <c r="M4587" s="1">
        <v>5.2</v>
      </c>
      <c r="O4587" s="1"/>
      <c r="P4587" s="1">
        <v>3.1</v>
      </c>
      <c r="Q4587" s="1">
        <v>12.2</v>
      </c>
      <c r="R4587" s="1">
        <v>10.5</v>
      </c>
      <c r="X4587" s="1"/>
    </row>
    <row r="4588" spans="1:24" x14ac:dyDescent="0.25">
      <c r="A4588" s="22">
        <v>42939</v>
      </c>
      <c r="B4588" s="2">
        <v>0</v>
      </c>
      <c r="C4588" s="1">
        <v>8</v>
      </c>
      <c r="D4588" s="1">
        <v>0</v>
      </c>
      <c r="E4588" s="3" t="s">
        <v>8</v>
      </c>
      <c r="F4588" s="1">
        <v>0</v>
      </c>
      <c r="G4588" s="1">
        <v>4.0999999999999996</v>
      </c>
      <c r="H4588" s="1"/>
      <c r="I4588" s="1">
        <v>6.3</v>
      </c>
      <c r="J4588" s="1">
        <v>9.4</v>
      </c>
      <c r="K4588" s="1">
        <v>16.7</v>
      </c>
      <c r="L4588" s="1">
        <v>0.7619999999999999</v>
      </c>
      <c r="M4588" s="1">
        <v>6.4</v>
      </c>
      <c r="O4588" s="1"/>
      <c r="P4588" s="1">
        <v>8</v>
      </c>
      <c r="Q4588" s="1">
        <v>3.5</v>
      </c>
      <c r="R4588" s="1">
        <v>2.2000000000000002</v>
      </c>
      <c r="X4588" s="1"/>
    </row>
    <row r="4589" spans="1:24" x14ac:dyDescent="0.25">
      <c r="A4589" s="22">
        <v>42940</v>
      </c>
      <c r="B4589" s="2">
        <v>40.700000000000003</v>
      </c>
      <c r="C4589" s="1">
        <v>8.4</v>
      </c>
      <c r="D4589" s="1">
        <v>9.8000000000000007</v>
      </c>
      <c r="E4589" s="3" t="s">
        <v>8</v>
      </c>
      <c r="F4589" s="1">
        <v>3.3</v>
      </c>
      <c r="G4589" s="1">
        <v>8.6999999999999993</v>
      </c>
      <c r="H4589" s="1">
        <v>1.7</v>
      </c>
      <c r="I4589" s="2">
        <v>0</v>
      </c>
      <c r="J4589" s="1">
        <v>5</v>
      </c>
      <c r="K4589" s="1">
        <v>11.4</v>
      </c>
      <c r="L4589" s="1">
        <v>0</v>
      </c>
      <c r="M4589" s="1">
        <v>1.1000000000000001</v>
      </c>
      <c r="O4589" s="1"/>
      <c r="P4589" s="1">
        <v>8.4</v>
      </c>
      <c r="Q4589" s="1">
        <v>10.5</v>
      </c>
      <c r="R4589" s="1">
        <v>12.4</v>
      </c>
      <c r="X4589" s="1"/>
    </row>
    <row r="4590" spans="1:24" x14ac:dyDescent="0.25">
      <c r="A4590" s="22">
        <v>42941</v>
      </c>
      <c r="B4590" s="2">
        <v>0</v>
      </c>
      <c r="C4590" s="1">
        <v>16.2</v>
      </c>
      <c r="D4590" s="1">
        <v>12.6</v>
      </c>
      <c r="E4590" s="3" t="s">
        <v>8</v>
      </c>
      <c r="F4590" s="2">
        <v>7.4</v>
      </c>
      <c r="G4590" s="1">
        <v>2.8</v>
      </c>
      <c r="H4590" s="1">
        <v>12.5</v>
      </c>
      <c r="I4590" s="1">
        <v>15.4</v>
      </c>
      <c r="J4590" s="2">
        <v>11</v>
      </c>
      <c r="K4590" s="2">
        <v>3.4</v>
      </c>
      <c r="L4590" s="1">
        <v>0</v>
      </c>
      <c r="M4590" s="1">
        <v>17.2</v>
      </c>
      <c r="O4590" s="1"/>
      <c r="P4590" s="1">
        <v>16.2</v>
      </c>
      <c r="Q4590" s="1">
        <v>0.6</v>
      </c>
      <c r="R4590" s="1">
        <v>0.4</v>
      </c>
      <c r="X4590" s="1"/>
    </row>
    <row r="4591" spans="1:24" x14ac:dyDescent="0.25">
      <c r="A4591" s="22">
        <v>42942</v>
      </c>
      <c r="B4591" s="2">
        <v>0</v>
      </c>
      <c r="C4591" s="1">
        <v>1.5</v>
      </c>
      <c r="D4591" s="30" t="s">
        <v>9</v>
      </c>
      <c r="E4591" s="3" t="s">
        <v>8</v>
      </c>
      <c r="F4591" s="2">
        <v>0</v>
      </c>
      <c r="G4591" s="1">
        <v>2.4</v>
      </c>
      <c r="H4591" s="1"/>
      <c r="I4591" s="1">
        <v>2.5</v>
      </c>
      <c r="J4591" s="1">
        <v>6.5</v>
      </c>
      <c r="K4591" s="2">
        <v>0</v>
      </c>
      <c r="L4591" s="1">
        <v>0</v>
      </c>
      <c r="M4591" s="1">
        <v>5</v>
      </c>
      <c r="O4591" s="1"/>
      <c r="P4591" s="1">
        <v>1.5</v>
      </c>
      <c r="Q4591" s="1">
        <v>1.9</v>
      </c>
      <c r="R4591" s="1">
        <v>2.1</v>
      </c>
      <c r="X4591" s="1"/>
    </row>
    <row r="4592" spans="1:24" x14ac:dyDescent="0.25">
      <c r="A4592" s="22">
        <v>42943</v>
      </c>
      <c r="B4592" s="2">
        <v>0</v>
      </c>
      <c r="C4592" s="1">
        <v>2.5</v>
      </c>
      <c r="D4592" s="1">
        <v>8</v>
      </c>
      <c r="E4592" s="3" t="s">
        <v>8</v>
      </c>
      <c r="F4592" s="2">
        <v>0</v>
      </c>
      <c r="G4592" s="1">
        <v>5.2</v>
      </c>
      <c r="H4592" s="1"/>
      <c r="I4592" s="1">
        <v>0.3</v>
      </c>
      <c r="J4592" s="2">
        <v>1.1000000000000001</v>
      </c>
      <c r="K4592" s="2">
        <v>1</v>
      </c>
      <c r="L4592" s="1">
        <v>0</v>
      </c>
      <c r="M4592" s="1">
        <v>1.3</v>
      </c>
      <c r="O4592" s="1"/>
      <c r="P4592" s="1">
        <v>2.5</v>
      </c>
      <c r="Q4592" s="1">
        <v>4.0999999999999996</v>
      </c>
      <c r="R4592" s="1">
        <v>3.1</v>
      </c>
      <c r="X4592" s="1"/>
    </row>
    <row r="4593" spans="1:24" x14ac:dyDescent="0.25">
      <c r="A4593" s="22">
        <v>42944</v>
      </c>
      <c r="B4593" s="2">
        <v>0</v>
      </c>
      <c r="C4593" s="1">
        <v>10.4</v>
      </c>
      <c r="D4593" s="1">
        <v>10</v>
      </c>
      <c r="E4593" s="3" t="s">
        <v>8</v>
      </c>
      <c r="F4593" s="2">
        <v>0</v>
      </c>
      <c r="G4593" s="1">
        <v>1.4</v>
      </c>
      <c r="H4593" s="1">
        <v>1.5</v>
      </c>
      <c r="I4593" s="1">
        <v>1.7</v>
      </c>
      <c r="J4593" s="1">
        <v>9.5</v>
      </c>
      <c r="K4593" s="2">
        <v>9.4</v>
      </c>
      <c r="L4593" s="1">
        <v>11.43</v>
      </c>
      <c r="M4593" s="1">
        <v>2.2999999999999998</v>
      </c>
      <c r="O4593" s="1"/>
      <c r="P4593" s="1">
        <v>10.4</v>
      </c>
      <c r="Q4593" s="1">
        <v>0</v>
      </c>
      <c r="R4593" s="1">
        <v>0</v>
      </c>
      <c r="X4593" s="1"/>
    </row>
    <row r="4594" spans="1:24" x14ac:dyDescent="0.25">
      <c r="A4594" s="22">
        <v>42945</v>
      </c>
      <c r="B4594" s="2">
        <v>0</v>
      </c>
      <c r="C4594" s="1">
        <v>0</v>
      </c>
      <c r="D4594" s="1">
        <v>0</v>
      </c>
      <c r="E4594" s="3" t="s">
        <v>8</v>
      </c>
      <c r="F4594" s="2">
        <v>0</v>
      </c>
      <c r="G4594" s="1">
        <v>2.2999999999999998</v>
      </c>
      <c r="H4594" s="1"/>
      <c r="I4594" s="1">
        <v>0.5</v>
      </c>
      <c r="J4594" s="1">
        <v>3.3</v>
      </c>
      <c r="K4594" s="2">
        <v>0</v>
      </c>
      <c r="L4594" s="1">
        <v>0</v>
      </c>
      <c r="M4594" s="1">
        <v>0</v>
      </c>
      <c r="O4594" s="1"/>
      <c r="P4594" s="1">
        <v>0</v>
      </c>
      <c r="Q4594" s="1">
        <v>0</v>
      </c>
      <c r="R4594" s="1">
        <v>0</v>
      </c>
      <c r="X4594" s="1"/>
    </row>
    <row r="4595" spans="1:24" x14ac:dyDescent="0.25">
      <c r="A4595" s="22">
        <v>42946</v>
      </c>
      <c r="B4595" s="2">
        <v>0</v>
      </c>
      <c r="C4595" s="1">
        <v>3.7</v>
      </c>
      <c r="D4595" s="1">
        <v>0</v>
      </c>
      <c r="E4595" s="3">
        <v>76.3</v>
      </c>
      <c r="F4595" s="2">
        <v>0</v>
      </c>
      <c r="G4595" s="1">
        <v>2.1</v>
      </c>
      <c r="H4595" s="1"/>
      <c r="I4595" s="1">
        <v>0.6</v>
      </c>
      <c r="J4595" s="1">
        <v>1.8</v>
      </c>
      <c r="K4595" s="2">
        <v>3.4</v>
      </c>
      <c r="L4595" s="1">
        <v>0.7619999999999999</v>
      </c>
      <c r="M4595" s="1">
        <v>0.7</v>
      </c>
      <c r="O4595" s="1"/>
      <c r="P4595" s="1">
        <v>3.7</v>
      </c>
      <c r="Q4595" s="1">
        <v>8.9</v>
      </c>
      <c r="R4595" s="1">
        <v>6.1</v>
      </c>
      <c r="X4595" s="1"/>
    </row>
    <row r="4596" spans="1:24" x14ac:dyDescent="0.25">
      <c r="A4596" s="22">
        <v>42947</v>
      </c>
      <c r="B4596" s="1">
        <v>26.4</v>
      </c>
      <c r="C4596" s="1">
        <v>1.5</v>
      </c>
      <c r="D4596" s="1">
        <v>2.6</v>
      </c>
      <c r="E4596" s="1"/>
      <c r="F4596" s="1">
        <v>0</v>
      </c>
      <c r="G4596" s="1">
        <v>19.7</v>
      </c>
      <c r="H4596" s="1">
        <v>1.7</v>
      </c>
      <c r="I4596" s="1">
        <v>2.5</v>
      </c>
      <c r="J4596" s="1"/>
      <c r="K4596" s="1"/>
      <c r="L4596" s="1">
        <v>10.413999999999998</v>
      </c>
      <c r="M4596" s="1">
        <v>1.2</v>
      </c>
      <c r="O4596" s="1"/>
      <c r="P4596" s="1">
        <v>1.5</v>
      </c>
      <c r="Q4596" s="1">
        <v>14.2</v>
      </c>
      <c r="R4596" s="1">
        <v>0</v>
      </c>
      <c r="X4596" s="1"/>
    </row>
    <row r="4597" spans="1:24" x14ac:dyDescent="0.25">
      <c r="A4597" s="22">
        <v>42948</v>
      </c>
      <c r="B4597" s="2">
        <v>0</v>
      </c>
      <c r="C4597" s="1">
        <v>28</v>
      </c>
      <c r="D4597" s="1">
        <v>14.5</v>
      </c>
      <c r="E4597" s="3" t="s">
        <v>8</v>
      </c>
      <c r="F4597" s="1"/>
      <c r="G4597" s="1">
        <v>12.8</v>
      </c>
      <c r="H4597" s="1">
        <v>7.2</v>
      </c>
      <c r="I4597" s="2">
        <v>14</v>
      </c>
      <c r="J4597" s="1">
        <v>6.5</v>
      </c>
      <c r="K4597" s="2">
        <v>12</v>
      </c>
      <c r="L4597" s="1">
        <v>21.335999999999999</v>
      </c>
      <c r="M4597" s="1">
        <v>22.2</v>
      </c>
      <c r="O4597" s="1">
        <v>24.13</v>
      </c>
      <c r="P4597" s="1">
        <v>21</v>
      </c>
      <c r="Q4597" s="1">
        <v>12.5</v>
      </c>
      <c r="R4597" s="1">
        <v>20.2</v>
      </c>
      <c r="X4597" s="1">
        <v>38.099999999999994</v>
      </c>
    </row>
    <row r="4598" spans="1:24" x14ac:dyDescent="0.25">
      <c r="A4598" s="22">
        <v>42949</v>
      </c>
      <c r="B4598" s="2">
        <v>49.5</v>
      </c>
      <c r="C4598" s="1">
        <v>24.2</v>
      </c>
      <c r="D4598" s="1">
        <v>13.5</v>
      </c>
      <c r="E4598" s="3" t="s">
        <v>8</v>
      </c>
      <c r="F4598" s="1"/>
      <c r="G4598" s="1">
        <v>28</v>
      </c>
      <c r="H4598" s="1">
        <v>16.100000000000001</v>
      </c>
      <c r="I4598" s="2">
        <v>34.1</v>
      </c>
      <c r="J4598" s="2">
        <v>33.5</v>
      </c>
      <c r="K4598" s="2">
        <v>37.5</v>
      </c>
      <c r="L4598" s="1">
        <v>29.463999999999995</v>
      </c>
      <c r="M4598" s="1">
        <v>22</v>
      </c>
      <c r="O4598" s="1">
        <v>13.97</v>
      </c>
      <c r="P4598" s="1">
        <v>33.200000000000003</v>
      </c>
      <c r="Q4598" s="1">
        <v>22.8</v>
      </c>
      <c r="R4598" s="1">
        <v>3.2</v>
      </c>
      <c r="X4598" s="1">
        <v>25.4</v>
      </c>
    </row>
    <row r="4599" spans="1:24" x14ac:dyDescent="0.25">
      <c r="A4599" s="22">
        <v>42950</v>
      </c>
      <c r="B4599" s="2">
        <v>0</v>
      </c>
      <c r="C4599" s="1">
        <v>30.2</v>
      </c>
      <c r="D4599" s="1">
        <v>39.200000000000003</v>
      </c>
      <c r="E4599" s="3" t="s">
        <v>8</v>
      </c>
      <c r="F4599" s="1"/>
      <c r="G4599" s="1">
        <v>9.6</v>
      </c>
      <c r="H4599" s="1">
        <v>34.200000000000003</v>
      </c>
      <c r="I4599" s="2">
        <v>0</v>
      </c>
      <c r="J4599" s="2">
        <v>39.6</v>
      </c>
      <c r="K4599" s="2">
        <v>54.6</v>
      </c>
      <c r="L4599" s="1">
        <v>21.843999999999998</v>
      </c>
      <c r="M4599" s="1">
        <v>25.4</v>
      </c>
      <c r="O4599" s="1">
        <v>31.75</v>
      </c>
      <c r="P4599" s="1">
        <v>32.1</v>
      </c>
      <c r="Q4599" s="1">
        <v>57.6</v>
      </c>
      <c r="R4599" s="1">
        <v>28.3</v>
      </c>
      <c r="X4599" s="1">
        <v>43.18</v>
      </c>
    </row>
    <row r="4600" spans="1:24" x14ac:dyDescent="0.25">
      <c r="A4600" s="22">
        <v>42951</v>
      </c>
      <c r="B4600" s="2">
        <v>69.400000000000006</v>
      </c>
      <c r="C4600" s="1">
        <v>32.9</v>
      </c>
      <c r="D4600" s="1">
        <v>26.5</v>
      </c>
      <c r="E4600" s="3" t="s">
        <v>8</v>
      </c>
      <c r="F4600" s="1"/>
      <c r="G4600" s="1">
        <v>7.4</v>
      </c>
      <c r="H4600" s="1">
        <v>20.3</v>
      </c>
      <c r="I4600" s="2">
        <v>38.299999999999997</v>
      </c>
      <c r="J4600" s="1">
        <v>24</v>
      </c>
      <c r="K4600" s="2">
        <v>30</v>
      </c>
      <c r="L4600" s="1">
        <v>38.099999999999994</v>
      </c>
      <c r="M4600" s="1">
        <v>18.100000000000001</v>
      </c>
      <c r="O4600" s="1">
        <v>44.449999999999996</v>
      </c>
      <c r="P4600" s="1">
        <v>31.9</v>
      </c>
      <c r="Q4600" s="1">
        <v>3.1</v>
      </c>
      <c r="R4600" s="1">
        <v>44.6</v>
      </c>
      <c r="X4600" s="1">
        <v>0</v>
      </c>
    </row>
    <row r="4601" spans="1:24" x14ac:dyDescent="0.25">
      <c r="A4601" s="22">
        <v>42952</v>
      </c>
      <c r="B4601" s="2">
        <v>0</v>
      </c>
      <c r="C4601" s="1">
        <v>16.8</v>
      </c>
      <c r="D4601" s="2">
        <v>14.6</v>
      </c>
      <c r="E4601" s="3" t="s">
        <v>8</v>
      </c>
      <c r="F4601" s="2"/>
      <c r="G4601" s="1">
        <v>13.3</v>
      </c>
      <c r="H4601" s="1">
        <v>0</v>
      </c>
      <c r="I4601" s="2">
        <v>17.3</v>
      </c>
      <c r="J4601" s="2">
        <v>7.2</v>
      </c>
      <c r="K4601" s="2">
        <v>9</v>
      </c>
      <c r="L4601" s="1">
        <v>9.9060000000000006</v>
      </c>
      <c r="M4601" s="1">
        <v>7.1</v>
      </c>
      <c r="O4601" s="1">
        <v>8.8899999999999988</v>
      </c>
      <c r="P4601" s="1">
        <v>0</v>
      </c>
      <c r="Q4601" s="1">
        <v>1.2</v>
      </c>
      <c r="R4601" s="1">
        <v>2.2000000000000002</v>
      </c>
      <c r="X4601" s="1">
        <v>0</v>
      </c>
    </row>
    <row r="4602" spans="1:24" x14ac:dyDescent="0.25">
      <c r="A4602" s="22">
        <v>42953</v>
      </c>
      <c r="B4602" s="2">
        <v>11</v>
      </c>
      <c r="C4602" s="1">
        <v>0</v>
      </c>
      <c r="D4602" s="2">
        <v>0</v>
      </c>
      <c r="E4602" s="3" t="s">
        <v>8</v>
      </c>
      <c r="F4602" s="2"/>
      <c r="G4602" s="1">
        <v>5.8</v>
      </c>
      <c r="H4602" s="1">
        <v>7.3</v>
      </c>
      <c r="I4602" s="2">
        <v>15.4</v>
      </c>
      <c r="J4602" s="2">
        <v>4.5999999999999996</v>
      </c>
      <c r="K4602" s="2"/>
      <c r="L4602" s="1">
        <v>1.016</v>
      </c>
      <c r="M4602" s="1">
        <v>12.3</v>
      </c>
      <c r="O4602" s="1">
        <v>0</v>
      </c>
      <c r="P4602" s="1">
        <v>0.9</v>
      </c>
      <c r="Q4602" s="1">
        <v>3.4</v>
      </c>
      <c r="R4602" s="1">
        <v>1.1000000000000001</v>
      </c>
      <c r="X4602" s="1">
        <v>0</v>
      </c>
    </row>
    <row r="4603" spans="1:24" x14ac:dyDescent="0.25">
      <c r="A4603" s="22">
        <v>42954</v>
      </c>
      <c r="B4603" s="2">
        <v>0</v>
      </c>
      <c r="C4603" s="1">
        <v>16.3</v>
      </c>
      <c r="D4603" s="2">
        <v>12</v>
      </c>
      <c r="E4603" s="3" t="s">
        <v>8</v>
      </c>
      <c r="F4603" s="2"/>
      <c r="G4603" s="1">
        <v>2.2999999999999998</v>
      </c>
      <c r="H4603" s="1">
        <v>1.2</v>
      </c>
      <c r="I4603" s="1">
        <v>7.2</v>
      </c>
      <c r="J4603" s="2">
        <v>10.5</v>
      </c>
      <c r="K4603" s="2">
        <v>6.1</v>
      </c>
      <c r="L4603" s="1">
        <v>4.8259999999999996</v>
      </c>
      <c r="M4603" s="1">
        <v>1.4</v>
      </c>
      <c r="O4603" s="1">
        <v>4.8259999999999996</v>
      </c>
      <c r="P4603" s="1">
        <v>4.5</v>
      </c>
      <c r="Q4603" s="1">
        <v>0</v>
      </c>
      <c r="R4603" s="1">
        <v>2.8</v>
      </c>
      <c r="X4603" s="1">
        <v>0</v>
      </c>
    </row>
    <row r="4604" spans="1:24" x14ac:dyDescent="0.25">
      <c r="A4604" s="22">
        <v>42955</v>
      </c>
      <c r="B4604" s="2">
        <v>0</v>
      </c>
      <c r="C4604" s="1">
        <v>3.5</v>
      </c>
      <c r="D4604" s="1">
        <v>4.5</v>
      </c>
      <c r="E4604" s="3" t="s">
        <v>8</v>
      </c>
      <c r="F4604" s="1"/>
      <c r="G4604" s="1">
        <v>1.2</v>
      </c>
      <c r="H4604" s="1">
        <v>0</v>
      </c>
      <c r="I4604" s="2">
        <v>1.2</v>
      </c>
      <c r="J4604" s="2">
        <v>4.7</v>
      </c>
      <c r="K4604" s="2">
        <v>14.3</v>
      </c>
      <c r="L4604" s="1">
        <v>0.7619999999999999</v>
      </c>
      <c r="M4604" s="1">
        <v>0</v>
      </c>
      <c r="O4604" s="1">
        <v>12.7</v>
      </c>
      <c r="P4604" s="1">
        <v>1.3</v>
      </c>
      <c r="Q4604" s="1">
        <v>0</v>
      </c>
      <c r="R4604" s="1">
        <v>0</v>
      </c>
      <c r="X4604" s="1">
        <v>0</v>
      </c>
    </row>
    <row r="4605" spans="1:24" x14ac:dyDescent="0.25">
      <c r="A4605" s="22">
        <v>42956</v>
      </c>
      <c r="B4605" s="2">
        <v>0</v>
      </c>
      <c r="C4605" s="1">
        <v>1.5</v>
      </c>
      <c r="D4605" s="1">
        <v>0</v>
      </c>
      <c r="E4605" s="3" t="s">
        <v>8</v>
      </c>
      <c r="F4605" s="1"/>
      <c r="G4605" s="1">
        <v>1.6</v>
      </c>
      <c r="H4605" s="1">
        <v>0</v>
      </c>
      <c r="I4605" s="2">
        <v>0</v>
      </c>
      <c r="J4605" s="2"/>
      <c r="K4605" s="2">
        <v>9.5</v>
      </c>
      <c r="L4605" s="1">
        <v>1.5239999999999998</v>
      </c>
      <c r="M4605" s="1">
        <v>0.6</v>
      </c>
      <c r="O4605" s="1">
        <v>2.54</v>
      </c>
      <c r="P4605" s="1">
        <v>0</v>
      </c>
      <c r="Q4605" s="1">
        <v>1.7</v>
      </c>
      <c r="R4605" s="1">
        <v>0</v>
      </c>
      <c r="X4605" s="1">
        <v>24.13</v>
      </c>
    </row>
    <row r="4606" spans="1:24" x14ac:dyDescent="0.25">
      <c r="A4606" s="22">
        <v>42957</v>
      </c>
      <c r="B4606" s="2">
        <v>0</v>
      </c>
      <c r="C4606" s="1">
        <v>2.1</v>
      </c>
      <c r="D4606" s="1">
        <v>3</v>
      </c>
      <c r="E4606" s="3" t="s">
        <v>8</v>
      </c>
      <c r="F4606" s="1"/>
      <c r="G4606" s="1">
        <v>8.6</v>
      </c>
      <c r="H4606" s="1">
        <v>0</v>
      </c>
      <c r="I4606" s="2">
        <v>0</v>
      </c>
      <c r="J4606" s="30" t="s">
        <v>9</v>
      </c>
      <c r="K4606" s="2">
        <v>1.5</v>
      </c>
      <c r="L4606" s="1">
        <v>4.3180000000000005</v>
      </c>
      <c r="M4606" s="1">
        <v>1.1000000000000001</v>
      </c>
      <c r="O4606" s="1">
        <v>12.446</v>
      </c>
      <c r="P4606" s="1">
        <v>7.3</v>
      </c>
      <c r="Q4606" s="1">
        <v>11.2</v>
      </c>
      <c r="R4606" s="1">
        <v>0</v>
      </c>
      <c r="X4606" s="1">
        <v>24.891999999999999</v>
      </c>
    </row>
    <row r="4607" spans="1:24" x14ac:dyDescent="0.25">
      <c r="A4607" s="22">
        <v>42958</v>
      </c>
      <c r="B4607" s="2">
        <v>0</v>
      </c>
      <c r="C4607" s="1">
        <v>23.2</v>
      </c>
      <c r="D4607" s="1">
        <v>13.2</v>
      </c>
      <c r="E4607" s="3" t="s">
        <v>8</v>
      </c>
      <c r="F4607" s="1"/>
      <c r="G4607" s="1">
        <v>2.7</v>
      </c>
      <c r="H4607" s="1">
        <v>10</v>
      </c>
      <c r="I4607" s="2">
        <v>2.1</v>
      </c>
      <c r="J4607" s="2">
        <v>10.5</v>
      </c>
      <c r="K4607" s="2">
        <v>2.8</v>
      </c>
      <c r="L4607" s="1">
        <v>10.921999999999999</v>
      </c>
      <c r="M4607" s="1">
        <v>10.7</v>
      </c>
      <c r="O4607" s="1">
        <v>14.731999999999998</v>
      </c>
      <c r="P4607" s="1">
        <v>3.2</v>
      </c>
      <c r="Q4607" s="1">
        <v>11.9</v>
      </c>
      <c r="R4607" s="1">
        <v>8.9</v>
      </c>
      <c r="X4607" s="1">
        <v>7.8739999999999997</v>
      </c>
    </row>
    <row r="4608" spans="1:24" x14ac:dyDescent="0.25">
      <c r="A4608" s="22">
        <v>42959</v>
      </c>
      <c r="B4608" s="2">
        <v>0</v>
      </c>
      <c r="C4608" s="1">
        <v>22.3</v>
      </c>
      <c r="D4608" s="1">
        <v>6</v>
      </c>
      <c r="E4608" s="3" t="s">
        <v>8</v>
      </c>
      <c r="F4608" s="1"/>
      <c r="G4608" s="1">
        <v>5.9</v>
      </c>
      <c r="H4608" s="1">
        <v>2.4</v>
      </c>
      <c r="I4608" s="2">
        <v>5.2</v>
      </c>
      <c r="J4608" s="1">
        <v>3.8</v>
      </c>
      <c r="K4608" s="2">
        <v>12.1</v>
      </c>
      <c r="L4608" s="1">
        <v>0</v>
      </c>
      <c r="M4608" s="1">
        <v>4.2</v>
      </c>
      <c r="O4608" s="1">
        <v>10.667999999999999</v>
      </c>
      <c r="P4608" s="1">
        <v>2.5</v>
      </c>
      <c r="Q4608" s="1">
        <v>8.5</v>
      </c>
      <c r="R4608" s="1">
        <v>9.3000000000000007</v>
      </c>
      <c r="X4608" s="1">
        <v>0</v>
      </c>
    </row>
    <row r="4609" spans="1:24" x14ac:dyDescent="0.25">
      <c r="A4609" s="22">
        <v>42960</v>
      </c>
      <c r="B4609" s="2">
        <v>0</v>
      </c>
      <c r="C4609" s="1">
        <v>20.3</v>
      </c>
      <c r="D4609" s="1">
        <v>14.5</v>
      </c>
      <c r="E4609" s="3" t="s">
        <v>8</v>
      </c>
      <c r="F4609" s="1"/>
      <c r="G4609" s="2">
        <v>3.8</v>
      </c>
      <c r="H4609" s="1">
        <v>2.2999999999999998</v>
      </c>
      <c r="I4609" s="2">
        <v>17.7</v>
      </c>
      <c r="J4609" s="1">
        <v>10.1</v>
      </c>
      <c r="K4609" s="2">
        <v>7.8</v>
      </c>
      <c r="L4609" s="1">
        <v>2.2859999999999996</v>
      </c>
      <c r="M4609" s="1">
        <v>5.3</v>
      </c>
      <c r="O4609" s="1">
        <v>9.1439999999999984</v>
      </c>
      <c r="P4609" s="1">
        <v>1.4</v>
      </c>
      <c r="Q4609" s="1">
        <v>2.2999999999999998</v>
      </c>
      <c r="R4609" s="1">
        <v>1.6</v>
      </c>
      <c r="X4609" s="1">
        <v>12.7</v>
      </c>
    </row>
    <row r="4610" spans="1:24" x14ac:dyDescent="0.25">
      <c r="A4610" s="22">
        <v>42961</v>
      </c>
      <c r="B4610" s="2">
        <v>0</v>
      </c>
      <c r="C4610" s="1">
        <v>25.2</v>
      </c>
      <c r="D4610" s="1">
        <v>8.1</v>
      </c>
      <c r="E4610" s="3" t="s">
        <v>8</v>
      </c>
      <c r="F4610" s="1"/>
      <c r="G4610" s="2">
        <v>3.8</v>
      </c>
      <c r="H4610" s="1">
        <v>4.5</v>
      </c>
      <c r="I4610" s="2">
        <v>0</v>
      </c>
      <c r="J4610" s="1">
        <v>5.0999999999999996</v>
      </c>
      <c r="K4610" s="2">
        <v>15.2</v>
      </c>
      <c r="L4610" s="1">
        <v>0.7619999999999999</v>
      </c>
      <c r="M4610" s="1">
        <v>5.6</v>
      </c>
      <c r="O4610" s="1">
        <v>2.54</v>
      </c>
      <c r="P4610" s="1">
        <v>0.6</v>
      </c>
      <c r="Q4610" s="1">
        <v>8.3000000000000007</v>
      </c>
      <c r="R4610" s="1">
        <v>2.1</v>
      </c>
      <c r="X4610" s="1">
        <v>0</v>
      </c>
    </row>
    <row r="4611" spans="1:24" x14ac:dyDescent="0.25">
      <c r="A4611" s="22">
        <v>42962</v>
      </c>
      <c r="B4611" s="2">
        <v>0</v>
      </c>
      <c r="C4611" s="1">
        <v>2</v>
      </c>
      <c r="D4611" s="1">
        <v>2</v>
      </c>
      <c r="E4611" s="3" t="s">
        <v>8</v>
      </c>
      <c r="F4611" s="1"/>
      <c r="G4611" s="2">
        <v>39.799999999999997</v>
      </c>
      <c r="H4611" s="1">
        <v>0</v>
      </c>
      <c r="I4611" s="2">
        <v>0</v>
      </c>
      <c r="J4611" s="2">
        <v>11.6</v>
      </c>
      <c r="K4611" s="2">
        <v>11.1</v>
      </c>
      <c r="L4611" s="1">
        <v>0</v>
      </c>
      <c r="M4611" s="1">
        <v>4.5</v>
      </c>
      <c r="O4611" s="1">
        <v>3.8099999999999996</v>
      </c>
      <c r="P4611" s="1">
        <v>0</v>
      </c>
      <c r="Q4611" s="1">
        <v>8.1999999999999993</v>
      </c>
      <c r="R4611" s="1">
        <v>5.6</v>
      </c>
      <c r="X4611" s="1">
        <v>7.6199999999999992</v>
      </c>
    </row>
    <row r="4612" spans="1:24" x14ac:dyDescent="0.25">
      <c r="A4612" s="22">
        <v>42963</v>
      </c>
      <c r="B4612" s="2">
        <v>0</v>
      </c>
      <c r="C4612" s="1">
        <v>15</v>
      </c>
      <c r="D4612" s="1">
        <v>28</v>
      </c>
      <c r="E4612" s="3">
        <v>116.2</v>
      </c>
      <c r="F4612" s="1"/>
      <c r="G4612" s="2">
        <v>26.2</v>
      </c>
      <c r="H4612" s="1">
        <v>28.2</v>
      </c>
      <c r="I4612" s="1">
        <v>39</v>
      </c>
      <c r="J4612" s="2">
        <v>8</v>
      </c>
      <c r="K4612" s="2">
        <v>60.4</v>
      </c>
      <c r="L4612" s="1">
        <v>2.794</v>
      </c>
      <c r="M4612" s="1">
        <v>35.299999999999997</v>
      </c>
      <c r="O4612" s="1">
        <v>19.812000000000001</v>
      </c>
      <c r="P4612" s="1">
        <v>0</v>
      </c>
      <c r="Q4612" s="1">
        <v>3.2</v>
      </c>
      <c r="R4612" s="1">
        <v>3.5</v>
      </c>
      <c r="X4612" s="1">
        <v>0</v>
      </c>
    </row>
    <row r="4613" spans="1:24" x14ac:dyDescent="0.25">
      <c r="A4613" s="22">
        <v>42964</v>
      </c>
      <c r="B4613" s="2">
        <v>0</v>
      </c>
      <c r="C4613" s="1">
        <v>110.5</v>
      </c>
      <c r="D4613" s="1">
        <v>12.5</v>
      </c>
      <c r="E4613" s="3" t="s">
        <v>8</v>
      </c>
      <c r="F4613" s="1"/>
      <c r="G4613" s="1">
        <v>0</v>
      </c>
      <c r="H4613" s="1">
        <v>6.7</v>
      </c>
      <c r="I4613" s="2">
        <v>6.7</v>
      </c>
      <c r="J4613" s="2">
        <v>8.1999999999999993</v>
      </c>
      <c r="K4613" s="2">
        <v>10.6</v>
      </c>
      <c r="L4613" s="1">
        <v>8.1280000000000001</v>
      </c>
      <c r="M4613" s="1">
        <v>6.5</v>
      </c>
      <c r="O4613" s="1">
        <v>17.272000000000002</v>
      </c>
      <c r="P4613" s="1">
        <v>5.5</v>
      </c>
      <c r="Q4613" s="1">
        <v>16.8</v>
      </c>
      <c r="R4613" s="1">
        <v>0.2</v>
      </c>
      <c r="X4613" s="1">
        <v>24.13</v>
      </c>
    </row>
    <row r="4614" spans="1:24" x14ac:dyDescent="0.25">
      <c r="A4614" s="22">
        <v>42965</v>
      </c>
      <c r="B4614" s="2">
        <v>86</v>
      </c>
      <c r="C4614" s="1">
        <v>17.5</v>
      </c>
      <c r="D4614" s="1">
        <v>11</v>
      </c>
      <c r="E4614" s="3" t="s">
        <v>8</v>
      </c>
      <c r="F4614" s="2"/>
      <c r="G4614" s="1">
        <v>8.6</v>
      </c>
      <c r="H4614" s="1">
        <v>11.7</v>
      </c>
      <c r="I4614" s="2">
        <v>49.5</v>
      </c>
      <c r="J4614" s="1">
        <v>43.9</v>
      </c>
      <c r="K4614" s="2">
        <v>21.8</v>
      </c>
      <c r="L4614" s="1">
        <v>15.493999999999998</v>
      </c>
      <c r="M4614" s="1">
        <v>54.7</v>
      </c>
      <c r="O4614" s="1">
        <v>24.891999999999999</v>
      </c>
      <c r="P4614" s="1">
        <v>5.0999999999999996</v>
      </c>
      <c r="Q4614" s="1">
        <v>1.3</v>
      </c>
      <c r="R4614" s="1">
        <v>10.3</v>
      </c>
      <c r="X4614" s="1">
        <v>29.209999999999997</v>
      </c>
    </row>
    <row r="4615" spans="1:24" x14ac:dyDescent="0.25">
      <c r="A4615" s="22">
        <v>42966</v>
      </c>
      <c r="B4615" s="2">
        <v>0</v>
      </c>
      <c r="C4615" s="1">
        <v>4.3</v>
      </c>
      <c r="D4615" s="1">
        <v>5.4</v>
      </c>
      <c r="E4615" s="3" t="s">
        <v>8</v>
      </c>
      <c r="F4615" s="1"/>
      <c r="G4615" s="1">
        <v>51.9</v>
      </c>
      <c r="H4615" s="1">
        <v>12</v>
      </c>
      <c r="I4615" s="2">
        <v>3.1</v>
      </c>
      <c r="J4615" s="1">
        <v>1.8</v>
      </c>
      <c r="K4615" s="1">
        <v>3.5</v>
      </c>
      <c r="L4615" s="1">
        <v>7.8739999999999997</v>
      </c>
      <c r="M4615" s="1">
        <v>1</v>
      </c>
      <c r="O4615" s="1">
        <v>7.6199999999999992</v>
      </c>
      <c r="P4615" s="1">
        <v>26.7</v>
      </c>
      <c r="Q4615" s="1">
        <v>1.7</v>
      </c>
      <c r="R4615" s="1">
        <v>3</v>
      </c>
      <c r="X4615" s="1">
        <v>41.91</v>
      </c>
    </row>
    <row r="4616" spans="1:24" x14ac:dyDescent="0.25">
      <c r="A4616" s="22">
        <v>42967</v>
      </c>
      <c r="B4616" s="2">
        <v>0</v>
      </c>
      <c r="C4616" s="1">
        <v>7.5</v>
      </c>
      <c r="D4616" s="1">
        <v>5</v>
      </c>
      <c r="E4616" s="3" t="s">
        <v>8</v>
      </c>
      <c r="F4616" s="1"/>
      <c r="G4616" s="1">
        <v>12.6</v>
      </c>
      <c r="H4616" s="1">
        <v>2</v>
      </c>
      <c r="I4616" s="2">
        <v>1.5</v>
      </c>
      <c r="J4616" s="2">
        <v>6.2</v>
      </c>
      <c r="K4616" s="2"/>
      <c r="L4616" s="1">
        <v>5.5880000000000001</v>
      </c>
      <c r="M4616" s="1">
        <v>22.1</v>
      </c>
      <c r="O4616" s="1">
        <v>12.7</v>
      </c>
      <c r="P4616" s="1">
        <v>2.4</v>
      </c>
      <c r="Q4616" s="1">
        <v>21.7</v>
      </c>
      <c r="R4616" s="1">
        <v>0.4</v>
      </c>
      <c r="X4616" s="1">
        <v>43.18</v>
      </c>
    </row>
    <row r="4617" spans="1:24" x14ac:dyDescent="0.25">
      <c r="A4617" s="22">
        <v>42968</v>
      </c>
      <c r="B4617" s="2">
        <v>0</v>
      </c>
      <c r="C4617" s="1">
        <v>30.2</v>
      </c>
      <c r="D4617" s="1">
        <v>47</v>
      </c>
      <c r="E4617" s="3" t="s">
        <v>8</v>
      </c>
      <c r="F4617" s="1"/>
      <c r="G4617" s="1">
        <v>0.6</v>
      </c>
      <c r="H4617" s="1">
        <v>31</v>
      </c>
      <c r="I4617" s="2">
        <v>50.3</v>
      </c>
      <c r="J4617" s="1">
        <v>62.2</v>
      </c>
      <c r="K4617" s="1">
        <v>82.5</v>
      </c>
      <c r="L4617" s="1">
        <v>15.493999999999998</v>
      </c>
      <c r="M4617" s="1">
        <v>20.6</v>
      </c>
      <c r="O4617" s="1">
        <v>38.099999999999994</v>
      </c>
      <c r="P4617" s="1">
        <v>3.5</v>
      </c>
      <c r="Q4617" s="1">
        <v>3.1</v>
      </c>
      <c r="R4617" s="1">
        <v>8.9</v>
      </c>
      <c r="X4617" s="1">
        <v>5.08</v>
      </c>
    </row>
    <row r="4618" spans="1:24" x14ac:dyDescent="0.25">
      <c r="A4618" s="22">
        <v>42969</v>
      </c>
      <c r="B4618" s="2">
        <v>0</v>
      </c>
      <c r="C4618" s="1">
        <v>8.9</v>
      </c>
      <c r="D4618" s="1">
        <v>2.5</v>
      </c>
      <c r="E4618" s="3" t="s">
        <v>8</v>
      </c>
      <c r="F4618" s="1"/>
      <c r="G4618" s="1">
        <v>0</v>
      </c>
      <c r="H4618" s="1">
        <v>12.1</v>
      </c>
      <c r="I4618" s="2">
        <v>13.2</v>
      </c>
      <c r="J4618" s="1">
        <v>10.3</v>
      </c>
      <c r="K4618" s="1">
        <v>0</v>
      </c>
      <c r="L4618" s="1">
        <v>18.033999999999999</v>
      </c>
      <c r="M4618" s="1">
        <v>7.1</v>
      </c>
      <c r="O4618" s="1">
        <v>3.8099999999999996</v>
      </c>
      <c r="P4618" s="1">
        <v>10.9</v>
      </c>
      <c r="Q4618" s="1">
        <v>0</v>
      </c>
      <c r="R4618" s="1">
        <v>4.4000000000000004</v>
      </c>
      <c r="X4618" s="1">
        <v>0</v>
      </c>
    </row>
    <row r="4619" spans="1:24" x14ac:dyDescent="0.25">
      <c r="A4619" s="22">
        <v>42970</v>
      </c>
      <c r="B4619" s="2">
        <v>0</v>
      </c>
      <c r="C4619" s="1">
        <v>0</v>
      </c>
      <c r="D4619" s="1">
        <v>0</v>
      </c>
      <c r="E4619" s="3" t="s">
        <v>8</v>
      </c>
      <c r="F4619" s="1"/>
      <c r="G4619" s="1">
        <v>1</v>
      </c>
      <c r="H4619" s="1">
        <v>0</v>
      </c>
      <c r="I4619" s="1">
        <v>0</v>
      </c>
      <c r="J4619" s="1"/>
      <c r="K4619" s="1">
        <v>2</v>
      </c>
      <c r="L4619" s="1">
        <v>0</v>
      </c>
      <c r="M4619" s="1">
        <v>0</v>
      </c>
      <c r="O4619" s="1">
        <v>1.016</v>
      </c>
      <c r="P4619" s="1">
        <v>0</v>
      </c>
      <c r="Q4619" s="1">
        <v>0.7</v>
      </c>
      <c r="R4619" s="1">
        <v>0</v>
      </c>
      <c r="X4619" s="1">
        <v>3.8099999999999996</v>
      </c>
    </row>
    <row r="4620" spans="1:24" x14ac:dyDescent="0.25">
      <c r="A4620" s="22">
        <v>42971</v>
      </c>
      <c r="B4620" s="2">
        <v>0</v>
      </c>
      <c r="C4620" s="1">
        <v>0</v>
      </c>
      <c r="D4620" s="1">
        <v>0.5</v>
      </c>
      <c r="E4620" s="3" t="s">
        <v>8</v>
      </c>
      <c r="F4620" s="1"/>
      <c r="G4620" s="1">
        <v>1.5</v>
      </c>
      <c r="H4620" s="1">
        <v>0</v>
      </c>
      <c r="I4620" s="2">
        <v>0</v>
      </c>
      <c r="J4620" s="30" t="s">
        <v>9</v>
      </c>
      <c r="K4620" s="1"/>
      <c r="L4620" s="1">
        <v>0</v>
      </c>
      <c r="M4620" s="1">
        <v>1.5</v>
      </c>
      <c r="O4620" s="1">
        <v>1.27</v>
      </c>
      <c r="P4620" s="1">
        <v>0</v>
      </c>
      <c r="Q4620" s="1">
        <v>0</v>
      </c>
      <c r="R4620" s="1">
        <v>0.6</v>
      </c>
      <c r="X4620" s="1">
        <v>0</v>
      </c>
    </row>
    <row r="4621" spans="1:24" x14ac:dyDescent="0.25">
      <c r="A4621" s="22">
        <v>42972</v>
      </c>
      <c r="B4621" s="2">
        <v>10</v>
      </c>
      <c r="C4621" s="1">
        <v>0.5</v>
      </c>
      <c r="D4621" s="1">
        <v>0</v>
      </c>
      <c r="E4621" s="3" t="s">
        <v>8</v>
      </c>
      <c r="F4621" s="2"/>
      <c r="G4621" s="1">
        <v>0.6</v>
      </c>
      <c r="H4621" s="1">
        <v>0</v>
      </c>
      <c r="I4621" s="1">
        <v>0</v>
      </c>
      <c r="J4621" s="2">
        <v>0.6</v>
      </c>
      <c r="K4621" s="2"/>
      <c r="L4621" s="1">
        <v>0</v>
      </c>
      <c r="M4621" s="1">
        <v>0</v>
      </c>
      <c r="O4621" s="1">
        <v>1.27</v>
      </c>
      <c r="P4621" s="1">
        <v>0</v>
      </c>
      <c r="Q4621" s="1">
        <v>3.1</v>
      </c>
      <c r="R4621" s="1">
        <v>0</v>
      </c>
      <c r="X4621" s="1">
        <v>8.8899999999999988</v>
      </c>
    </row>
    <row r="4622" spans="1:24" x14ac:dyDescent="0.25">
      <c r="A4622" s="22">
        <v>42973</v>
      </c>
      <c r="B4622" s="2">
        <v>0</v>
      </c>
      <c r="C4622" s="1">
        <v>0</v>
      </c>
      <c r="D4622" s="1">
        <v>6.1</v>
      </c>
      <c r="E4622" s="3" t="s">
        <v>8</v>
      </c>
      <c r="F4622" s="2"/>
      <c r="G4622" s="1">
        <v>13.7</v>
      </c>
      <c r="H4622" s="1">
        <v>0</v>
      </c>
      <c r="I4622" s="1">
        <v>0</v>
      </c>
      <c r="J4622" s="1">
        <v>2</v>
      </c>
      <c r="K4622" s="2"/>
      <c r="L4622" s="1">
        <v>4.8259999999999996</v>
      </c>
      <c r="M4622" s="1">
        <v>0.8</v>
      </c>
      <c r="O4622" s="1">
        <v>12.7</v>
      </c>
      <c r="P4622" s="1">
        <v>3.1</v>
      </c>
      <c r="Q4622" s="1">
        <v>8</v>
      </c>
      <c r="R4622" s="1">
        <v>1.6</v>
      </c>
      <c r="X4622" s="1">
        <v>11.43</v>
      </c>
    </row>
    <row r="4623" spans="1:24" x14ac:dyDescent="0.25">
      <c r="A4623" s="22">
        <v>42974</v>
      </c>
      <c r="B4623" s="2">
        <v>0</v>
      </c>
      <c r="C4623" s="1">
        <v>0.7</v>
      </c>
      <c r="D4623" s="1">
        <v>6</v>
      </c>
      <c r="E4623" s="3" t="s">
        <v>8</v>
      </c>
      <c r="F4623" s="2"/>
      <c r="G4623" s="1">
        <v>1.2</v>
      </c>
      <c r="H4623" s="1">
        <v>20</v>
      </c>
      <c r="I4623" s="1">
        <v>30.7</v>
      </c>
      <c r="J4623" s="2">
        <v>20.100000000000001</v>
      </c>
      <c r="K4623" s="2">
        <v>7.8</v>
      </c>
      <c r="L4623" s="1">
        <v>7.1120000000000001</v>
      </c>
      <c r="M4623" s="1">
        <v>12.6</v>
      </c>
      <c r="O4623" s="1">
        <v>38.099999999999994</v>
      </c>
      <c r="P4623" s="1">
        <v>13</v>
      </c>
      <c r="Q4623" s="1">
        <v>14.9</v>
      </c>
      <c r="R4623" s="1">
        <v>4.5999999999999996</v>
      </c>
      <c r="X4623" s="1">
        <v>0</v>
      </c>
    </row>
    <row r="4624" spans="1:24" x14ac:dyDescent="0.25">
      <c r="A4624" s="22">
        <v>42975</v>
      </c>
      <c r="B4624" s="2">
        <v>0</v>
      </c>
      <c r="C4624" s="1">
        <v>35.4</v>
      </c>
      <c r="D4624" s="1">
        <v>9.6</v>
      </c>
      <c r="E4624" s="3" t="s">
        <v>8</v>
      </c>
      <c r="F4624" s="2"/>
      <c r="G4624" s="1">
        <v>2.4</v>
      </c>
      <c r="H4624" s="1">
        <v>0</v>
      </c>
      <c r="I4624" s="1">
        <v>10.1</v>
      </c>
      <c r="J4624" s="1">
        <v>3.1</v>
      </c>
      <c r="K4624" s="2">
        <v>1</v>
      </c>
      <c r="L4624" s="1">
        <v>3.8099999999999996</v>
      </c>
      <c r="M4624" s="1">
        <v>6.3</v>
      </c>
      <c r="O4624" s="1">
        <v>12.7</v>
      </c>
      <c r="P4624" s="1">
        <v>0</v>
      </c>
      <c r="Q4624" s="1">
        <v>6.1</v>
      </c>
      <c r="R4624" s="1">
        <v>7.3</v>
      </c>
      <c r="X4624" s="1">
        <v>12.7</v>
      </c>
    </row>
    <row r="4625" spans="1:24" x14ac:dyDescent="0.25">
      <c r="A4625" s="22">
        <v>42976</v>
      </c>
      <c r="B4625" s="2">
        <v>39.5</v>
      </c>
      <c r="C4625" s="1">
        <v>25.6</v>
      </c>
      <c r="D4625" s="1">
        <v>12.2</v>
      </c>
      <c r="E4625" s="3" t="s">
        <v>8</v>
      </c>
      <c r="F4625" s="2"/>
      <c r="G4625" s="1">
        <v>0</v>
      </c>
      <c r="H4625" s="1">
        <v>3.1</v>
      </c>
      <c r="I4625" s="1">
        <v>2.1</v>
      </c>
      <c r="J4625" s="30" t="s">
        <v>9</v>
      </c>
      <c r="K4625" s="2">
        <v>6.3</v>
      </c>
      <c r="L4625" s="1">
        <v>0</v>
      </c>
      <c r="M4625" s="1">
        <v>1.8</v>
      </c>
      <c r="O4625" s="1">
        <v>3.556</v>
      </c>
      <c r="P4625" s="1">
        <v>0</v>
      </c>
      <c r="Q4625" s="1">
        <v>41.8</v>
      </c>
      <c r="R4625" s="1">
        <v>1.1000000000000001</v>
      </c>
      <c r="X4625" s="1">
        <v>0</v>
      </c>
    </row>
    <row r="4626" spans="1:24" x14ac:dyDescent="0.25">
      <c r="A4626" s="22">
        <v>42977</v>
      </c>
      <c r="B4626" s="2">
        <v>0</v>
      </c>
      <c r="C4626" s="1">
        <v>40.4</v>
      </c>
      <c r="D4626" s="1">
        <v>20</v>
      </c>
      <c r="E4626" s="3">
        <v>94.5</v>
      </c>
      <c r="F4626" s="2"/>
      <c r="G4626" s="1">
        <v>15</v>
      </c>
      <c r="H4626" s="1">
        <v>14.3</v>
      </c>
      <c r="I4626" s="1">
        <v>9.1999999999999993</v>
      </c>
      <c r="J4626" s="1">
        <v>29.1</v>
      </c>
      <c r="K4626" s="2">
        <v>17.600000000000001</v>
      </c>
      <c r="L4626" s="1">
        <v>35.559999999999995</v>
      </c>
      <c r="M4626" s="1">
        <v>17.7</v>
      </c>
      <c r="O4626" s="1">
        <v>42.671999999999997</v>
      </c>
      <c r="P4626" s="1">
        <v>17.899999999999999</v>
      </c>
      <c r="Q4626" s="1">
        <v>2.6</v>
      </c>
      <c r="R4626" s="1">
        <v>46.6</v>
      </c>
      <c r="X4626" s="1">
        <v>25.4</v>
      </c>
    </row>
    <row r="4627" spans="1:24" x14ac:dyDescent="0.25">
      <c r="A4627" s="22">
        <v>42978</v>
      </c>
      <c r="B4627" s="1">
        <v>0</v>
      </c>
      <c r="C4627" s="1">
        <v>4.2</v>
      </c>
      <c r="D4627" s="1">
        <v>3.3</v>
      </c>
      <c r="E4627" s="1"/>
      <c r="F4627" s="1"/>
      <c r="G4627" s="1">
        <v>0</v>
      </c>
      <c r="H4627" s="1">
        <v>3.6</v>
      </c>
      <c r="I4627" s="1">
        <v>8.1999999999999993</v>
      </c>
      <c r="J4627" s="1">
        <v>7.9</v>
      </c>
      <c r="K4627" s="1">
        <v>5.6</v>
      </c>
      <c r="L4627" s="1">
        <v>6.8579999999999997</v>
      </c>
      <c r="M4627" s="1">
        <v>7.4</v>
      </c>
      <c r="O4627" s="1">
        <v>8.1280000000000001</v>
      </c>
      <c r="P4627" s="1">
        <v>2.7</v>
      </c>
      <c r="Q4627" s="1">
        <v>7.3</v>
      </c>
      <c r="R4627" s="1">
        <v>40.5</v>
      </c>
      <c r="X4627" s="1">
        <v>2.54</v>
      </c>
    </row>
    <row r="4628" spans="1:24" x14ac:dyDescent="0.25">
      <c r="A4628" s="22">
        <v>42979</v>
      </c>
      <c r="B4628" s="2">
        <v>0</v>
      </c>
      <c r="C4628" s="1">
        <v>1.1000000000000001</v>
      </c>
      <c r="D4628" s="30" t="s">
        <v>9</v>
      </c>
      <c r="E4628" s="3"/>
      <c r="F4628" s="2">
        <v>13.2</v>
      </c>
      <c r="G4628" s="1">
        <v>0</v>
      </c>
      <c r="H4628" s="1">
        <v>0</v>
      </c>
      <c r="I4628" s="2">
        <v>3.1</v>
      </c>
      <c r="J4628" s="1"/>
      <c r="K4628" s="1">
        <v>1.6</v>
      </c>
      <c r="L4628" s="1">
        <v>4.0640000000000001</v>
      </c>
      <c r="M4628" s="1">
        <v>10.1</v>
      </c>
      <c r="O4628" s="1">
        <v>1.27</v>
      </c>
      <c r="P4628" s="1">
        <v>6.5</v>
      </c>
      <c r="Q4628" s="1">
        <v>2</v>
      </c>
      <c r="R4628" s="1">
        <v>0</v>
      </c>
      <c r="X4628" s="1">
        <v>0.5</v>
      </c>
    </row>
    <row r="4629" spans="1:24" x14ac:dyDescent="0.25">
      <c r="A4629" s="22">
        <v>42980</v>
      </c>
      <c r="B4629" s="2">
        <v>0</v>
      </c>
      <c r="C4629" s="1">
        <v>0.1</v>
      </c>
      <c r="D4629" s="1">
        <v>0</v>
      </c>
      <c r="E4629" s="3"/>
      <c r="F4629" s="2">
        <v>0</v>
      </c>
      <c r="G4629" s="1">
        <v>0</v>
      </c>
      <c r="H4629" s="1">
        <v>0.2</v>
      </c>
      <c r="I4629" s="2">
        <v>0</v>
      </c>
      <c r="J4629" s="2"/>
      <c r="K4629" s="1">
        <v>0</v>
      </c>
      <c r="L4629" s="1">
        <v>0</v>
      </c>
      <c r="M4629" s="1">
        <v>0</v>
      </c>
      <c r="O4629" s="1">
        <v>0</v>
      </c>
      <c r="P4629" s="1"/>
      <c r="Q4629" s="1">
        <v>0</v>
      </c>
      <c r="R4629" s="1">
        <v>5.08</v>
      </c>
      <c r="X4629" s="1">
        <v>0</v>
      </c>
    </row>
    <row r="4630" spans="1:24" x14ac:dyDescent="0.25">
      <c r="A4630" s="22">
        <v>42981</v>
      </c>
      <c r="B4630" s="2">
        <v>0</v>
      </c>
      <c r="C4630" s="1">
        <v>0</v>
      </c>
      <c r="D4630" s="1">
        <v>0</v>
      </c>
      <c r="E4630" s="3"/>
      <c r="F4630" s="2">
        <v>0</v>
      </c>
      <c r="G4630" s="1">
        <v>0</v>
      </c>
      <c r="H4630" s="1">
        <v>0.2</v>
      </c>
      <c r="I4630" s="2">
        <v>0</v>
      </c>
      <c r="J4630" s="2"/>
      <c r="K4630" s="1">
        <v>0</v>
      </c>
      <c r="L4630" s="1">
        <v>0</v>
      </c>
      <c r="M4630" s="1">
        <v>0</v>
      </c>
      <c r="O4630" s="1">
        <v>8.1280000000000001</v>
      </c>
      <c r="P4630" s="1"/>
      <c r="Q4630" s="1">
        <v>0</v>
      </c>
      <c r="R4630" s="1">
        <v>0</v>
      </c>
      <c r="X4630" s="1">
        <v>0</v>
      </c>
    </row>
    <row r="4631" spans="1:24" x14ac:dyDescent="0.25">
      <c r="A4631" s="22">
        <v>42982</v>
      </c>
      <c r="B4631" s="2">
        <v>0</v>
      </c>
      <c r="C4631" s="1">
        <v>42</v>
      </c>
      <c r="D4631" s="1">
        <v>10.9</v>
      </c>
      <c r="E4631" s="3"/>
      <c r="F4631" s="2">
        <v>3.8</v>
      </c>
      <c r="G4631" s="1">
        <v>0.2</v>
      </c>
      <c r="H4631" s="1">
        <v>0.7</v>
      </c>
      <c r="I4631" s="2">
        <v>0</v>
      </c>
      <c r="J4631" s="1"/>
      <c r="K4631" s="1">
        <v>13.1</v>
      </c>
      <c r="L4631" s="1">
        <v>5.3339999999999996</v>
      </c>
      <c r="M4631" s="1">
        <v>0</v>
      </c>
      <c r="O4631" s="1">
        <v>7.6199999999999992</v>
      </c>
      <c r="P4631" s="1"/>
      <c r="Q4631" s="1">
        <v>0</v>
      </c>
      <c r="R4631" s="1">
        <v>0</v>
      </c>
      <c r="X4631" s="1">
        <v>2.2000000000000002</v>
      </c>
    </row>
    <row r="4632" spans="1:24" x14ac:dyDescent="0.25">
      <c r="A4632" s="22">
        <v>42983</v>
      </c>
      <c r="B4632" s="2">
        <v>0</v>
      </c>
      <c r="C4632" s="1">
        <v>15.2</v>
      </c>
      <c r="D4632" s="2">
        <v>9</v>
      </c>
      <c r="E4632" s="3"/>
      <c r="F4632" s="2">
        <v>0.1</v>
      </c>
      <c r="G4632" s="1">
        <v>0</v>
      </c>
      <c r="H4632" s="1">
        <v>0</v>
      </c>
      <c r="I4632" s="2">
        <v>0</v>
      </c>
      <c r="J4632" s="2"/>
      <c r="K4632" s="1">
        <v>0</v>
      </c>
      <c r="L4632" s="1">
        <v>0.50800000000000001</v>
      </c>
      <c r="M4632" s="1">
        <v>0.3</v>
      </c>
      <c r="O4632" s="1">
        <v>5.08</v>
      </c>
      <c r="P4632" s="1"/>
      <c r="Q4632" s="1">
        <v>11</v>
      </c>
      <c r="R4632" s="1">
        <v>0</v>
      </c>
      <c r="X4632" s="1">
        <v>0</v>
      </c>
    </row>
    <row r="4633" spans="1:24" x14ac:dyDescent="0.25">
      <c r="A4633" s="22">
        <v>42984</v>
      </c>
      <c r="B4633" s="2">
        <v>0</v>
      </c>
      <c r="C4633" s="1">
        <v>0</v>
      </c>
      <c r="D4633" s="2">
        <v>0</v>
      </c>
      <c r="E4633" s="3"/>
      <c r="F4633" s="2">
        <v>0</v>
      </c>
      <c r="G4633" s="1">
        <v>0</v>
      </c>
      <c r="H4633" s="1">
        <v>9</v>
      </c>
      <c r="I4633" s="2">
        <v>0</v>
      </c>
      <c r="J4633" s="2"/>
      <c r="K4633" s="1">
        <v>0</v>
      </c>
      <c r="L4633" s="1">
        <v>0</v>
      </c>
      <c r="M4633" s="1">
        <v>0</v>
      </c>
      <c r="O4633" s="1">
        <v>0</v>
      </c>
      <c r="P4633" s="1"/>
      <c r="Q4633" s="1">
        <v>0</v>
      </c>
      <c r="R4633" s="1">
        <v>0</v>
      </c>
      <c r="X4633" s="1">
        <v>0.7</v>
      </c>
    </row>
    <row r="4634" spans="1:24" x14ac:dyDescent="0.25">
      <c r="A4634" s="22">
        <v>42985</v>
      </c>
      <c r="B4634" s="2">
        <v>0</v>
      </c>
      <c r="C4634" s="1">
        <v>0</v>
      </c>
      <c r="D4634" s="2">
        <v>0</v>
      </c>
      <c r="E4634" s="3"/>
      <c r="F4634" s="2">
        <v>3.8</v>
      </c>
      <c r="G4634" s="1">
        <v>3</v>
      </c>
      <c r="H4634" s="1">
        <v>0.3</v>
      </c>
      <c r="I4634" s="2">
        <v>0</v>
      </c>
      <c r="J4634" s="2"/>
      <c r="K4634" s="1">
        <v>0</v>
      </c>
      <c r="L4634" s="1">
        <v>0</v>
      </c>
      <c r="M4634" s="1">
        <v>0</v>
      </c>
      <c r="O4634" s="1">
        <v>0</v>
      </c>
      <c r="P4634" s="1"/>
      <c r="Q4634" s="1">
        <v>0</v>
      </c>
      <c r="R4634" s="1">
        <v>0</v>
      </c>
      <c r="X4634" s="1">
        <v>6.5</v>
      </c>
    </row>
    <row r="4635" spans="1:24" x14ac:dyDescent="0.25">
      <c r="A4635" s="22">
        <v>42986</v>
      </c>
      <c r="B4635" s="2">
        <v>0</v>
      </c>
      <c r="C4635" s="1">
        <v>4.5</v>
      </c>
      <c r="D4635" s="1">
        <v>7</v>
      </c>
      <c r="E4635" s="3"/>
      <c r="F4635" s="2">
        <v>0.1</v>
      </c>
      <c r="G4635" s="1">
        <v>5.5</v>
      </c>
      <c r="H4635" s="1">
        <v>0</v>
      </c>
      <c r="I4635" s="2">
        <v>0</v>
      </c>
      <c r="J4635" s="2"/>
      <c r="K4635" s="1">
        <v>5.5</v>
      </c>
      <c r="L4635" s="1">
        <v>7.3659999999999988</v>
      </c>
      <c r="M4635" s="1">
        <v>9.1</v>
      </c>
      <c r="O4635" s="1">
        <v>1.5239999999999998</v>
      </c>
      <c r="P4635" s="1"/>
      <c r="Q4635" s="1">
        <v>4</v>
      </c>
      <c r="R4635" s="1">
        <v>0</v>
      </c>
      <c r="X4635" s="1">
        <v>0</v>
      </c>
    </row>
    <row r="4636" spans="1:24" x14ac:dyDescent="0.25">
      <c r="A4636" s="22">
        <v>42987</v>
      </c>
      <c r="B4636" s="2">
        <v>0</v>
      </c>
      <c r="C4636" s="1">
        <v>0</v>
      </c>
      <c r="D4636" s="30" t="s">
        <v>9</v>
      </c>
      <c r="E4636" s="3"/>
      <c r="F4636" s="2">
        <v>0</v>
      </c>
      <c r="G4636" s="1">
        <v>0</v>
      </c>
      <c r="H4636" s="1">
        <v>12.3</v>
      </c>
      <c r="I4636" s="2">
        <v>3</v>
      </c>
      <c r="J4636" s="2"/>
      <c r="K4636" s="1">
        <v>0</v>
      </c>
      <c r="L4636" s="1">
        <v>0</v>
      </c>
      <c r="M4636" s="1">
        <v>0</v>
      </c>
      <c r="O4636" s="1">
        <v>0</v>
      </c>
      <c r="P4636" s="1"/>
      <c r="Q4636" s="1">
        <v>0</v>
      </c>
      <c r="R4636" s="1">
        <v>7.6199999999999992</v>
      </c>
      <c r="X4636" s="1">
        <v>0</v>
      </c>
    </row>
    <row r="4637" spans="1:24" x14ac:dyDescent="0.25">
      <c r="A4637" s="22">
        <v>42988</v>
      </c>
      <c r="B4637" s="2">
        <v>0</v>
      </c>
      <c r="C4637" s="1">
        <v>0</v>
      </c>
      <c r="D4637" s="1">
        <v>19.2</v>
      </c>
      <c r="E4637" s="3"/>
      <c r="F4637" s="2">
        <v>0</v>
      </c>
      <c r="G4637" s="1">
        <v>3.4</v>
      </c>
      <c r="H4637" s="1">
        <v>11.7</v>
      </c>
      <c r="I4637" s="2">
        <v>0</v>
      </c>
      <c r="J4637" s="1"/>
      <c r="K4637" s="1">
        <v>1.1000000000000001</v>
      </c>
      <c r="L4637" s="1">
        <v>0</v>
      </c>
      <c r="M4637" s="1">
        <v>0</v>
      </c>
      <c r="O4637" s="1">
        <v>0</v>
      </c>
      <c r="P4637" s="1"/>
      <c r="Q4637" s="1">
        <v>0</v>
      </c>
      <c r="R4637" s="1">
        <v>0</v>
      </c>
      <c r="X4637" s="1">
        <v>10.9</v>
      </c>
    </row>
    <row r="4638" spans="1:24" x14ac:dyDescent="0.25">
      <c r="A4638" s="22">
        <v>42989</v>
      </c>
      <c r="B4638" s="2">
        <v>0</v>
      </c>
      <c r="C4638" s="1">
        <v>8.1</v>
      </c>
      <c r="D4638" s="1">
        <v>17</v>
      </c>
      <c r="E4638" s="3"/>
      <c r="F4638" s="2">
        <v>11.6</v>
      </c>
      <c r="G4638" s="1">
        <v>8.9</v>
      </c>
      <c r="H4638" s="1">
        <v>0</v>
      </c>
      <c r="I4638" s="2">
        <v>3.4</v>
      </c>
      <c r="J4638" s="2"/>
      <c r="K4638" s="1">
        <v>10.6</v>
      </c>
      <c r="L4638" s="1">
        <v>8.636000000000001</v>
      </c>
      <c r="M4638" s="1">
        <v>2.9</v>
      </c>
      <c r="O4638" s="1">
        <v>15.239999999999998</v>
      </c>
      <c r="P4638" s="1"/>
      <c r="Q4638" s="1">
        <v>9</v>
      </c>
      <c r="R4638" s="1">
        <v>0</v>
      </c>
      <c r="X4638" s="1">
        <v>12.5</v>
      </c>
    </row>
    <row r="4639" spans="1:24" x14ac:dyDescent="0.25">
      <c r="A4639" s="22">
        <v>42990</v>
      </c>
      <c r="B4639" s="2">
        <v>0</v>
      </c>
      <c r="C4639" s="1">
        <v>22.1</v>
      </c>
      <c r="D4639" s="1">
        <v>4</v>
      </c>
      <c r="E4639" s="3"/>
      <c r="F4639" s="2">
        <v>25.2</v>
      </c>
      <c r="G4639" s="1">
        <v>0</v>
      </c>
      <c r="H4639" s="1">
        <v>0</v>
      </c>
      <c r="I4639" s="2">
        <v>0</v>
      </c>
      <c r="J4639" s="1"/>
      <c r="K4639" s="1">
        <v>11.6</v>
      </c>
      <c r="L4639" s="1">
        <v>16.509999999999998</v>
      </c>
      <c r="M4639" s="1">
        <v>12.2</v>
      </c>
      <c r="O4639" s="1">
        <v>12.953999999999999</v>
      </c>
      <c r="P4639" s="1">
        <v>35.5</v>
      </c>
      <c r="Q4639" s="1">
        <v>12</v>
      </c>
      <c r="R4639" s="1">
        <v>3.302</v>
      </c>
      <c r="X4639" s="1">
        <v>3.4</v>
      </c>
    </row>
    <row r="4640" spans="1:24" x14ac:dyDescent="0.25">
      <c r="A4640" s="22">
        <v>42991</v>
      </c>
      <c r="B4640" s="2">
        <v>0</v>
      </c>
      <c r="C4640" s="1">
        <v>8.4</v>
      </c>
      <c r="D4640" s="1">
        <v>17</v>
      </c>
      <c r="E4640" s="3"/>
      <c r="F4640" s="2">
        <v>19.2</v>
      </c>
      <c r="G4640" s="2">
        <v>0</v>
      </c>
      <c r="H4640" s="1">
        <v>0.5</v>
      </c>
      <c r="I4640" s="2">
        <v>15.9</v>
      </c>
      <c r="J4640" s="1"/>
      <c r="K4640" s="1">
        <v>26.2</v>
      </c>
      <c r="L4640" s="1">
        <v>18.287999999999997</v>
      </c>
      <c r="M4640" s="1">
        <v>3.7</v>
      </c>
      <c r="O4640" s="1">
        <v>33.019999999999996</v>
      </c>
      <c r="P4640" s="1"/>
      <c r="Q4640" s="1">
        <v>114</v>
      </c>
      <c r="R4640" s="1">
        <v>0</v>
      </c>
      <c r="X4640" s="1">
        <v>0</v>
      </c>
    </row>
    <row r="4641" spans="1:24" x14ac:dyDescent="0.25">
      <c r="A4641" s="22">
        <v>42992</v>
      </c>
      <c r="B4641" s="2">
        <v>0</v>
      </c>
      <c r="C4641" s="1">
        <v>0</v>
      </c>
      <c r="D4641" s="1">
        <v>0</v>
      </c>
      <c r="E4641" s="3">
        <v>45.5</v>
      </c>
      <c r="F4641" s="2">
        <v>0</v>
      </c>
      <c r="G4641" s="2">
        <v>12.3</v>
      </c>
      <c r="H4641" s="1">
        <v>0</v>
      </c>
      <c r="I4641" s="2">
        <v>12</v>
      </c>
      <c r="J4641" s="1"/>
      <c r="K4641" s="1">
        <v>0</v>
      </c>
      <c r="L4641" s="1">
        <v>4.3180000000000005</v>
      </c>
      <c r="M4641" s="1">
        <v>0</v>
      </c>
      <c r="O4641" s="1">
        <v>1.27</v>
      </c>
      <c r="P4641" s="1"/>
      <c r="Q4641" s="1">
        <v>0</v>
      </c>
      <c r="R4641" s="1">
        <v>0</v>
      </c>
      <c r="X4641" s="1">
        <v>29.1</v>
      </c>
    </row>
    <row r="4642" spans="1:24" x14ac:dyDescent="0.25">
      <c r="A4642" s="22">
        <v>42993</v>
      </c>
      <c r="B4642" s="2">
        <v>0</v>
      </c>
      <c r="C4642" s="1">
        <v>6.3</v>
      </c>
      <c r="D4642" s="1">
        <v>3</v>
      </c>
      <c r="E4642" s="3"/>
      <c r="F4642" s="2">
        <v>9.8000000000000007</v>
      </c>
      <c r="G4642" s="2">
        <v>1.9</v>
      </c>
      <c r="H4642" s="1">
        <v>0</v>
      </c>
      <c r="I4642" s="2">
        <v>0</v>
      </c>
      <c r="J4642" s="2"/>
      <c r="K4642" s="1">
        <v>24.2</v>
      </c>
      <c r="L4642" s="1">
        <v>4.0640000000000001</v>
      </c>
      <c r="M4642" s="1">
        <v>11.3</v>
      </c>
      <c r="O4642" s="1">
        <v>2.54</v>
      </c>
      <c r="P4642" s="1"/>
      <c r="Q4642" s="1">
        <v>0</v>
      </c>
      <c r="R4642" s="1">
        <v>8.3819999999999997</v>
      </c>
      <c r="X4642" s="1">
        <v>4.4000000000000004</v>
      </c>
    </row>
    <row r="4643" spans="1:24" x14ac:dyDescent="0.25">
      <c r="A4643" s="22">
        <v>42994</v>
      </c>
      <c r="B4643" s="2">
        <v>0</v>
      </c>
      <c r="C4643" s="1">
        <v>5.3</v>
      </c>
      <c r="D4643" s="1">
        <v>0</v>
      </c>
      <c r="E4643" s="3"/>
      <c r="F4643" s="2">
        <v>3.7</v>
      </c>
      <c r="G4643" s="2">
        <v>0</v>
      </c>
      <c r="H4643" s="1">
        <v>0</v>
      </c>
      <c r="I4643" s="2">
        <v>0</v>
      </c>
      <c r="J4643" s="2"/>
      <c r="K4643" s="1">
        <v>3.4</v>
      </c>
      <c r="L4643" s="1">
        <v>3.302</v>
      </c>
      <c r="M4643" s="1">
        <v>1.2</v>
      </c>
      <c r="O4643" s="1">
        <v>0</v>
      </c>
      <c r="P4643" s="1"/>
      <c r="Q4643" s="1">
        <v>11</v>
      </c>
      <c r="R4643" s="1">
        <v>0</v>
      </c>
      <c r="X4643" s="1">
        <v>0</v>
      </c>
    </row>
    <row r="4644" spans="1:24" x14ac:dyDescent="0.25">
      <c r="A4644" s="22">
        <v>42995</v>
      </c>
      <c r="B4644" s="2">
        <v>0</v>
      </c>
      <c r="C4644" s="1">
        <v>0.3</v>
      </c>
      <c r="D4644" s="30" t="s">
        <v>9</v>
      </c>
      <c r="E4644" s="3"/>
      <c r="F4644" s="2">
        <v>0</v>
      </c>
      <c r="G4644" s="1">
        <v>3.9</v>
      </c>
      <c r="H4644" s="1">
        <v>2.7</v>
      </c>
      <c r="I4644" s="2">
        <v>0</v>
      </c>
      <c r="J4644" s="2"/>
      <c r="K4644" s="1">
        <v>0</v>
      </c>
      <c r="L4644" s="1">
        <v>0</v>
      </c>
      <c r="M4644" s="1">
        <v>1.2</v>
      </c>
      <c r="O4644" s="1">
        <v>0</v>
      </c>
      <c r="P4644" s="1"/>
      <c r="Q4644" s="1">
        <v>0</v>
      </c>
      <c r="R4644" s="1">
        <v>0</v>
      </c>
      <c r="X4644" s="1">
        <v>2.6</v>
      </c>
    </row>
    <row r="4645" spans="1:24" x14ac:dyDescent="0.25">
      <c r="A4645" s="22">
        <v>42996</v>
      </c>
      <c r="B4645" s="2">
        <v>18.8</v>
      </c>
      <c r="C4645" s="1">
        <v>2.7</v>
      </c>
      <c r="D4645" s="1">
        <v>7.3</v>
      </c>
      <c r="E4645" s="3"/>
      <c r="F4645" s="2">
        <v>1.9</v>
      </c>
      <c r="G4645" s="1">
        <v>3.5</v>
      </c>
      <c r="H4645" s="1">
        <v>11.8</v>
      </c>
      <c r="I4645" s="2">
        <v>0</v>
      </c>
      <c r="J4645" s="1"/>
      <c r="K4645" s="1">
        <v>0.8</v>
      </c>
      <c r="L4645" s="1">
        <v>1.27</v>
      </c>
      <c r="M4645" s="1">
        <v>5.2</v>
      </c>
      <c r="O4645" s="1">
        <v>13.97</v>
      </c>
      <c r="P4645" s="1"/>
      <c r="Q4645" s="1">
        <v>0</v>
      </c>
      <c r="R4645" s="1">
        <v>3.8099999999999996</v>
      </c>
      <c r="X4645" s="1">
        <v>9.6999999999999993</v>
      </c>
    </row>
    <row r="4646" spans="1:24" x14ac:dyDescent="0.25">
      <c r="A4646" s="22">
        <v>42997</v>
      </c>
      <c r="B4646" s="2">
        <v>0</v>
      </c>
      <c r="C4646" s="1">
        <v>4.3</v>
      </c>
      <c r="D4646" s="1">
        <v>1.5</v>
      </c>
      <c r="E4646" s="3"/>
      <c r="F4646" s="1">
        <v>7.1</v>
      </c>
      <c r="G4646" s="1">
        <v>0</v>
      </c>
      <c r="H4646" s="1">
        <v>0</v>
      </c>
      <c r="I4646" s="2">
        <v>17.3</v>
      </c>
      <c r="J4646" s="1"/>
      <c r="K4646" s="1">
        <v>27.8</v>
      </c>
      <c r="L4646" s="1">
        <v>10.413999999999998</v>
      </c>
      <c r="M4646" s="1">
        <v>13.3</v>
      </c>
      <c r="O4646" s="1">
        <v>13.715999999999999</v>
      </c>
      <c r="P4646" s="1">
        <v>9</v>
      </c>
      <c r="Q4646" s="1">
        <v>16</v>
      </c>
      <c r="R4646" s="1">
        <v>0</v>
      </c>
      <c r="X4646" s="1">
        <v>0</v>
      </c>
    </row>
    <row r="4647" spans="1:24" x14ac:dyDescent="0.25">
      <c r="A4647" s="22">
        <v>42998</v>
      </c>
      <c r="B4647" s="2">
        <v>0</v>
      </c>
      <c r="C4647" s="1">
        <v>0</v>
      </c>
      <c r="D4647" s="1">
        <v>0</v>
      </c>
      <c r="E4647" s="3"/>
      <c r="F4647" s="2">
        <v>0</v>
      </c>
      <c r="G4647" s="1">
        <v>0.6</v>
      </c>
      <c r="H4647" s="1">
        <v>0</v>
      </c>
      <c r="I4647" s="2">
        <v>0</v>
      </c>
      <c r="J4647" s="2"/>
      <c r="K4647" s="1">
        <v>0</v>
      </c>
      <c r="L4647" s="1">
        <v>1.5239999999999998</v>
      </c>
      <c r="M4647" s="1">
        <v>0</v>
      </c>
      <c r="O4647" s="1">
        <v>0</v>
      </c>
      <c r="P4647" s="1">
        <v>16.3</v>
      </c>
      <c r="Q4647" s="1">
        <v>12</v>
      </c>
      <c r="R4647" s="1">
        <v>0</v>
      </c>
      <c r="X4647" s="1">
        <v>1.6</v>
      </c>
    </row>
    <row r="4648" spans="1:24" x14ac:dyDescent="0.25">
      <c r="A4648" s="22">
        <v>42999</v>
      </c>
      <c r="B4648" s="2">
        <v>0</v>
      </c>
      <c r="C4648" s="1">
        <v>0</v>
      </c>
      <c r="D4648" s="1">
        <v>3</v>
      </c>
      <c r="E4648" s="3"/>
      <c r="F4648" s="1">
        <v>3.8</v>
      </c>
      <c r="G4648" s="1">
        <v>0</v>
      </c>
      <c r="H4648" s="1">
        <v>9.1999999999999993</v>
      </c>
      <c r="I4648" s="2">
        <v>0</v>
      </c>
      <c r="J4648" s="1"/>
      <c r="K4648" s="1">
        <v>0</v>
      </c>
      <c r="L4648" s="1">
        <v>0</v>
      </c>
      <c r="M4648" s="1">
        <v>0</v>
      </c>
      <c r="O4648" s="1">
        <v>0.50800000000000001</v>
      </c>
      <c r="P4648" s="1"/>
      <c r="Q4648" s="1">
        <v>0</v>
      </c>
      <c r="R4648" s="1">
        <v>0</v>
      </c>
      <c r="X4648" s="1">
        <v>9.6</v>
      </c>
    </row>
    <row r="4649" spans="1:24" x14ac:dyDescent="0.25">
      <c r="A4649" s="22">
        <v>43000</v>
      </c>
      <c r="B4649" s="2">
        <v>0</v>
      </c>
      <c r="C4649" s="1">
        <v>0</v>
      </c>
      <c r="D4649" s="1">
        <v>0</v>
      </c>
      <c r="E4649" s="3"/>
      <c r="F4649" s="1">
        <v>0.1</v>
      </c>
      <c r="G4649" s="1">
        <v>2.1</v>
      </c>
      <c r="H4649" s="1">
        <v>18.7</v>
      </c>
      <c r="I4649" s="2">
        <v>0</v>
      </c>
      <c r="J4649" s="1"/>
      <c r="K4649" s="1">
        <v>0</v>
      </c>
      <c r="L4649" s="1">
        <v>0</v>
      </c>
      <c r="M4649" s="1">
        <v>1.8</v>
      </c>
      <c r="O4649" s="1">
        <v>0</v>
      </c>
      <c r="P4649" s="1">
        <v>15.5</v>
      </c>
      <c r="Q4649" s="1">
        <v>29</v>
      </c>
      <c r="R4649" s="1">
        <v>0</v>
      </c>
      <c r="X4649" s="1">
        <v>21.3</v>
      </c>
    </row>
    <row r="4650" spans="1:24" x14ac:dyDescent="0.25">
      <c r="A4650" s="22">
        <v>43001</v>
      </c>
      <c r="B4650" s="2">
        <v>0</v>
      </c>
      <c r="C4650" s="1">
        <v>15.3</v>
      </c>
      <c r="D4650" s="1">
        <v>23</v>
      </c>
      <c r="E4650" s="3"/>
      <c r="F4650" s="1">
        <v>5.4</v>
      </c>
      <c r="G4650" s="1">
        <v>3.8</v>
      </c>
      <c r="H4650" s="1">
        <v>26.7</v>
      </c>
      <c r="I4650" s="2">
        <v>0</v>
      </c>
      <c r="J4650" s="1"/>
      <c r="K4650" s="1">
        <v>9.4</v>
      </c>
      <c r="L4650" s="1">
        <v>3.302</v>
      </c>
      <c r="M4650" s="1">
        <v>1.3</v>
      </c>
      <c r="O4650" s="1">
        <v>0</v>
      </c>
      <c r="P4650" s="1"/>
      <c r="Q4650" s="1">
        <v>0</v>
      </c>
      <c r="R4650" s="1">
        <v>0</v>
      </c>
      <c r="X4650" s="1">
        <v>24.3</v>
      </c>
    </row>
    <row r="4651" spans="1:24" x14ac:dyDescent="0.25">
      <c r="A4651" s="22">
        <v>43002</v>
      </c>
      <c r="B4651" s="2">
        <v>87.8</v>
      </c>
      <c r="C4651" s="1">
        <v>12.9</v>
      </c>
      <c r="D4651" s="1">
        <v>0</v>
      </c>
      <c r="E4651" s="3"/>
      <c r="F4651" s="1">
        <v>34.5</v>
      </c>
      <c r="G4651" s="1">
        <v>2.6</v>
      </c>
      <c r="H4651" s="1">
        <v>0</v>
      </c>
      <c r="I4651" s="2">
        <v>43.5</v>
      </c>
      <c r="J4651" s="1"/>
      <c r="K4651" s="1">
        <v>28.4</v>
      </c>
      <c r="L4651" s="1">
        <v>29.463999999999995</v>
      </c>
      <c r="M4651" s="1">
        <v>13.2</v>
      </c>
      <c r="O4651" s="1">
        <v>0</v>
      </c>
      <c r="P4651" s="1"/>
      <c r="Q4651" s="1">
        <v>42</v>
      </c>
      <c r="R4651" s="1">
        <v>0</v>
      </c>
      <c r="X4651" s="1">
        <v>0</v>
      </c>
    </row>
    <row r="4652" spans="1:24" x14ac:dyDescent="0.25">
      <c r="A4652" s="22">
        <v>43003</v>
      </c>
      <c r="B4652" s="2">
        <v>0</v>
      </c>
      <c r="C4652" s="1">
        <v>14</v>
      </c>
      <c r="D4652" s="1">
        <v>7</v>
      </c>
      <c r="E4652" s="3"/>
      <c r="F4652" s="2">
        <v>9.1</v>
      </c>
      <c r="G4652" s="1">
        <v>0</v>
      </c>
      <c r="H4652" s="1">
        <v>0.5</v>
      </c>
      <c r="I4652" s="1">
        <v>4.7</v>
      </c>
      <c r="J4652" s="2"/>
      <c r="K4652" s="1">
        <v>57.7</v>
      </c>
      <c r="L4652" s="1">
        <v>38.099999999999994</v>
      </c>
      <c r="M4652" s="1">
        <v>10.8</v>
      </c>
      <c r="O4652" s="1">
        <v>59.181999999999995</v>
      </c>
      <c r="P4652" s="1">
        <v>18.600000000000001</v>
      </c>
      <c r="Q4652" s="1">
        <v>27</v>
      </c>
      <c r="R4652" s="1">
        <v>0</v>
      </c>
      <c r="X4652" s="1">
        <v>0</v>
      </c>
    </row>
    <row r="4653" spans="1:24" x14ac:dyDescent="0.25">
      <c r="A4653" s="22">
        <v>43004</v>
      </c>
      <c r="B4653" s="2">
        <v>0</v>
      </c>
      <c r="C4653" s="1">
        <v>0</v>
      </c>
      <c r="D4653" s="1">
        <v>0</v>
      </c>
      <c r="E4653" s="3"/>
      <c r="F4653" s="2">
        <v>1.3</v>
      </c>
      <c r="G4653" s="1">
        <v>2.8</v>
      </c>
      <c r="H4653" s="1">
        <v>29.1</v>
      </c>
      <c r="I4653" s="1">
        <v>1.3</v>
      </c>
      <c r="J4653" s="1"/>
      <c r="K4653" s="1">
        <v>1.2</v>
      </c>
      <c r="L4653" s="1">
        <v>4.0640000000000001</v>
      </c>
      <c r="M4653" s="1">
        <v>0</v>
      </c>
      <c r="O4653" s="1">
        <v>0.7619999999999999</v>
      </c>
      <c r="P4653" s="1">
        <v>16.399999999999999</v>
      </c>
      <c r="Q4653" s="1">
        <v>0</v>
      </c>
      <c r="R4653" s="1">
        <v>16.509999999999998</v>
      </c>
      <c r="X4653" s="1">
        <v>0.8</v>
      </c>
    </row>
    <row r="4654" spans="1:24" x14ac:dyDescent="0.25">
      <c r="A4654" s="22">
        <v>43005</v>
      </c>
      <c r="B4654" s="2">
        <v>0</v>
      </c>
      <c r="C4654" s="1">
        <v>1.2</v>
      </c>
      <c r="D4654" s="1">
        <v>2.1</v>
      </c>
      <c r="E4654" s="3"/>
      <c r="F4654" s="2">
        <v>3.6</v>
      </c>
      <c r="G4654" s="1">
        <v>23.5</v>
      </c>
      <c r="H4654" s="1">
        <v>4.0999999999999996</v>
      </c>
      <c r="I4654" s="1">
        <v>0</v>
      </c>
      <c r="J4654" s="2"/>
      <c r="K4654" s="1">
        <v>0.9</v>
      </c>
      <c r="L4654" s="1">
        <v>0.50800000000000001</v>
      </c>
      <c r="M4654" s="1">
        <v>2.9</v>
      </c>
      <c r="O4654" s="1">
        <v>1.778</v>
      </c>
      <c r="P4654" s="1"/>
      <c r="Q4654" s="1">
        <v>4</v>
      </c>
      <c r="R4654" s="1">
        <v>10.16</v>
      </c>
      <c r="X4654" s="1">
        <v>30.4</v>
      </c>
    </row>
    <row r="4655" spans="1:24" x14ac:dyDescent="0.25">
      <c r="A4655" s="22">
        <v>43006</v>
      </c>
      <c r="B4655" s="2">
        <v>0</v>
      </c>
      <c r="C4655" s="1">
        <v>24.4</v>
      </c>
      <c r="D4655" s="1">
        <v>19.100000000000001</v>
      </c>
      <c r="E4655" s="3"/>
      <c r="F4655" s="2">
        <v>60.4</v>
      </c>
      <c r="G4655" s="1">
        <v>2.5</v>
      </c>
      <c r="H4655" s="1">
        <v>0</v>
      </c>
      <c r="I4655" s="1">
        <v>31.7</v>
      </c>
      <c r="J4655" s="1"/>
      <c r="K4655" s="1">
        <v>28.2</v>
      </c>
      <c r="L4655" s="1">
        <v>32.003999999999998</v>
      </c>
      <c r="M4655" s="1">
        <v>55.2</v>
      </c>
      <c r="O4655" s="1">
        <v>35.559999999999995</v>
      </c>
      <c r="P4655" s="1">
        <v>40.1</v>
      </c>
      <c r="Q4655" s="1">
        <v>44</v>
      </c>
      <c r="R4655" s="1">
        <v>6.35</v>
      </c>
      <c r="X4655" s="1">
        <v>5.5</v>
      </c>
    </row>
    <row r="4656" spans="1:24" x14ac:dyDescent="0.25">
      <c r="A4656" s="22">
        <v>43007</v>
      </c>
      <c r="B4656" s="2">
        <v>0</v>
      </c>
      <c r="C4656" s="1">
        <v>25.6</v>
      </c>
      <c r="D4656" s="1">
        <v>13.1</v>
      </c>
      <c r="E4656" s="3"/>
      <c r="F4656" s="2">
        <v>7.1</v>
      </c>
      <c r="G4656" s="1">
        <v>6.8</v>
      </c>
      <c r="H4656" s="1">
        <v>1</v>
      </c>
      <c r="I4656" s="1">
        <v>4.0999999999999996</v>
      </c>
      <c r="J4656" s="1"/>
      <c r="K4656" s="1">
        <v>2.2999999999999998</v>
      </c>
      <c r="L4656" s="1">
        <v>7.6199999999999992</v>
      </c>
      <c r="M4656" s="1">
        <v>3.2</v>
      </c>
      <c r="O4656" s="1">
        <v>2.54</v>
      </c>
      <c r="P4656" s="1">
        <v>5.6</v>
      </c>
      <c r="Q4656" s="1">
        <v>12</v>
      </c>
      <c r="R4656" s="1">
        <v>0</v>
      </c>
      <c r="X4656" s="1">
        <v>9.8000000000000007</v>
      </c>
    </row>
    <row r="4657" spans="1:24" x14ac:dyDescent="0.25">
      <c r="A4657" s="22">
        <v>43008</v>
      </c>
      <c r="B4657" s="2">
        <v>89.6</v>
      </c>
      <c r="C4657" s="1">
        <v>20.100000000000001</v>
      </c>
      <c r="D4657" s="1">
        <v>16</v>
      </c>
      <c r="E4657" s="3">
        <v>111.2</v>
      </c>
      <c r="F4657" s="2">
        <v>24.9</v>
      </c>
      <c r="G4657" s="1">
        <v>0</v>
      </c>
      <c r="H4657" s="1"/>
      <c r="I4657" s="1">
        <v>2.1</v>
      </c>
      <c r="J4657" s="1"/>
      <c r="K4657" s="1">
        <v>12.2</v>
      </c>
      <c r="L4657" s="1">
        <v>22.097999999999999</v>
      </c>
      <c r="M4657" s="1">
        <v>24.4</v>
      </c>
      <c r="O4657" s="1">
        <v>31.75</v>
      </c>
      <c r="P4657" s="1">
        <v>18.2</v>
      </c>
      <c r="Q4657" s="1">
        <v>18</v>
      </c>
      <c r="R4657" s="1">
        <v>5.08</v>
      </c>
      <c r="X4657" s="1">
        <v>0</v>
      </c>
    </row>
    <row r="4658" spans="1:24" x14ac:dyDescent="0.25">
      <c r="A4658" s="22">
        <v>43009</v>
      </c>
      <c r="B4658" s="2">
        <v>0</v>
      </c>
      <c r="C4658" s="1">
        <v>11.6</v>
      </c>
      <c r="D4658" s="1">
        <v>0</v>
      </c>
      <c r="E4658" s="3"/>
      <c r="F4658" s="2">
        <v>5.0999999999999996</v>
      </c>
      <c r="G4658" s="1"/>
      <c r="H4658" s="1">
        <v>0</v>
      </c>
      <c r="I4658" s="2">
        <v>0</v>
      </c>
      <c r="J4658" s="30" t="s">
        <v>9</v>
      </c>
      <c r="K4658" s="1">
        <v>0</v>
      </c>
      <c r="L4658" s="1">
        <v>0</v>
      </c>
      <c r="M4658" s="1">
        <v>5.2</v>
      </c>
      <c r="O4658" s="1">
        <v>1.016</v>
      </c>
      <c r="P4658" s="1">
        <v>2</v>
      </c>
      <c r="Q4658" s="1">
        <v>8.6</v>
      </c>
      <c r="R4658" s="1"/>
      <c r="X4658" s="1">
        <v>8.6</v>
      </c>
    </row>
    <row r="4659" spans="1:24" x14ac:dyDescent="0.25">
      <c r="A4659" s="22">
        <v>43010</v>
      </c>
      <c r="B4659" s="2">
        <v>0</v>
      </c>
      <c r="C4659" s="1">
        <v>47.3</v>
      </c>
      <c r="D4659" s="1">
        <v>12</v>
      </c>
      <c r="E4659" s="3"/>
      <c r="F4659" s="2">
        <v>9.6999999999999993</v>
      </c>
      <c r="G4659" s="1"/>
      <c r="H4659" s="1">
        <v>6.7</v>
      </c>
      <c r="I4659" s="2">
        <v>7</v>
      </c>
      <c r="J4659" s="2">
        <v>7.5</v>
      </c>
      <c r="K4659" s="1">
        <v>8.1</v>
      </c>
      <c r="L4659" s="1">
        <v>10.16</v>
      </c>
      <c r="M4659" s="1">
        <v>6.3</v>
      </c>
      <c r="O4659" s="1">
        <v>10.16</v>
      </c>
      <c r="P4659" s="1">
        <v>5.9</v>
      </c>
      <c r="Q4659" s="1">
        <v>2.2000000000000002</v>
      </c>
      <c r="R4659" s="1">
        <v>20</v>
      </c>
      <c r="X4659" s="1">
        <v>2.2000000000000002</v>
      </c>
    </row>
    <row r="4660" spans="1:24" x14ac:dyDescent="0.25">
      <c r="A4660" s="22">
        <v>43011</v>
      </c>
      <c r="B4660" s="2">
        <v>0</v>
      </c>
      <c r="C4660" s="1">
        <v>5.5</v>
      </c>
      <c r="D4660" s="1">
        <v>7.6</v>
      </c>
      <c r="E4660" s="3"/>
      <c r="F4660" s="2">
        <v>15.1</v>
      </c>
      <c r="G4660" s="1"/>
      <c r="H4660" s="1">
        <v>1.5</v>
      </c>
      <c r="I4660" s="2">
        <v>9.3000000000000007</v>
      </c>
      <c r="J4660" s="2">
        <v>11.5</v>
      </c>
      <c r="K4660" s="1">
        <v>6.2</v>
      </c>
      <c r="L4660" s="1">
        <v>20.32</v>
      </c>
      <c r="M4660" s="1">
        <v>1.1000000000000001</v>
      </c>
      <c r="O4660" s="1">
        <v>19.558</v>
      </c>
      <c r="P4660" s="1">
        <v>0</v>
      </c>
      <c r="Q4660" s="1">
        <v>3.3</v>
      </c>
      <c r="R4660" s="1">
        <v>5</v>
      </c>
      <c r="X4660" s="1">
        <v>3.3</v>
      </c>
    </row>
    <row r="4661" spans="1:24" x14ac:dyDescent="0.25">
      <c r="A4661" s="22">
        <v>43012</v>
      </c>
      <c r="B4661" s="2">
        <v>0</v>
      </c>
      <c r="C4661" s="1">
        <v>18.600000000000001</v>
      </c>
      <c r="D4661" s="1">
        <v>11.4</v>
      </c>
      <c r="E4661" s="3"/>
      <c r="F4661" s="2">
        <v>7</v>
      </c>
      <c r="G4661" s="1"/>
      <c r="H4661" s="1">
        <v>3.4</v>
      </c>
      <c r="I4661" s="2">
        <v>12</v>
      </c>
      <c r="J4661" s="1">
        <v>4.9000000000000004</v>
      </c>
      <c r="K4661" s="1">
        <v>2.2000000000000002</v>
      </c>
      <c r="L4661" s="1">
        <v>0.7619999999999999</v>
      </c>
      <c r="M4661" s="1">
        <v>4.0999999999999996</v>
      </c>
      <c r="O4661" s="1">
        <v>16.256</v>
      </c>
      <c r="P4661" s="1">
        <v>2</v>
      </c>
      <c r="Q4661" s="1">
        <v>0</v>
      </c>
      <c r="R4661" s="1">
        <v>10</v>
      </c>
      <c r="X4661" s="1">
        <v>0</v>
      </c>
    </row>
    <row r="4662" spans="1:24" x14ac:dyDescent="0.25">
      <c r="A4662" s="22">
        <v>43013</v>
      </c>
      <c r="B4662" s="2">
        <v>0</v>
      </c>
      <c r="C4662" s="30" t="s">
        <v>9</v>
      </c>
      <c r="D4662" s="30" t="s">
        <v>9</v>
      </c>
      <c r="E4662" s="3"/>
      <c r="F4662" s="30" t="s">
        <v>9</v>
      </c>
      <c r="G4662" s="1"/>
      <c r="H4662" s="1">
        <v>0</v>
      </c>
      <c r="I4662" s="2">
        <v>0</v>
      </c>
      <c r="J4662" s="2">
        <v>0.1</v>
      </c>
      <c r="K4662" s="1">
        <v>0</v>
      </c>
      <c r="L4662" s="1">
        <v>0</v>
      </c>
      <c r="M4662" s="1">
        <v>0.5</v>
      </c>
      <c r="O4662" s="1">
        <v>0</v>
      </c>
      <c r="P4662" s="1">
        <v>0</v>
      </c>
      <c r="Q4662" s="1">
        <v>0</v>
      </c>
      <c r="R4662" s="1">
        <v>15</v>
      </c>
      <c r="X4662" s="1">
        <v>0</v>
      </c>
    </row>
    <row r="4663" spans="1:24" x14ac:dyDescent="0.25">
      <c r="A4663" s="22">
        <v>43014</v>
      </c>
      <c r="B4663" s="2">
        <v>0</v>
      </c>
      <c r="C4663" s="1">
        <v>0</v>
      </c>
      <c r="D4663" s="30" t="s">
        <v>9</v>
      </c>
      <c r="E4663" s="3"/>
      <c r="F4663" s="2">
        <v>2.4</v>
      </c>
      <c r="G4663" s="1"/>
      <c r="H4663" s="1">
        <v>7</v>
      </c>
      <c r="I4663" s="2">
        <v>0</v>
      </c>
      <c r="J4663" s="2">
        <v>3.9</v>
      </c>
      <c r="K4663" s="1">
        <v>0</v>
      </c>
      <c r="L4663" s="1">
        <v>0</v>
      </c>
      <c r="M4663" s="1">
        <v>0</v>
      </c>
      <c r="O4663" s="1">
        <v>0</v>
      </c>
      <c r="P4663" s="1">
        <v>0</v>
      </c>
      <c r="Q4663" s="1">
        <v>9.6999999999999993</v>
      </c>
      <c r="R4663" s="1">
        <v>19</v>
      </c>
      <c r="X4663" s="1">
        <v>9.6999999999999993</v>
      </c>
    </row>
    <row r="4664" spans="1:24" x14ac:dyDescent="0.25">
      <c r="A4664" s="22">
        <v>43015</v>
      </c>
      <c r="B4664" s="2">
        <v>0</v>
      </c>
      <c r="C4664" s="1">
        <v>4.7</v>
      </c>
      <c r="D4664" s="2">
        <v>12.5</v>
      </c>
      <c r="E4664" s="3"/>
      <c r="F4664" s="2">
        <v>38.1</v>
      </c>
      <c r="G4664" s="1"/>
      <c r="H4664" s="1">
        <v>14.8</v>
      </c>
      <c r="I4664" s="2">
        <v>18.600000000000001</v>
      </c>
      <c r="J4664" s="2">
        <v>21.2</v>
      </c>
      <c r="K4664" s="1">
        <v>10.1</v>
      </c>
      <c r="L4664" s="1">
        <v>12.7</v>
      </c>
      <c r="M4664" s="1">
        <v>17.2</v>
      </c>
      <c r="O4664" s="1">
        <v>0</v>
      </c>
      <c r="P4664" s="1">
        <v>4.2</v>
      </c>
      <c r="Q4664" s="1">
        <v>8.1</v>
      </c>
      <c r="R4664" s="1">
        <v>7</v>
      </c>
      <c r="X4664" s="1">
        <v>8.1</v>
      </c>
    </row>
    <row r="4665" spans="1:24" x14ac:dyDescent="0.25">
      <c r="A4665" s="22">
        <v>43016</v>
      </c>
      <c r="B4665" s="2">
        <v>49</v>
      </c>
      <c r="C4665" s="1">
        <v>8.9</v>
      </c>
      <c r="D4665" s="1">
        <v>7</v>
      </c>
      <c r="E4665" s="3"/>
      <c r="F4665" s="2">
        <v>12.1</v>
      </c>
      <c r="G4665" s="1"/>
      <c r="H4665" s="1">
        <v>5.0999999999999996</v>
      </c>
      <c r="I4665" s="2">
        <v>10.5</v>
      </c>
      <c r="J4665" s="2">
        <v>23.4</v>
      </c>
      <c r="K4665" s="1">
        <v>13.8</v>
      </c>
      <c r="L4665" s="1">
        <v>14.224</v>
      </c>
      <c r="M4665" s="1">
        <v>0</v>
      </c>
      <c r="O4665" s="1">
        <v>0</v>
      </c>
      <c r="P4665" s="1">
        <v>29.5</v>
      </c>
      <c r="Q4665" s="1">
        <v>0.6</v>
      </c>
      <c r="R4665" s="1">
        <v>7</v>
      </c>
      <c r="X4665" s="1">
        <v>0.6</v>
      </c>
    </row>
    <row r="4666" spans="1:24" x14ac:dyDescent="0.25">
      <c r="A4666" s="22">
        <v>43017</v>
      </c>
      <c r="B4666" s="2">
        <v>0</v>
      </c>
      <c r="C4666" s="30" t="s">
        <v>9</v>
      </c>
      <c r="D4666" s="1">
        <v>0</v>
      </c>
      <c r="E4666" s="3"/>
      <c r="F4666" s="2">
        <v>0</v>
      </c>
      <c r="G4666" s="1"/>
      <c r="H4666" s="1">
        <v>0.8</v>
      </c>
      <c r="I4666" s="2">
        <v>0</v>
      </c>
      <c r="J4666" s="30" t="s">
        <v>9</v>
      </c>
      <c r="K4666" s="1">
        <v>1.7</v>
      </c>
      <c r="L4666" s="1">
        <v>15.239999999999998</v>
      </c>
      <c r="M4666" s="1">
        <v>0</v>
      </c>
      <c r="O4666" s="1">
        <v>17.272000000000002</v>
      </c>
      <c r="P4666" s="1">
        <v>6.6</v>
      </c>
      <c r="Q4666" s="1">
        <v>1.4</v>
      </c>
      <c r="R4666" s="1">
        <v>25</v>
      </c>
      <c r="X4666" s="1">
        <v>1.4</v>
      </c>
    </row>
    <row r="4667" spans="1:24" x14ac:dyDescent="0.25">
      <c r="A4667" s="22">
        <v>43018</v>
      </c>
      <c r="B4667" s="2">
        <v>0</v>
      </c>
      <c r="C4667" s="1">
        <v>0</v>
      </c>
      <c r="D4667" s="1">
        <v>0</v>
      </c>
      <c r="E4667" s="3"/>
      <c r="F4667" s="2">
        <v>0</v>
      </c>
      <c r="G4667" s="1"/>
      <c r="H4667" s="1">
        <v>0</v>
      </c>
      <c r="I4667" s="2">
        <v>0.5</v>
      </c>
      <c r="J4667" s="1">
        <v>1.3</v>
      </c>
      <c r="K4667" s="1">
        <v>4.2</v>
      </c>
      <c r="L4667" s="1">
        <v>1.27</v>
      </c>
      <c r="M4667" s="1">
        <v>8.4</v>
      </c>
      <c r="O4667" s="1">
        <v>0.50800000000000001</v>
      </c>
      <c r="P4667" s="1">
        <v>11.5</v>
      </c>
      <c r="Q4667" s="1">
        <v>0.6</v>
      </c>
      <c r="R4667" s="1">
        <v>11</v>
      </c>
      <c r="X4667" s="1">
        <v>0.6</v>
      </c>
    </row>
    <row r="4668" spans="1:24" x14ac:dyDescent="0.25">
      <c r="A4668" s="22">
        <v>43019</v>
      </c>
      <c r="B4668" s="2">
        <v>0</v>
      </c>
      <c r="C4668" s="1">
        <v>0</v>
      </c>
      <c r="D4668" s="1">
        <v>0</v>
      </c>
      <c r="E4668" s="3"/>
      <c r="F4668" s="2">
        <v>0.7</v>
      </c>
      <c r="G4668" s="1"/>
      <c r="H4668" s="1">
        <v>0</v>
      </c>
      <c r="I4668" s="2">
        <v>0.4</v>
      </c>
      <c r="J4668" s="30" t="s">
        <v>9</v>
      </c>
      <c r="K4668" s="1">
        <v>0</v>
      </c>
      <c r="L4668" s="1">
        <v>0</v>
      </c>
      <c r="M4668" s="1">
        <v>0</v>
      </c>
      <c r="O4668" s="1">
        <v>0</v>
      </c>
      <c r="P4668" s="1">
        <v>0</v>
      </c>
      <c r="Q4668" s="1">
        <v>0</v>
      </c>
      <c r="R4668" s="1">
        <v>15</v>
      </c>
      <c r="X4668" s="1">
        <v>0</v>
      </c>
    </row>
    <row r="4669" spans="1:24" x14ac:dyDescent="0.25">
      <c r="A4669" s="22">
        <v>43020</v>
      </c>
      <c r="B4669" s="2">
        <v>0</v>
      </c>
      <c r="C4669" s="1">
        <v>0</v>
      </c>
      <c r="D4669" s="30" t="s">
        <v>9</v>
      </c>
      <c r="E4669" s="3"/>
      <c r="F4669" s="2">
        <v>0</v>
      </c>
      <c r="G4669" s="1"/>
      <c r="H4669" s="1">
        <v>1.4</v>
      </c>
      <c r="I4669" s="2">
        <v>0.9</v>
      </c>
      <c r="J4669" s="1">
        <v>1.1000000000000001</v>
      </c>
      <c r="K4669" s="1">
        <v>0</v>
      </c>
      <c r="L4669" s="1">
        <v>0</v>
      </c>
      <c r="M4669" s="1">
        <v>0</v>
      </c>
      <c r="O4669" s="1">
        <v>0</v>
      </c>
      <c r="P4669" s="1">
        <v>0</v>
      </c>
      <c r="Q4669" s="1">
        <v>4.2</v>
      </c>
      <c r="R4669" s="1">
        <v>5</v>
      </c>
      <c r="X4669" s="1">
        <v>4.2</v>
      </c>
    </row>
    <row r="4670" spans="1:24" x14ac:dyDescent="0.25">
      <c r="A4670" s="22">
        <v>43021</v>
      </c>
      <c r="B4670" s="2">
        <v>0</v>
      </c>
      <c r="C4670" s="1">
        <v>0.5</v>
      </c>
      <c r="D4670" s="1">
        <v>2.1</v>
      </c>
      <c r="E4670" s="3"/>
      <c r="F4670" s="2">
        <v>0</v>
      </c>
      <c r="G4670" s="2"/>
      <c r="H4670" s="1">
        <v>0</v>
      </c>
      <c r="I4670" s="2">
        <v>0</v>
      </c>
      <c r="J4670" s="1">
        <v>3.9</v>
      </c>
      <c r="K4670" s="1">
        <v>12.8</v>
      </c>
      <c r="L4670" s="1">
        <v>7.6199999999999992</v>
      </c>
      <c r="M4670" s="1">
        <v>5.5</v>
      </c>
      <c r="O4670" s="1">
        <v>16.763999999999999</v>
      </c>
      <c r="P4670" s="1">
        <v>2.5</v>
      </c>
      <c r="Q4670" s="1">
        <v>18.8</v>
      </c>
      <c r="R4670" s="1">
        <v>7</v>
      </c>
      <c r="X4670" s="1">
        <v>18.8</v>
      </c>
    </row>
    <row r="4671" spans="1:24" x14ac:dyDescent="0.25">
      <c r="A4671" s="22">
        <v>43022</v>
      </c>
      <c r="B4671" s="2">
        <v>0</v>
      </c>
      <c r="C4671" s="1">
        <v>18.399999999999999</v>
      </c>
      <c r="D4671" s="1">
        <v>15.5</v>
      </c>
      <c r="E4671" s="3"/>
      <c r="F4671" s="2">
        <v>0</v>
      </c>
      <c r="G4671" s="2"/>
      <c r="H4671" s="1">
        <v>15.6</v>
      </c>
      <c r="I4671" s="2">
        <v>13.2</v>
      </c>
      <c r="J4671" s="1">
        <v>6.9</v>
      </c>
      <c r="K4671" s="1">
        <v>30.7</v>
      </c>
      <c r="L4671" s="1">
        <v>20.574000000000002</v>
      </c>
      <c r="M4671" s="1">
        <v>12.7</v>
      </c>
      <c r="O4671" s="1">
        <v>0</v>
      </c>
      <c r="P4671" s="1">
        <v>0</v>
      </c>
      <c r="Q4671" s="1">
        <v>11.3</v>
      </c>
      <c r="R4671" s="1">
        <v>3</v>
      </c>
      <c r="X4671" s="1">
        <v>11.3</v>
      </c>
    </row>
    <row r="4672" spans="1:24" x14ac:dyDescent="0.25">
      <c r="A4672" s="22">
        <v>43023</v>
      </c>
      <c r="B4672" s="2">
        <v>0</v>
      </c>
      <c r="C4672" s="1">
        <v>35.200000000000003</v>
      </c>
      <c r="D4672" s="1">
        <v>17.5</v>
      </c>
      <c r="E4672" s="3"/>
      <c r="F4672" s="2">
        <v>74.2</v>
      </c>
      <c r="G4672" s="2"/>
      <c r="H4672" s="1">
        <v>3.5</v>
      </c>
      <c r="I4672" s="2">
        <v>82</v>
      </c>
      <c r="J4672" s="2">
        <v>53.1</v>
      </c>
      <c r="K4672" s="1">
        <v>12.2</v>
      </c>
      <c r="L4672" s="1">
        <v>11.43</v>
      </c>
      <c r="M4672" s="1">
        <v>32.1</v>
      </c>
      <c r="O4672" s="1">
        <v>0</v>
      </c>
      <c r="P4672" s="1">
        <v>22.1</v>
      </c>
      <c r="Q4672" s="1">
        <v>10.5</v>
      </c>
      <c r="R4672" s="1">
        <v>30</v>
      </c>
      <c r="X4672" s="1">
        <v>10.5</v>
      </c>
    </row>
    <row r="4673" spans="1:24" x14ac:dyDescent="0.25">
      <c r="A4673" s="22">
        <v>43024</v>
      </c>
      <c r="B4673" s="2">
        <v>0</v>
      </c>
      <c r="C4673" s="1">
        <v>55.2</v>
      </c>
      <c r="D4673" s="1">
        <v>7.5</v>
      </c>
      <c r="E4673" s="3"/>
      <c r="F4673" s="2">
        <v>15.5</v>
      </c>
      <c r="G4673" s="2"/>
      <c r="H4673" s="1">
        <v>2.5</v>
      </c>
      <c r="I4673" s="2">
        <v>11.2</v>
      </c>
      <c r="J4673" s="2">
        <v>10.6</v>
      </c>
      <c r="K4673" s="1">
        <v>6</v>
      </c>
      <c r="L4673" s="1">
        <v>0.7619999999999999</v>
      </c>
      <c r="M4673" s="1">
        <v>15.2</v>
      </c>
      <c r="O4673" s="1">
        <v>50.8</v>
      </c>
      <c r="P4673" s="1">
        <v>15</v>
      </c>
      <c r="Q4673" s="1">
        <v>3.4</v>
      </c>
      <c r="R4673" s="1">
        <v>23</v>
      </c>
      <c r="X4673" s="1">
        <v>3.4</v>
      </c>
    </row>
    <row r="4674" spans="1:24" x14ac:dyDescent="0.25">
      <c r="A4674" s="22">
        <v>43025</v>
      </c>
      <c r="B4674" s="2">
        <v>120.2</v>
      </c>
      <c r="C4674" s="1">
        <v>6.8</v>
      </c>
      <c r="D4674" s="1">
        <v>11.5</v>
      </c>
      <c r="E4674" s="3"/>
      <c r="F4674" s="2">
        <v>5.0999999999999996</v>
      </c>
      <c r="G4674" s="1"/>
      <c r="H4674" s="1">
        <v>0.7</v>
      </c>
      <c r="I4674" s="2">
        <v>0.6</v>
      </c>
      <c r="J4674" s="2">
        <v>2.2000000000000002</v>
      </c>
      <c r="K4674" s="1">
        <v>0.5</v>
      </c>
      <c r="L4674" s="1">
        <v>1.016</v>
      </c>
      <c r="M4674" s="1">
        <v>0.4</v>
      </c>
      <c r="O4674" s="1">
        <v>3.8099999999999996</v>
      </c>
      <c r="P4674" s="1">
        <v>0</v>
      </c>
      <c r="Q4674" s="1">
        <v>4</v>
      </c>
      <c r="R4674" s="1">
        <v>21</v>
      </c>
      <c r="X4674" s="1">
        <v>4.7</v>
      </c>
    </row>
    <row r="4675" spans="1:24" x14ac:dyDescent="0.25">
      <c r="A4675" s="22">
        <v>43026</v>
      </c>
      <c r="B4675" s="2">
        <v>0</v>
      </c>
      <c r="C4675" s="1">
        <v>18.399999999999999</v>
      </c>
      <c r="D4675" s="1">
        <v>9.1999999999999993</v>
      </c>
      <c r="E4675" s="3"/>
      <c r="F4675" s="2">
        <v>15.2</v>
      </c>
      <c r="G4675" s="1"/>
      <c r="H4675" s="1">
        <v>2.2000000000000002</v>
      </c>
      <c r="I4675" s="2">
        <v>12.5</v>
      </c>
      <c r="J4675" s="1">
        <v>15.7</v>
      </c>
      <c r="K4675" s="1">
        <v>5.4</v>
      </c>
      <c r="L4675" s="1">
        <v>5.3339999999999996</v>
      </c>
      <c r="M4675" s="1">
        <v>12.2</v>
      </c>
      <c r="O4675" s="1">
        <v>16.001999999999999</v>
      </c>
      <c r="P4675" s="1">
        <v>4.2</v>
      </c>
      <c r="Q4675" s="1">
        <v>14.9</v>
      </c>
      <c r="R4675" s="1">
        <v>11</v>
      </c>
      <c r="X4675" s="1">
        <v>14.9</v>
      </c>
    </row>
    <row r="4676" spans="1:24" x14ac:dyDescent="0.25">
      <c r="A4676" s="22">
        <v>43027</v>
      </c>
      <c r="B4676" s="2">
        <v>0</v>
      </c>
      <c r="C4676" s="1">
        <v>24.2</v>
      </c>
      <c r="D4676" s="1">
        <v>38</v>
      </c>
      <c r="E4676" s="3"/>
      <c r="F4676" s="1">
        <v>53.7</v>
      </c>
      <c r="G4676" s="1"/>
      <c r="H4676" s="1">
        <v>15.8</v>
      </c>
      <c r="I4676" s="2">
        <v>8.5</v>
      </c>
      <c r="J4676" s="1">
        <v>65.400000000000006</v>
      </c>
      <c r="K4676" s="1">
        <v>18.2</v>
      </c>
      <c r="L4676" s="1">
        <v>18.287999999999997</v>
      </c>
      <c r="M4676" s="1">
        <v>34.5</v>
      </c>
      <c r="O4676" s="1">
        <v>33.019999999999996</v>
      </c>
      <c r="P4676" s="1">
        <v>40.5</v>
      </c>
      <c r="Q4676" s="1">
        <v>31.3</v>
      </c>
      <c r="R4676" s="1">
        <v>8</v>
      </c>
      <c r="X4676" s="1">
        <v>31.3</v>
      </c>
    </row>
    <row r="4677" spans="1:24" x14ac:dyDescent="0.25">
      <c r="A4677" s="22">
        <v>43028</v>
      </c>
      <c r="B4677" s="2">
        <v>88</v>
      </c>
      <c r="C4677" s="1">
        <v>34.1</v>
      </c>
      <c r="D4677" s="1">
        <v>32.5</v>
      </c>
      <c r="E4677" s="3"/>
      <c r="F4677" s="2">
        <v>50.7</v>
      </c>
      <c r="G4677" s="1"/>
      <c r="H4677" s="1">
        <v>26.6</v>
      </c>
      <c r="I4677" s="2">
        <v>65.7</v>
      </c>
      <c r="J4677" s="2">
        <v>50.6</v>
      </c>
      <c r="K4677" s="1">
        <v>21.2</v>
      </c>
      <c r="L4677" s="1">
        <v>4.0640000000000001</v>
      </c>
      <c r="M4677" s="1">
        <v>56.5</v>
      </c>
      <c r="O4677" s="1">
        <v>38.099999999999994</v>
      </c>
      <c r="P4677" s="1">
        <v>30.4</v>
      </c>
      <c r="Q4677" s="1">
        <v>22.4</v>
      </c>
      <c r="R4677" s="1">
        <v>25</v>
      </c>
      <c r="X4677" s="1">
        <v>22.4</v>
      </c>
    </row>
    <row r="4678" spans="1:24" x14ac:dyDescent="0.25">
      <c r="A4678" s="22">
        <v>43029</v>
      </c>
      <c r="B4678" s="2">
        <v>55.3</v>
      </c>
      <c r="C4678" s="1">
        <v>104.4</v>
      </c>
      <c r="D4678" s="1">
        <v>47.5</v>
      </c>
      <c r="E4678" s="3"/>
      <c r="F4678" s="1">
        <v>49.6</v>
      </c>
      <c r="G4678" s="1"/>
      <c r="H4678" s="1">
        <v>20</v>
      </c>
      <c r="I4678" s="2">
        <v>44.9</v>
      </c>
      <c r="J4678" s="1">
        <v>39.700000000000003</v>
      </c>
      <c r="K4678" s="1">
        <v>23.1</v>
      </c>
      <c r="L4678" s="1">
        <v>20.827999999999996</v>
      </c>
      <c r="M4678" s="1">
        <v>47.5</v>
      </c>
      <c r="O4678" s="1">
        <v>0</v>
      </c>
      <c r="P4678" s="1">
        <v>33.200000000000003</v>
      </c>
      <c r="Q4678" s="1">
        <v>48.9</v>
      </c>
      <c r="R4678" s="1">
        <v>2</v>
      </c>
      <c r="X4678" s="1">
        <v>48.9</v>
      </c>
    </row>
    <row r="4679" spans="1:24" x14ac:dyDescent="0.25">
      <c r="A4679" s="22">
        <v>43030</v>
      </c>
      <c r="B4679" s="2">
        <v>0</v>
      </c>
      <c r="C4679" s="1">
        <v>118</v>
      </c>
      <c r="D4679" s="1">
        <v>32.200000000000003</v>
      </c>
      <c r="E4679" s="3"/>
      <c r="F4679" s="1">
        <v>50.7</v>
      </c>
      <c r="G4679" s="1"/>
      <c r="H4679" s="1">
        <v>71.599999999999994</v>
      </c>
      <c r="I4679" s="2">
        <v>0</v>
      </c>
      <c r="J4679" s="1">
        <v>69.8</v>
      </c>
      <c r="K4679" s="1">
        <v>96.1</v>
      </c>
      <c r="L4679" s="1">
        <v>81.533999999999992</v>
      </c>
      <c r="M4679" s="1">
        <v>61.3</v>
      </c>
      <c r="O4679" s="1">
        <v>0</v>
      </c>
      <c r="P4679" s="1">
        <v>52.2</v>
      </c>
      <c r="Q4679" s="1">
        <v>41.4</v>
      </c>
      <c r="R4679" s="1">
        <v>15</v>
      </c>
      <c r="X4679" s="1">
        <v>41.4</v>
      </c>
    </row>
    <row r="4680" spans="1:24" x14ac:dyDescent="0.25">
      <c r="A4680" s="22">
        <v>43031</v>
      </c>
      <c r="B4680" s="2">
        <v>95.3</v>
      </c>
      <c r="C4680" s="1">
        <v>63.8</v>
      </c>
      <c r="D4680" s="1">
        <v>17.100000000000001</v>
      </c>
      <c r="E4680" s="3"/>
      <c r="F4680" s="1">
        <v>17.100000000000001</v>
      </c>
      <c r="G4680" s="1"/>
      <c r="H4680" s="1">
        <v>10.4</v>
      </c>
      <c r="I4680" s="2">
        <v>60</v>
      </c>
      <c r="J4680" s="1">
        <v>19.600000000000001</v>
      </c>
      <c r="K4680" s="1">
        <v>10.9</v>
      </c>
      <c r="L4680" s="1">
        <v>13.462</v>
      </c>
      <c r="M4680" s="1">
        <v>21.3</v>
      </c>
      <c r="O4680" s="1">
        <v>48.26</v>
      </c>
      <c r="P4680" s="1">
        <v>11.6</v>
      </c>
      <c r="Q4680" s="1">
        <v>16.8</v>
      </c>
      <c r="R4680" s="1">
        <v>18</v>
      </c>
      <c r="X4680" s="1">
        <v>16.8</v>
      </c>
    </row>
    <row r="4681" spans="1:24" x14ac:dyDescent="0.25">
      <c r="A4681" s="22">
        <v>43032</v>
      </c>
      <c r="B4681" s="2">
        <v>0</v>
      </c>
      <c r="C4681" s="1">
        <v>26.4</v>
      </c>
      <c r="D4681" s="1">
        <v>13.7</v>
      </c>
      <c r="E4681" s="3"/>
      <c r="F4681" s="1">
        <v>0.2</v>
      </c>
      <c r="G4681" s="1"/>
      <c r="H4681" s="1">
        <v>5.4</v>
      </c>
      <c r="I4681" s="2">
        <v>0</v>
      </c>
      <c r="J4681" s="1">
        <v>20.5</v>
      </c>
      <c r="K4681" s="1">
        <v>5.8</v>
      </c>
      <c r="L4681" s="1">
        <v>18.287999999999997</v>
      </c>
      <c r="M4681" s="1">
        <v>31.2</v>
      </c>
      <c r="O4681" s="1">
        <v>40.64</v>
      </c>
      <c r="P4681" s="1">
        <v>19.2</v>
      </c>
      <c r="Q4681" s="1">
        <v>4.2</v>
      </c>
      <c r="R4681" s="1">
        <v>3</v>
      </c>
      <c r="X4681" s="1">
        <v>4.2</v>
      </c>
    </row>
    <row r="4682" spans="1:24" x14ac:dyDescent="0.25">
      <c r="A4682" s="22">
        <v>43033</v>
      </c>
      <c r="B4682" s="2">
        <v>0</v>
      </c>
      <c r="C4682" s="1">
        <v>4.5999999999999996</v>
      </c>
      <c r="D4682" s="1">
        <v>3.6</v>
      </c>
      <c r="E4682" s="3"/>
      <c r="F4682" s="2">
        <v>6.4</v>
      </c>
      <c r="G4682" s="1"/>
      <c r="H4682" s="1">
        <v>2.6</v>
      </c>
      <c r="I4682" s="1">
        <v>29.1</v>
      </c>
      <c r="J4682" s="2">
        <v>3.7</v>
      </c>
      <c r="K4682" s="1">
        <v>14.8</v>
      </c>
      <c r="L4682" s="1">
        <v>9.3979999999999997</v>
      </c>
      <c r="M4682" s="1">
        <v>7.3</v>
      </c>
      <c r="O4682" s="1">
        <v>0</v>
      </c>
      <c r="P4682" s="1">
        <v>0</v>
      </c>
      <c r="Q4682" s="1">
        <v>2.5</v>
      </c>
      <c r="R4682" s="1">
        <v>2</v>
      </c>
      <c r="X4682" s="1">
        <v>2.5</v>
      </c>
    </row>
    <row r="4683" spans="1:24" x14ac:dyDescent="0.25">
      <c r="A4683" s="22">
        <v>43034</v>
      </c>
      <c r="B4683" s="2">
        <v>27.4</v>
      </c>
      <c r="C4683" s="1">
        <v>1.6</v>
      </c>
      <c r="D4683" s="1">
        <v>3</v>
      </c>
      <c r="E4683" s="3"/>
      <c r="F4683" s="2">
        <v>13</v>
      </c>
      <c r="G4683" s="1"/>
      <c r="H4683" s="1">
        <v>0</v>
      </c>
      <c r="I4683" s="1">
        <v>2.9</v>
      </c>
      <c r="J4683" s="1">
        <v>10.6</v>
      </c>
      <c r="K4683" s="1">
        <v>5</v>
      </c>
      <c r="L4683" s="1">
        <v>6.35</v>
      </c>
      <c r="M4683" s="1">
        <v>3.2</v>
      </c>
      <c r="O4683" s="1">
        <v>5.5880000000000001</v>
      </c>
      <c r="P4683" s="1">
        <v>3.5</v>
      </c>
      <c r="Q4683" s="1">
        <v>6.6</v>
      </c>
      <c r="R4683" s="1">
        <v>11</v>
      </c>
      <c r="X4683" s="1">
        <v>6.6</v>
      </c>
    </row>
    <row r="4684" spans="1:24" x14ac:dyDescent="0.25">
      <c r="A4684" s="22">
        <v>43035</v>
      </c>
      <c r="B4684" s="2">
        <v>8.4</v>
      </c>
      <c r="C4684" s="1">
        <v>2.1</v>
      </c>
      <c r="D4684" s="1">
        <v>4.0999999999999996</v>
      </c>
      <c r="E4684" s="3"/>
      <c r="F4684" s="2">
        <v>5</v>
      </c>
      <c r="G4684" s="1"/>
      <c r="H4684" s="1">
        <v>1.3</v>
      </c>
      <c r="I4684" s="1">
        <v>0</v>
      </c>
      <c r="J4684" s="2">
        <v>1.2</v>
      </c>
      <c r="K4684" s="1">
        <v>8.9</v>
      </c>
      <c r="L4684" s="1">
        <v>6.6040000000000001</v>
      </c>
      <c r="M4684" s="1">
        <v>0.1</v>
      </c>
      <c r="O4684" s="1">
        <v>5.08</v>
      </c>
      <c r="P4684" s="1">
        <v>3.2</v>
      </c>
      <c r="Q4684" s="1">
        <v>4.2</v>
      </c>
      <c r="R4684" s="1">
        <v>13</v>
      </c>
      <c r="X4684" s="1">
        <v>4.3</v>
      </c>
    </row>
    <row r="4685" spans="1:24" x14ac:dyDescent="0.25">
      <c r="A4685" s="22">
        <v>43036</v>
      </c>
      <c r="B4685" s="2">
        <v>9</v>
      </c>
      <c r="C4685" s="1">
        <v>0.8</v>
      </c>
      <c r="D4685" s="1">
        <v>1.2</v>
      </c>
      <c r="E4685" s="3"/>
      <c r="F4685" s="2">
        <v>3.6</v>
      </c>
      <c r="G4685" s="1"/>
      <c r="H4685" s="1">
        <v>6.4</v>
      </c>
      <c r="I4685" s="1">
        <v>7.2</v>
      </c>
      <c r="J4685" s="1">
        <v>1.5</v>
      </c>
      <c r="K4685" s="1">
        <v>5.2</v>
      </c>
      <c r="L4685" s="1">
        <v>5.3339999999999996</v>
      </c>
      <c r="M4685" s="1">
        <v>3.7</v>
      </c>
      <c r="O4685" s="1">
        <v>0</v>
      </c>
      <c r="P4685" s="1">
        <v>3.9</v>
      </c>
      <c r="Q4685" s="38">
        <v>9.1999999999999993</v>
      </c>
      <c r="R4685" s="1">
        <v>11</v>
      </c>
      <c r="X4685" s="1">
        <v>9.1999999999999993</v>
      </c>
    </row>
    <row r="4686" spans="1:24" x14ac:dyDescent="0.25">
      <c r="A4686" s="22">
        <v>43037</v>
      </c>
      <c r="B4686" s="2">
        <v>0</v>
      </c>
      <c r="C4686" s="1">
        <v>5.0999999999999996</v>
      </c>
      <c r="D4686" s="1">
        <v>0.8</v>
      </c>
      <c r="E4686" s="3"/>
      <c r="F4686" s="2">
        <v>0</v>
      </c>
      <c r="G4686" s="1"/>
      <c r="H4686" s="1">
        <v>6.3</v>
      </c>
      <c r="I4686" s="1">
        <v>9.4</v>
      </c>
      <c r="J4686" s="1">
        <v>20.6</v>
      </c>
      <c r="K4686" s="1">
        <v>17.8</v>
      </c>
      <c r="L4686" s="1">
        <v>13.208</v>
      </c>
      <c r="M4686" s="1">
        <v>13.5</v>
      </c>
      <c r="O4686" s="1">
        <v>0</v>
      </c>
      <c r="P4686" s="1">
        <v>10.5</v>
      </c>
      <c r="Q4686" s="1">
        <v>1.1000000000000001</v>
      </c>
      <c r="R4686" s="1">
        <v>14</v>
      </c>
      <c r="X4686" s="1">
        <v>1.1000000000000001</v>
      </c>
    </row>
    <row r="4687" spans="1:24" x14ac:dyDescent="0.25">
      <c r="A4687" s="22">
        <v>43038</v>
      </c>
      <c r="B4687" s="2">
        <v>15.2</v>
      </c>
      <c r="C4687" s="1">
        <v>8.1999999999999993</v>
      </c>
      <c r="D4687" s="1">
        <v>12.5</v>
      </c>
      <c r="E4687" s="3"/>
      <c r="F4687" s="2">
        <v>0</v>
      </c>
      <c r="G4687" s="1"/>
      <c r="H4687" s="1">
        <v>0.5</v>
      </c>
      <c r="I4687" s="1">
        <v>12.6</v>
      </c>
      <c r="J4687" s="30" t="s">
        <v>9</v>
      </c>
      <c r="K4687" s="1">
        <v>0</v>
      </c>
      <c r="L4687" s="1">
        <v>0.7619999999999999</v>
      </c>
      <c r="M4687" s="1">
        <v>0.1</v>
      </c>
      <c r="O4687" s="1">
        <v>16.509999999999998</v>
      </c>
      <c r="P4687" s="1">
        <v>0</v>
      </c>
      <c r="Q4687" s="1">
        <v>9.8000000000000007</v>
      </c>
      <c r="R4687" s="1"/>
      <c r="X4687" s="1">
        <v>9.8000000000000007</v>
      </c>
    </row>
    <row r="4688" spans="1:24" x14ac:dyDescent="0.25">
      <c r="A4688" s="22">
        <v>43039</v>
      </c>
      <c r="B4688" s="1">
        <v>31</v>
      </c>
      <c r="C4688" s="1">
        <v>13.1</v>
      </c>
      <c r="D4688" s="1">
        <v>11.5</v>
      </c>
      <c r="E4688" s="3"/>
      <c r="F4688" s="1">
        <v>0</v>
      </c>
      <c r="G4688" s="1">
        <v>311.3</v>
      </c>
      <c r="H4688" s="1">
        <v>8.4</v>
      </c>
      <c r="I4688" s="1"/>
      <c r="J4688" s="1">
        <v>22</v>
      </c>
      <c r="K4688" s="1">
        <v>37.700000000000003</v>
      </c>
      <c r="L4688" s="1">
        <v>33.019999999999996</v>
      </c>
      <c r="M4688" s="1">
        <v>23.2</v>
      </c>
      <c r="O4688" s="1">
        <v>15.239999999999998</v>
      </c>
      <c r="P4688" s="1">
        <v>19.399999999999999</v>
      </c>
      <c r="Q4688" s="1">
        <v>1.9</v>
      </c>
      <c r="R4688" s="1"/>
      <c r="X4688" s="1">
        <v>1.9</v>
      </c>
    </row>
    <row r="4689" spans="1:24" x14ac:dyDescent="0.25">
      <c r="A4689" s="22">
        <v>43040</v>
      </c>
      <c r="B4689" s="2">
        <v>0</v>
      </c>
      <c r="C4689" s="1"/>
      <c r="D4689" s="1">
        <v>0</v>
      </c>
      <c r="E4689" s="3"/>
      <c r="F4689" s="2">
        <v>0</v>
      </c>
      <c r="G4689" s="1">
        <v>0.3</v>
      </c>
      <c r="H4689" s="1"/>
      <c r="I4689" s="2"/>
      <c r="J4689" s="1"/>
      <c r="K4689" s="1"/>
      <c r="L4689" s="1">
        <v>9.3979999999999997</v>
      </c>
      <c r="M4689" s="1"/>
      <c r="O4689" s="1"/>
      <c r="P4689" s="1"/>
      <c r="Q4689" s="1">
        <v>0.4</v>
      </c>
      <c r="R4689" s="1"/>
      <c r="X4689" s="1">
        <v>0.4</v>
      </c>
    </row>
    <row r="4690" spans="1:24" x14ac:dyDescent="0.25">
      <c r="A4690" s="22">
        <v>43041</v>
      </c>
      <c r="B4690" s="2">
        <v>3</v>
      </c>
      <c r="C4690" s="1"/>
      <c r="D4690" s="1">
        <v>0</v>
      </c>
      <c r="E4690" s="3"/>
      <c r="F4690" s="2">
        <v>0</v>
      </c>
      <c r="G4690" s="1">
        <v>23.8</v>
      </c>
      <c r="H4690" s="1"/>
      <c r="I4690" s="2"/>
      <c r="J4690" s="2"/>
      <c r="K4690" s="1"/>
      <c r="L4690" s="1">
        <v>1.5239999999999998</v>
      </c>
      <c r="M4690" s="1"/>
      <c r="O4690" s="1"/>
      <c r="P4690" s="1"/>
      <c r="Q4690" s="1">
        <v>15.8</v>
      </c>
      <c r="R4690" s="1"/>
      <c r="X4690" s="1">
        <v>15.8</v>
      </c>
    </row>
    <row r="4691" spans="1:24" x14ac:dyDescent="0.25">
      <c r="A4691" s="22">
        <v>43042</v>
      </c>
      <c r="B4691" s="2">
        <v>4.2</v>
      </c>
      <c r="C4691" s="1"/>
      <c r="D4691" s="1">
        <v>12</v>
      </c>
      <c r="E4691" s="3"/>
      <c r="F4691" s="2">
        <v>0</v>
      </c>
      <c r="G4691" s="1">
        <v>6.5</v>
      </c>
      <c r="H4691" s="1"/>
      <c r="I4691" s="2"/>
      <c r="J4691" s="2"/>
      <c r="K4691" s="1"/>
      <c r="L4691" s="1">
        <v>126.492</v>
      </c>
      <c r="M4691" s="1"/>
      <c r="O4691" s="1"/>
      <c r="P4691" s="1"/>
      <c r="Q4691" s="1">
        <v>10.4</v>
      </c>
      <c r="R4691" s="1"/>
      <c r="X4691" s="1">
        <v>10.4</v>
      </c>
    </row>
    <row r="4692" spans="1:24" x14ac:dyDescent="0.25">
      <c r="A4692" s="22">
        <v>43043</v>
      </c>
      <c r="B4692" s="2">
        <v>0</v>
      </c>
      <c r="C4692" s="1"/>
      <c r="D4692" s="1">
        <v>7.5</v>
      </c>
      <c r="E4692" s="3"/>
      <c r="F4692" s="2">
        <v>38.4</v>
      </c>
      <c r="G4692" s="1">
        <v>9.5</v>
      </c>
      <c r="H4692" s="1"/>
      <c r="I4692" s="2"/>
      <c r="J4692" s="1"/>
      <c r="K4692" s="1"/>
      <c r="L4692" s="1">
        <v>3.0479999999999996</v>
      </c>
      <c r="M4692" s="1"/>
      <c r="O4692" s="1"/>
      <c r="P4692" s="1"/>
      <c r="Q4692" s="1">
        <v>28.1</v>
      </c>
      <c r="R4692" s="1"/>
      <c r="X4692" s="1">
        <v>28.1</v>
      </c>
    </row>
    <row r="4693" spans="1:24" x14ac:dyDescent="0.25">
      <c r="A4693" s="22">
        <v>43044</v>
      </c>
      <c r="B4693" s="2">
        <v>0</v>
      </c>
      <c r="C4693" s="1"/>
      <c r="D4693" s="2">
        <v>25</v>
      </c>
      <c r="E4693" s="3"/>
      <c r="F4693" s="2">
        <v>12.2</v>
      </c>
      <c r="G4693" s="1">
        <v>1.2</v>
      </c>
      <c r="H4693" s="1"/>
      <c r="I4693" s="2"/>
      <c r="J4693" s="2"/>
      <c r="K4693" s="1"/>
      <c r="L4693" s="1">
        <v>10.413999999999998</v>
      </c>
      <c r="M4693" s="1"/>
      <c r="O4693" s="1"/>
      <c r="P4693" s="1"/>
      <c r="Q4693" s="1">
        <v>0</v>
      </c>
      <c r="R4693" s="1"/>
      <c r="X4693" s="1">
        <v>0</v>
      </c>
    </row>
    <row r="4694" spans="1:24" x14ac:dyDescent="0.25">
      <c r="A4694" s="22">
        <v>43045</v>
      </c>
      <c r="B4694" s="2">
        <v>107.7</v>
      </c>
      <c r="C4694" s="1"/>
      <c r="D4694" s="2">
        <v>8.6</v>
      </c>
      <c r="E4694" s="3"/>
      <c r="F4694" s="2">
        <v>24</v>
      </c>
      <c r="G4694" s="1">
        <v>5.9</v>
      </c>
      <c r="H4694" s="1"/>
      <c r="I4694" s="2"/>
      <c r="J4694" s="2"/>
      <c r="K4694" s="1"/>
      <c r="L4694" s="1">
        <v>1.778</v>
      </c>
      <c r="M4694" s="1"/>
      <c r="O4694" s="1"/>
      <c r="P4694" s="1"/>
      <c r="Q4694" s="1">
        <v>31.8</v>
      </c>
      <c r="R4694" s="1"/>
      <c r="X4694" s="1">
        <v>31.8</v>
      </c>
    </row>
    <row r="4695" spans="1:24" x14ac:dyDescent="0.25">
      <c r="A4695" s="22">
        <v>43046</v>
      </c>
      <c r="B4695" s="2">
        <v>43</v>
      </c>
      <c r="C4695" s="1"/>
      <c r="D4695" s="2">
        <v>21.6</v>
      </c>
      <c r="E4695" s="3"/>
      <c r="F4695" s="2">
        <v>22.5</v>
      </c>
      <c r="G4695" s="1">
        <v>0.6</v>
      </c>
      <c r="H4695" s="1"/>
      <c r="I4695" s="2"/>
      <c r="J4695" s="2"/>
      <c r="K4695" s="1"/>
      <c r="L4695" s="1">
        <v>1.27</v>
      </c>
      <c r="M4695" s="1"/>
      <c r="O4695" s="1"/>
      <c r="P4695" s="1"/>
      <c r="Q4695" s="1">
        <v>3.5</v>
      </c>
      <c r="R4695" s="1"/>
      <c r="X4695" s="1">
        <v>3.5</v>
      </c>
    </row>
    <row r="4696" spans="1:24" x14ac:dyDescent="0.25">
      <c r="A4696" s="22">
        <v>43047</v>
      </c>
      <c r="B4696" s="2">
        <v>0</v>
      </c>
      <c r="C4696" s="1"/>
      <c r="D4696" s="1">
        <v>2</v>
      </c>
      <c r="E4696" s="3"/>
      <c r="F4696" s="2">
        <v>2.2999999999999998</v>
      </c>
      <c r="G4696" s="1">
        <v>3</v>
      </c>
      <c r="H4696" s="1"/>
      <c r="I4696" s="2"/>
      <c r="J4696" s="2"/>
      <c r="K4696" s="1"/>
      <c r="L4696" s="1">
        <v>3.0479999999999996</v>
      </c>
      <c r="M4696" s="1"/>
      <c r="O4696" s="1"/>
      <c r="P4696" s="1"/>
      <c r="Q4696" s="1">
        <v>0.6</v>
      </c>
      <c r="R4696" s="1"/>
      <c r="X4696" s="1">
        <v>0.6</v>
      </c>
    </row>
    <row r="4697" spans="1:24" x14ac:dyDescent="0.25">
      <c r="A4697" s="22">
        <v>43048</v>
      </c>
      <c r="B4697" s="2">
        <v>19</v>
      </c>
      <c r="C4697" s="1"/>
      <c r="D4697" s="1">
        <v>4.3</v>
      </c>
      <c r="E4697" s="3"/>
      <c r="F4697" s="2">
        <v>8.3000000000000007</v>
      </c>
      <c r="G4697" s="1">
        <v>10.5</v>
      </c>
      <c r="H4697" s="1"/>
      <c r="I4697" s="2"/>
      <c r="J4697" s="2"/>
      <c r="K4697" s="1"/>
      <c r="L4697" s="1">
        <v>2.032</v>
      </c>
      <c r="M4697" s="1"/>
      <c r="O4697" s="1"/>
      <c r="P4697" s="1"/>
      <c r="Q4697" s="1">
        <v>24</v>
      </c>
      <c r="R4697" s="1"/>
      <c r="X4697" s="1">
        <v>24</v>
      </c>
    </row>
    <row r="4698" spans="1:24" x14ac:dyDescent="0.25">
      <c r="A4698" s="22">
        <v>43049</v>
      </c>
      <c r="B4698" s="2">
        <v>19.5</v>
      </c>
      <c r="C4698" s="1"/>
      <c r="D4698" s="1">
        <v>10.6</v>
      </c>
      <c r="E4698" s="3"/>
      <c r="F4698" s="2">
        <v>18.3</v>
      </c>
      <c r="G4698" s="1">
        <v>8.9</v>
      </c>
      <c r="H4698" s="1"/>
      <c r="I4698" s="2"/>
      <c r="J4698" s="1"/>
      <c r="K4698" s="1"/>
      <c r="L4698" s="1">
        <v>0</v>
      </c>
      <c r="M4698" s="1"/>
      <c r="O4698" s="1"/>
      <c r="P4698" s="1"/>
      <c r="Q4698" s="1">
        <v>9.1</v>
      </c>
      <c r="R4698" s="1"/>
      <c r="X4698" s="1">
        <v>9.1</v>
      </c>
    </row>
    <row r="4699" spans="1:24" x14ac:dyDescent="0.25">
      <c r="A4699" s="22">
        <v>43050</v>
      </c>
      <c r="B4699" s="2">
        <v>38</v>
      </c>
      <c r="C4699" s="1"/>
      <c r="D4699" s="1">
        <v>14.9</v>
      </c>
      <c r="E4699" s="3"/>
      <c r="F4699" s="2">
        <v>30.9</v>
      </c>
      <c r="G4699" s="1">
        <v>0</v>
      </c>
      <c r="H4699" s="1"/>
      <c r="I4699" s="2"/>
      <c r="J4699" s="2"/>
      <c r="K4699" s="1"/>
      <c r="L4699" s="1">
        <v>43.18</v>
      </c>
      <c r="M4699" s="1"/>
      <c r="O4699" s="1"/>
      <c r="P4699" s="1"/>
      <c r="Q4699" s="1">
        <v>0.5</v>
      </c>
      <c r="R4699" s="1"/>
      <c r="X4699" s="1">
        <v>0.5</v>
      </c>
    </row>
    <row r="4700" spans="1:24" x14ac:dyDescent="0.25">
      <c r="A4700" s="22">
        <v>43051</v>
      </c>
      <c r="B4700" s="2">
        <v>0</v>
      </c>
      <c r="C4700" s="1"/>
      <c r="D4700" s="1">
        <v>0</v>
      </c>
      <c r="E4700" s="3"/>
      <c r="F4700" s="2">
        <v>0</v>
      </c>
      <c r="G4700" s="1">
        <v>7.2</v>
      </c>
      <c r="H4700" s="1"/>
      <c r="I4700" s="2"/>
      <c r="J4700" s="1"/>
      <c r="K4700" s="1"/>
      <c r="L4700" s="1">
        <v>18.033999999999999</v>
      </c>
      <c r="M4700" s="1"/>
      <c r="O4700" s="1"/>
      <c r="P4700" s="1"/>
      <c r="Q4700" s="1">
        <v>2.7</v>
      </c>
      <c r="R4700" s="1"/>
      <c r="X4700" s="1">
        <v>2.7</v>
      </c>
    </row>
    <row r="4701" spans="1:24" x14ac:dyDescent="0.25">
      <c r="A4701" s="22">
        <v>43052</v>
      </c>
      <c r="B4701" s="2">
        <v>11.2</v>
      </c>
      <c r="C4701" s="1"/>
      <c r="D4701" s="1">
        <v>6.1</v>
      </c>
      <c r="E4701" s="3"/>
      <c r="F4701" s="2">
        <v>3.3</v>
      </c>
      <c r="G4701" s="2">
        <v>16</v>
      </c>
      <c r="H4701" s="1"/>
      <c r="I4701" s="2"/>
      <c r="J4701" s="1"/>
      <c r="K4701" s="1"/>
      <c r="L4701" s="1">
        <v>18.795999999999999</v>
      </c>
      <c r="M4701" s="1"/>
      <c r="O4701" s="1"/>
      <c r="P4701" s="1"/>
      <c r="Q4701" s="1">
        <v>1.6</v>
      </c>
      <c r="R4701" s="1"/>
      <c r="X4701" s="1">
        <v>1.6</v>
      </c>
    </row>
    <row r="4702" spans="1:24" x14ac:dyDescent="0.25">
      <c r="A4702" s="22">
        <v>43053</v>
      </c>
      <c r="B4702" s="2">
        <v>0.5</v>
      </c>
      <c r="C4702" s="1"/>
      <c r="D4702" s="1">
        <v>8.4</v>
      </c>
      <c r="E4702" s="3"/>
      <c r="F4702" s="2">
        <v>21.3</v>
      </c>
      <c r="G4702" s="2">
        <v>0</v>
      </c>
      <c r="H4702" s="1"/>
      <c r="I4702" s="2"/>
      <c r="J4702" s="1"/>
      <c r="K4702" s="1"/>
      <c r="L4702" s="1">
        <v>1.778</v>
      </c>
      <c r="M4702" s="1"/>
      <c r="O4702" s="1"/>
      <c r="P4702" s="1"/>
      <c r="Q4702" s="1">
        <v>2.1</v>
      </c>
      <c r="R4702" s="1"/>
      <c r="X4702" s="1">
        <v>2.1</v>
      </c>
    </row>
    <row r="4703" spans="1:24" x14ac:dyDescent="0.25">
      <c r="A4703" s="22">
        <v>43054</v>
      </c>
      <c r="B4703" s="2">
        <v>0</v>
      </c>
      <c r="C4703" s="1"/>
      <c r="D4703" s="1">
        <v>0</v>
      </c>
      <c r="E4703" s="3"/>
      <c r="F4703" s="2">
        <v>1.2</v>
      </c>
      <c r="G4703" s="2">
        <v>5.4</v>
      </c>
      <c r="H4703" s="1"/>
      <c r="I4703" s="2"/>
      <c r="J4703" s="2"/>
      <c r="K4703" s="1"/>
      <c r="L4703" s="1">
        <v>2.2859999999999996</v>
      </c>
      <c r="M4703" s="1"/>
      <c r="O4703" s="1"/>
      <c r="P4703" s="1"/>
      <c r="Q4703" s="1">
        <v>0.8</v>
      </c>
      <c r="R4703" s="1"/>
      <c r="X4703" s="1">
        <v>0.8</v>
      </c>
    </row>
    <row r="4704" spans="1:24" x14ac:dyDescent="0.25">
      <c r="A4704" s="22">
        <v>43055</v>
      </c>
      <c r="B4704" s="2">
        <v>8.4</v>
      </c>
      <c r="C4704" s="1"/>
      <c r="D4704" s="1">
        <v>9.1999999999999993</v>
      </c>
      <c r="E4704" s="3"/>
      <c r="F4704" s="2">
        <v>7.3</v>
      </c>
      <c r="G4704" s="2">
        <v>0</v>
      </c>
      <c r="H4704" s="1"/>
      <c r="I4704" s="2"/>
      <c r="J4704" s="2"/>
      <c r="K4704" s="1"/>
      <c r="L4704" s="1">
        <v>27.94</v>
      </c>
      <c r="M4704" s="1"/>
      <c r="O4704" s="1"/>
      <c r="P4704" s="1"/>
      <c r="Q4704" s="1">
        <v>0.1</v>
      </c>
      <c r="R4704" s="1"/>
      <c r="X4704" s="1">
        <v>0.1</v>
      </c>
    </row>
    <row r="4705" spans="1:24" x14ac:dyDescent="0.25">
      <c r="A4705" s="22">
        <v>43056</v>
      </c>
      <c r="B4705" s="2">
        <v>0</v>
      </c>
      <c r="C4705" s="1"/>
      <c r="D4705" s="1">
        <v>0</v>
      </c>
      <c r="E4705" s="3"/>
      <c r="F4705" s="2">
        <v>1.6</v>
      </c>
      <c r="G4705" s="1">
        <v>0</v>
      </c>
      <c r="H4705" s="1"/>
      <c r="I4705" s="2"/>
      <c r="J4705" s="2"/>
      <c r="K4705" s="1"/>
      <c r="L4705" s="1">
        <v>3.0479999999999996</v>
      </c>
      <c r="M4705" s="1"/>
      <c r="O4705" s="1"/>
      <c r="P4705" s="1"/>
      <c r="Q4705" s="1">
        <v>0</v>
      </c>
      <c r="R4705" s="1"/>
      <c r="X4705" s="1">
        <v>0</v>
      </c>
    </row>
    <row r="4706" spans="1:24" x14ac:dyDescent="0.25">
      <c r="A4706" s="22">
        <v>43057</v>
      </c>
      <c r="B4706" s="2">
        <v>7.3</v>
      </c>
      <c r="C4706" s="1"/>
      <c r="D4706" s="1">
        <v>0</v>
      </c>
      <c r="E4706" s="3"/>
      <c r="F4706" s="2">
        <v>0</v>
      </c>
      <c r="G4706" s="1">
        <v>3.5</v>
      </c>
      <c r="H4706" s="1"/>
      <c r="I4706" s="2"/>
      <c r="J4706" s="1"/>
      <c r="K4706" s="1"/>
      <c r="L4706" s="1">
        <v>18.287999999999997</v>
      </c>
      <c r="M4706" s="1"/>
      <c r="O4706" s="1"/>
      <c r="P4706" s="1"/>
      <c r="Q4706" s="1">
        <v>1.3</v>
      </c>
      <c r="R4706" s="1"/>
      <c r="X4706" s="1">
        <v>1.3</v>
      </c>
    </row>
    <row r="4707" spans="1:24" x14ac:dyDescent="0.25">
      <c r="A4707" s="22">
        <v>43058</v>
      </c>
      <c r="B4707" s="2">
        <v>0</v>
      </c>
      <c r="C4707" s="1"/>
      <c r="D4707" s="1">
        <v>1.4</v>
      </c>
      <c r="E4707" s="3"/>
      <c r="F4707" s="1">
        <v>1.3</v>
      </c>
      <c r="G4707" s="1">
        <v>11.1</v>
      </c>
      <c r="H4707" s="1"/>
      <c r="I4707" s="2"/>
      <c r="J4707" s="1"/>
      <c r="K4707" s="1"/>
      <c r="L4707" s="1">
        <v>30.479999999999997</v>
      </c>
      <c r="M4707" s="1"/>
      <c r="O4707" s="1"/>
      <c r="P4707" s="1"/>
      <c r="Q4707" s="1">
        <v>7.7</v>
      </c>
      <c r="R4707" s="1"/>
      <c r="X4707" s="1">
        <v>7.7</v>
      </c>
    </row>
    <row r="4708" spans="1:24" x14ac:dyDescent="0.25">
      <c r="A4708" s="22">
        <v>43059</v>
      </c>
      <c r="B4708" s="2">
        <v>12.5</v>
      </c>
      <c r="C4708" s="1"/>
      <c r="D4708" s="1">
        <v>6</v>
      </c>
      <c r="E4708" s="3"/>
      <c r="F4708" s="2">
        <v>0</v>
      </c>
      <c r="G4708" s="1">
        <v>0</v>
      </c>
      <c r="H4708" s="1"/>
      <c r="I4708" s="2"/>
      <c r="J4708" s="2"/>
      <c r="K4708" s="1"/>
      <c r="L4708" s="1">
        <v>5.8419999999999996</v>
      </c>
      <c r="M4708" s="1"/>
      <c r="O4708" s="1"/>
      <c r="P4708" s="1"/>
      <c r="Q4708" s="1">
        <v>31.1</v>
      </c>
      <c r="R4708" s="1"/>
      <c r="X4708" s="1">
        <v>31.1</v>
      </c>
    </row>
    <row r="4709" spans="1:24" x14ac:dyDescent="0.25">
      <c r="A4709" s="22">
        <v>43060</v>
      </c>
      <c r="B4709" s="2">
        <v>0</v>
      </c>
      <c r="C4709" s="1"/>
      <c r="D4709" s="1">
        <v>46.3</v>
      </c>
      <c r="E4709" s="3"/>
      <c r="F4709" s="1">
        <v>0</v>
      </c>
      <c r="G4709" s="1">
        <v>54.6</v>
      </c>
      <c r="H4709" s="1"/>
      <c r="I4709" s="2"/>
      <c r="J4709" s="1"/>
      <c r="K4709" s="1"/>
      <c r="L4709" s="1">
        <v>4.5719999999999992</v>
      </c>
      <c r="M4709" s="1"/>
      <c r="O4709" s="1"/>
      <c r="P4709" s="1"/>
      <c r="Q4709" s="1">
        <v>34.700000000000003</v>
      </c>
      <c r="R4709" s="1"/>
      <c r="X4709" s="1">
        <v>34.700000000000003</v>
      </c>
    </row>
    <row r="4710" spans="1:24" x14ac:dyDescent="0.25">
      <c r="A4710" s="22">
        <v>43061</v>
      </c>
      <c r="B4710" s="2">
        <v>0</v>
      </c>
      <c r="C4710" s="1"/>
      <c r="D4710" s="1">
        <v>9.1</v>
      </c>
      <c r="E4710" s="3"/>
      <c r="F4710" s="1">
        <v>0</v>
      </c>
      <c r="G4710" s="1">
        <v>10.1</v>
      </c>
      <c r="H4710" s="1"/>
      <c r="I4710" s="2"/>
      <c r="J4710" s="1"/>
      <c r="K4710" s="1"/>
      <c r="L4710" s="1">
        <v>1.778</v>
      </c>
      <c r="M4710" s="1"/>
      <c r="O4710" s="1"/>
      <c r="P4710" s="1"/>
      <c r="Q4710" s="1">
        <v>0</v>
      </c>
      <c r="R4710" s="1"/>
      <c r="X4710" s="1">
        <v>0</v>
      </c>
    </row>
    <row r="4711" spans="1:24" x14ac:dyDescent="0.25">
      <c r="A4711" s="22">
        <v>43062</v>
      </c>
      <c r="B4711" s="2">
        <v>47.8</v>
      </c>
      <c r="C4711" s="1"/>
      <c r="D4711" s="1">
        <v>0</v>
      </c>
      <c r="E4711" s="3"/>
      <c r="F4711" s="1">
        <v>0</v>
      </c>
      <c r="G4711" s="1">
        <v>2</v>
      </c>
      <c r="H4711" s="1"/>
      <c r="I4711" s="2"/>
      <c r="J4711" s="1"/>
      <c r="K4711" s="1"/>
      <c r="L4711" s="1">
        <v>21.59</v>
      </c>
      <c r="M4711" s="1"/>
      <c r="O4711" s="1"/>
      <c r="P4711" s="1"/>
      <c r="Q4711" s="1">
        <v>0</v>
      </c>
      <c r="R4711" s="1"/>
      <c r="X4711" s="1">
        <v>0</v>
      </c>
    </row>
    <row r="4712" spans="1:24" x14ac:dyDescent="0.25">
      <c r="A4712" s="22">
        <v>43063</v>
      </c>
      <c r="B4712" s="2">
        <v>0</v>
      </c>
      <c r="C4712" s="1"/>
      <c r="D4712" s="1">
        <v>0</v>
      </c>
      <c r="E4712" s="3"/>
      <c r="F4712" s="1">
        <v>0</v>
      </c>
      <c r="G4712" s="1">
        <v>3.2</v>
      </c>
      <c r="H4712" s="1"/>
      <c r="I4712" s="2"/>
      <c r="J4712" s="1"/>
      <c r="K4712" s="1"/>
      <c r="L4712" s="1">
        <v>1.016</v>
      </c>
      <c r="M4712" s="1"/>
      <c r="O4712" s="1"/>
      <c r="P4712" s="1"/>
      <c r="Q4712" s="1">
        <v>3.8</v>
      </c>
      <c r="R4712" s="1"/>
      <c r="X4712" s="1">
        <v>3.8</v>
      </c>
    </row>
    <row r="4713" spans="1:24" x14ac:dyDescent="0.25">
      <c r="A4713" s="22">
        <v>43064</v>
      </c>
      <c r="B4713" s="2">
        <v>12.3</v>
      </c>
      <c r="C4713" s="1"/>
      <c r="D4713" s="1">
        <v>14.3</v>
      </c>
      <c r="E4713" s="3"/>
      <c r="F4713" s="2">
        <v>0</v>
      </c>
      <c r="G4713" s="1">
        <v>0</v>
      </c>
      <c r="H4713" s="1"/>
      <c r="I4713" s="1"/>
      <c r="J4713" s="2"/>
      <c r="K4713" s="1"/>
      <c r="L4713" s="1">
        <v>30.479999999999997</v>
      </c>
      <c r="M4713" s="1"/>
      <c r="O4713" s="1"/>
      <c r="P4713" s="1"/>
      <c r="Q4713" s="1">
        <v>1.2</v>
      </c>
      <c r="R4713" s="1"/>
      <c r="X4713" s="1">
        <v>1.2</v>
      </c>
    </row>
    <row r="4714" spans="1:24" x14ac:dyDescent="0.25">
      <c r="A4714" s="22">
        <v>43065</v>
      </c>
      <c r="B4714" s="2">
        <v>0</v>
      </c>
      <c r="C4714" s="1"/>
      <c r="D4714" s="1">
        <v>0</v>
      </c>
      <c r="E4714" s="3"/>
      <c r="F4714" s="2">
        <v>0</v>
      </c>
      <c r="G4714" s="1">
        <v>0</v>
      </c>
      <c r="H4714" s="1"/>
      <c r="I4714" s="1"/>
      <c r="J4714" s="1"/>
      <c r="K4714" s="1"/>
      <c r="L4714" s="1">
        <v>18.033999999999999</v>
      </c>
      <c r="M4714" s="1"/>
      <c r="O4714" s="1"/>
      <c r="P4714" s="1"/>
      <c r="Q4714" s="1">
        <v>4.7</v>
      </c>
      <c r="R4714" s="1"/>
      <c r="X4714" s="1">
        <v>4.7</v>
      </c>
    </row>
    <row r="4715" spans="1:24" x14ac:dyDescent="0.25">
      <c r="A4715" s="22">
        <v>43066</v>
      </c>
      <c r="B4715" s="2">
        <v>10.9</v>
      </c>
      <c r="C4715" s="1"/>
      <c r="D4715" s="1">
        <v>6.5</v>
      </c>
      <c r="E4715" s="3"/>
      <c r="F4715" s="2">
        <v>0</v>
      </c>
      <c r="G4715" s="1">
        <v>3</v>
      </c>
      <c r="H4715" s="1"/>
      <c r="I4715" s="1"/>
      <c r="J4715" s="2"/>
      <c r="K4715" s="1"/>
      <c r="L4715" s="1">
        <v>9.6519999999999992</v>
      </c>
      <c r="M4715" s="1"/>
      <c r="O4715" s="1"/>
      <c r="P4715" s="1"/>
      <c r="Q4715" s="1">
        <v>0</v>
      </c>
      <c r="R4715" s="1"/>
      <c r="X4715" s="1">
        <v>0</v>
      </c>
    </row>
    <row r="4716" spans="1:24" x14ac:dyDescent="0.25">
      <c r="A4716" s="22">
        <v>43067</v>
      </c>
      <c r="B4716" s="2">
        <v>4</v>
      </c>
      <c r="C4716" s="1"/>
      <c r="D4716" s="1">
        <v>0</v>
      </c>
      <c r="E4716" s="3"/>
      <c r="F4716" s="2">
        <v>0</v>
      </c>
      <c r="G4716" s="1">
        <v>0</v>
      </c>
      <c r="H4716" s="1"/>
      <c r="I4716" s="1"/>
      <c r="J4716" s="1"/>
      <c r="K4716" s="1"/>
      <c r="L4716" s="1">
        <v>38.099999999999994</v>
      </c>
      <c r="M4716" s="1"/>
      <c r="O4716" s="1"/>
      <c r="P4716" s="1"/>
      <c r="Q4716" s="1">
        <v>18.3</v>
      </c>
      <c r="R4716" s="1"/>
      <c r="X4716" s="1">
        <v>18.3</v>
      </c>
    </row>
    <row r="4717" spans="1:24" x14ac:dyDescent="0.25">
      <c r="A4717" s="22">
        <v>43068</v>
      </c>
      <c r="B4717" s="2">
        <v>6.9</v>
      </c>
      <c r="C4717" s="1"/>
      <c r="D4717" s="1">
        <v>9.6</v>
      </c>
      <c r="E4717" s="3"/>
      <c r="F4717" s="2">
        <v>16.5</v>
      </c>
      <c r="G4717" s="1">
        <v>1.2</v>
      </c>
      <c r="H4717" s="1"/>
      <c r="I4717" s="1"/>
      <c r="J4717" s="1"/>
      <c r="K4717" s="1"/>
      <c r="L4717" s="1">
        <v>33.019999999999996</v>
      </c>
      <c r="M4717" s="1"/>
      <c r="O4717" s="1"/>
      <c r="P4717" s="1"/>
      <c r="Q4717" s="1">
        <v>20</v>
      </c>
      <c r="R4717" s="1"/>
      <c r="X4717" s="1">
        <v>20.8</v>
      </c>
    </row>
    <row r="4718" spans="1:24" x14ac:dyDescent="0.25">
      <c r="A4718" s="22">
        <v>43069</v>
      </c>
      <c r="B4718" s="2">
        <v>30</v>
      </c>
      <c r="C4718" s="1"/>
      <c r="D4718" s="1">
        <v>11.4</v>
      </c>
      <c r="E4718" s="3"/>
      <c r="F4718" s="2">
        <v>14.4</v>
      </c>
      <c r="G4718" s="1">
        <v>0.1</v>
      </c>
      <c r="H4718" s="1"/>
      <c r="I4718" s="1"/>
      <c r="J4718" s="1"/>
      <c r="K4718" s="1"/>
      <c r="L4718" s="1">
        <v>78.739999999999995</v>
      </c>
      <c r="M4718" s="1"/>
      <c r="O4718" s="1"/>
      <c r="P4718" s="1"/>
      <c r="Q4718" s="1">
        <v>0</v>
      </c>
      <c r="R4718" s="1"/>
      <c r="X4718" s="1"/>
    </row>
    <row r="4719" spans="1:24" x14ac:dyDescent="0.25">
      <c r="A4719" s="22">
        <v>43070</v>
      </c>
      <c r="B4719" s="2">
        <v>0</v>
      </c>
      <c r="C4719" s="1">
        <v>0.6</v>
      </c>
      <c r="D4719" s="1">
        <v>0</v>
      </c>
      <c r="E4719" s="3"/>
      <c r="F4719" s="2">
        <v>0</v>
      </c>
      <c r="G4719" s="1">
        <v>0.3</v>
      </c>
      <c r="H4719" s="1">
        <v>0</v>
      </c>
      <c r="I4719" s="2">
        <v>8.3000000000000007</v>
      </c>
      <c r="J4719" s="30" t="s">
        <v>9</v>
      </c>
      <c r="K4719" s="1">
        <v>0.8</v>
      </c>
      <c r="L4719" s="1">
        <v>16.001999999999999</v>
      </c>
      <c r="M4719" s="1">
        <v>2.8</v>
      </c>
      <c r="O4719" s="1">
        <v>1.27</v>
      </c>
      <c r="P4719" s="1">
        <v>0</v>
      </c>
      <c r="Q4719" s="1">
        <v>0.5</v>
      </c>
      <c r="R4719" s="1">
        <v>13.5</v>
      </c>
      <c r="S4719" s="1"/>
      <c r="T4719" s="1"/>
      <c r="X4719" s="1">
        <v>0.4</v>
      </c>
    </row>
    <row r="4720" spans="1:24" x14ac:dyDescent="0.25">
      <c r="A4720" s="22">
        <v>43071</v>
      </c>
      <c r="B4720" s="2">
        <v>3</v>
      </c>
      <c r="C4720" s="1">
        <v>0</v>
      </c>
      <c r="D4720" s="1">
        <v>0</v>
      </c>
      <c r="E4720" s="3"/>
      <c r="F4720" s="2">
        <v>0</v>
      </c>
      <c r="G4720" s="1">
        <v>23.8</v>
      </c>
      <c r="H4720" s="1">
        <v>1.1000000000000001</v>
      </c>
      <c r="I4720" s="2">
        <v>10.5</v>
      </c>
      <c r="J4720" s="2">
        <v>0.7</v>
      </c>
      <c r="K4720" s="1">
        <v>17.600000000000001</v>
      </c>
      <c r="L4720" s="1">
        <v>13.208</v>
      </c>
      <c r="M4720" s="1">
        <v>1.1000000000000001</v>
      </c>
      <c r="O4720" s="1">
        <v>0</v>
      </c>
      <c r="P4720" s="1">
        <v>1.1000000000000001</v>
      </c>
      <c r="Q4720" s="1">
        <v>0</v>
      </c>
      <c r="R4720" s="1">
        <v>7</v>
      </c>
      <c r="S4720" s="1"/>
      <c r="T4720" s="1"/>
      <c r="X4720" s="1">
        <v>15.8</v>
      </c>
    </row>
    <row r="4721" spans="1:24" x14ac:dyDescent="0.25">
      <c r="A4721" s="22">
        <v>43072</v>
      </c>
      <c r="B4721" s="2">
        <v>4.2</v>
      </c>
      <c r="C4721" s="1">
        <v>3.5</v>
      </c>
      <c r="D4721" s="1">
        <v>12</v>
      </c>
      <c r="E4721" s="3"/>
      <c r="F4721" s="2">
        <v>0</v>
      </c>
      <c r="G4721" s="1">
        <v>6.5</v>
      </c>
      <c r="H4721" s="1">
        <v>9.1</v>
      </c>
      <c r="I4721" s="2">
        <v>10.1</v>
      </c>
      <c r="J4721" s="2">
        <v>25.7</v>
      </c>
      <c r="K4721" s="1">
        <v>0.7</v>
      </c>
      <c r="L4721" s="1">
        <v>1.016</v>
      </c>
      <c r="M4721" s="1">
        <v>4</v>
      </c>
      <c r="O4721" s="1">
        <v>5.08</v>
      </c>
      <c r="P4721" s="1">
        <v>1.7</v>
      </c>
      <c r="Q4721" s="1">
        <v>0</v>
      </c>
      <c r="R4721" s="1">
        <v>5</v>
      </c>
      <c r="S4721" s="1"/>
      <c r="T4721" s="1"/>
      <c r="X4721" s="1">
        <v>10.4</v>
      </c>
    </row>
    <row r="4722" spans="1:24" x14ac:dyDescent="0.25">
      <c r="A4722" s="22">
        <v>43073</v>
      </c>
      <c r="B4722" s="2">
        <v>0</v>
      </c>
      <c r="C4722" s="1">
        <v>27.3</v>
      </c>
      <c r="D4722" s="1">
        <v>7.5</v>
      </c>
      <c r="E4722" s="3"/>
      <c r="F4722" s="2">
        <v>38.4</v>
      </c>
      <c r="G4722" s="1">
        <v>9.5</v>
      </c>
      <c r="H4722" s="1">
        <v>7.4</v>
      </c>
      <c r="I4722" s="2">
        <v>4.5</v>
      </c>
      <c r="J4722" s="1">
        <v>31.9</v>
      </c>
      <c r="K4722" s="1">
        <v>25.9</v>
      </c>
      <c r="L4722" s="1">
        <v>38.099999999999994</v>
      </c>
      <c r="M4722" s="1">
        <v>6.9</v>
      </c>
      <c r="O4722" s="1">
        <v>0</v>
      </c>
      <c r="P4722" s="1">
        <v>2.7</v>
      </c>
      <c r="Q4722" s="1">
        <v>5.9</v>
      </c>
      <c r="R4722" s="1">
        <v>9.5</v>
      </c>
      <c r="S4722" s="1"/>
      <c r="T4722" s="1"/>
      <c r="X4722" s="1">
        <v>28.1</v>
      </c>
    </row>
    <row r="4723" spans="1:24" x14ac:dyDescent="0.25">
      <c r="A4723" s="22">
        <v>43074</v>
      </c>
      <c r="B4723" s="2">
        <v>0</v>
      </c>
      <c r="C4723" s="1">
        <v>72.099999999999994</v>
      </c>
      <c r="D4723" s="2">
        <v>25</v>
      </c>
      <c r="E4723" s="3"/>
      <c r="F4723" s="2">
        <v>12.4</v>
      </c>
      <c r="G4723" s="1">
        <v>1.2</v>
      </c>
      <c r="H4723" s="1">
        <v>10.4</v>
      </c>
      <c r="I4723" s="2">
        <v>12.2</v>
      </c>
      <c r="J4723" s="2">
        <v>8.1999999999999993</v>
      </c>
      <c r="K4723" s="1">
        <v>38.799999999999997</v>
      </c>
      <c r="L4723" s="1">
        <v>45.973999999999997</v>
      </c>
      <c r="M4723" s="1">
        <v>12.5</v>
      </c>
      <c r="O4723" s="1">
        <v>0</v>
      </c>
      <c r="P4723" s="1">
        <v>0</v>
      </c>
      <c r="Q4723" s="1">
        <v>3.4</v>
      </c>
      <c r="R4723" s="1">
        <v>15.5</v>
      </c>
      <c r="S4723" s="1"/>
      <c r="T4723" s="1"/>
      <c r="X4723" s="1">
        <v>0</v>
      </c>
    </row>
    <row r="4724" spans="1:24" x14ac:dyDescent="0.25">
      <c r="A4724" s="22">
        <v>43075</v>
      </c>
      <c r="B4724" s="2">
        <v>107.7</v>
      </c>
      <c r="C4724" s="1">
        <v>63</v>
      </c>
      <c r="D4724" s="2">
        <v>8.6</v>
      </c>
      <c r="E4724" s="3"/>
      <c r="F4724" s="2">
        <v>2.4</v>
      </c>
      <c r="G4724" s="1">
        <v>5.9</v>
      </c>
      <c r="H4724" s="1">
        <v>7.8</v>
      </c>
      <c r="I4724" s="2">
        <v>2.2999999999999998</v>
      </c>
      <c r="J4724" s="2">
        <v>3.2</v>
      </c>
      <c r="K4724" s="1">
        <v>0.7</v>
      </c>
      <c r="L4724" s="1">
        <v>3.8099999999999996</v>
      </c>
      <c r="M4724" s="1">
        <v>1.8</v>
      </c>
      <c r="O4724" s="1">
        <v>50.8</v>
      </c>
      <c r="P4724" s="1">
        <v>5</v>
      </c>
      <c r="Q4724" s="1">
        <v>0</v>
      </c>
      <c r="R4724" s="1">
        <v>17.5</v>
      </c>
      <c r="S4724" s="1"/>
      <c r="T4724" s="1"/>
      <c r="X4724" s="1">
        <v>31.8</v>
      </c>
    </row>
    <row r="4725" spans="1:24" x14ac:dyDescent="0.25">
      <c r="A4725" s="22">
        <v>43076</v>
      </c>
      <c r="B4725" s="2">
        <v>43</v>
      </c>
      <c r="C4725" s="1">
        <v>38.200000000000003</v>
      </c>
      <c r="D4725" s="2">
        <v>21.6</v>
      </c>
      <c r="E4725" s="3"/>
      <c r="F4725" s="2">
        <v>22.5</v>
      </c>
      <c r="G4725" s="1">
        <v>0.6</v>
      </c>
      <c r="H4725" s="1">
        <v>20</v>
      </c>
      <c r="I4725" s="2">
        <v>2.8</v>
      </c>
      <c r="J4725" s="2">
        <v>26.3</v>
      </c>
      <c r="K4725" s="1">
        <v>21.9</v>
      </c>
      <c r="L4725" s="1">
        <v>33.019999999999996</v>
      </c>
      <c r="M4725" s="1">
        <v>13.4</v>
      </c>
      <c r="O4725" s="1">
        <v>36.83</v>
      </c>
      <c r="P4725" s="1">
        <v>12.2</v>
      </c>
      <c r="Q4725" s="1">
        <v>0</v>
      </c>
      <c r="R4725" s="1">
        <v>13.6</v>
      </c>
      <c r="S4725" s="1"/>
      <c r="T4725" s="1"/>
      <c r="X4725" s="1">
        <v>3.5</v>
      </c>
    </row>
    <row r="4726" spans="1:24" x14ac:dyDescent="0.25">
      <c r="A4726" s="22">
        <v>43077</v>
      </c>
      <c r="B4726" s="2">
        <v>0</v>
      </c>
      <c r="C4726" s="1">
        <v>0</v>
      </c>
      <c r="D4726" s="1">
        <v>2</v>
      </c>
      <c r="E4726" s="3"/>
      <c r="F4726" s="2">
        <v>2.2999999999999998</v>
      </c>
      <c r="G4726" s="1">
        <v>3</v>
      </c>
      <c r="H4726" s="1">
        <v>9</v>
      </c>
      <c r="I4726" s="2">
        <v>7.9</v>
      </c>
      <c r="J4726" s="2">
        <v>2.7</v>
      </c>
      <c r="K4726" s="1">
        <v>8.1</v>
      </c>
      <c r="L4726" s="1">
        <v>1.5239999999999998</v>
      </c>
      <c r="M4726" s="1">
        <v>1.2</v>
      </c>
      <c r="O4726" s="1">
        <v>5.08</v>
      </c>
      <c r="P4726" s="1">
        <v>1.8</v>
      </c>
      <c r="Q4726" s="1">
        <v>0.6</v>
      </c>
      <c r="R4726" s="1">
        <v>5.3</v>
      </c>
      <c r="S4726" s="1">
        <v>84</v>
      </c>
      <c r="T4726" s="1">
        <v>19</v>
      </c>
      <c r="X4726" s="1">
        <v>0.6</v>
      </c>
    </row>
    <row r="4727" spans="1:24" x14ac:dyDescent="0.25">
      <c r="A4727" s="22">
        <v>43078</v>
      </c>
      <c r="B4727" s="2">
        <v>19</v>
      </c>
      <c r="C4727" s="1">
        <v>0</v>
      </c>
      <c r="D4727" s="1">
        <v>4.3</v>
      </c>
      <c r="E4727" s="3"/>
      <c r="F4727" s="2">
        <v>8.3000000000000007</v>
      </c>
      <c r="G4727" s="1">
        <v>10.5</v>
      </c>
      <c r="H4727" s="1">
        <v>10</v>
      </c>
      <c r="I4727" s="2">
        <v>0</v>
      </c>
      <c r="J4727" s="2">
        <v>6</v>
      </c>
      <c r="K4727" s="1">
        <v>4.3</v>
      </c>
      <c r="L4727" s="1">
        <v>4.0640000000000001</v>
      </c>
      <c r="M4727" s="1">
        <v>4.7</v>
      </c>
      <c r="O4727" s="1">
        <v>4.8259999999999996</v>
      </c>
      <c r="P4727" s="1">
        <v>4.2</v>
      </c>
      <c r="Q4727" s="1">
        <v>4.9000000000000004</v>
      </c>
      <c r="R4727" s="1">
        <v>17.2</v>
      </c>
      <c r="S4727" s="1"/>
      <c r="T4727" s="1"/>
      <c r="X4727" s="1">
        <v>24</v>
      </c>
    </row>
    <row r="4728" spans="1:24" x14ac:dyDescent="0.25">
      <c r="A4728" s="22">
        <v>43079</v>
      </c>
      <c r="B4728" s="2">
        <v>19.5</v>
      </c>
      <c r="C4728" s="1">
        <v>20.2</v>
      </c>
      <c r="D4728" s="1">
        <v>10.6</v>
      </c>
      <c r="E4728" s="3"/>
      <c r="F4728" s="2">
        <v>30.9</v>
      </c>
      <c r="G4728" s="1">
        <v>8.9</v>
      </c>
      <c r="H4728" s="1">
        <v>10.8</v>
      </c>
      <c r="I4728" s="2">
        <v>6.8</v>
      </c>
      <c r="J4728" s="1">
        <v>16.7</v>
      </c>
      <c r="K4728" s="1">
        <v>10.9</v>
      </c>
      <c r="L4728" s="1">
        <v>16.001999999999999</v>
      </c>
      <c r="M4728" s="1">
        <v>15.2</v>
      </c>
      <c r="O4728" s="1">
        <v>19.049999999999997</v>
      </c>
      <c r="P4728" s="1">
        <v>14.4</v>
      </c>
      <c r="Q4728" s="1">
        <v>3.1</v>
      </c>
      <c r="R4728" s="1">
        <v>7.4</v>
      </c>
      <c r="S4728" s="1"/>
      <c r="T4728" s="1"/>
      <c r="X4728" s="1">
        <v>9.1</v>
      </c>
    </row>
    <row r="4729" spans="1:24" x14ac:dyDescent="0.25">
      <c r="A4729" s="22">
        <v>43080</v>
      </c>
      <c r="B4729" s="2">
        <v>38</v>
      </c>
      <c r="C4729" s="1">
        <v>14.5</v>
      </c>
      <c r="D4729" s="1">
        <v>14.9</v>
      </c>
      <c r="E4729" s="3"/>
      <c r="F4729" s="2">
        <v>0</v>
      </c>
      <c r="G4729" s="1">
        <v>0</v>
      </c>
      <c r="H4729" s="1">
        <v>10.1</v>
      </c>
      <c r="I4729" s="2">
        <v>8</v>
      </c>
      <c r="J4729" s="2">
        <v>30.5</v>
      </c>
      <c r="K4729" s="1">
        <v>5.3</v>
      </c>
      <c r="L4729" s="1">
        <v>2.794</v>
      </c>
      <c r="M4729" s="1">
        <v>24.7</v>
      </c>
      <c r="O4729" s="1">
        <v>0</v>
      </c>
      <c r="P4729" s="1">
        <v>20.7</v>
      </c>
      <c r="Q4729" s="1">
        <v>0</v>
      </c>
      <c r="R4729" s="1">
        <v>11.6</v>
      </c>
      <c r="S4729" s="1"/>
      <c r="T4729" s="1"/>
      <c r="X4729" s="1">
        <v>0.5</v>
      </c>
    </row>
    <row r="4730" spans="1:24" x14ac:dyDescent="0.25">
      <c r="A4730" s="22">
        <v>43081</v>
      </c>
      <c r="B4730" s="2">
        <v>0</v>
      </c>
      <c r="C4730" s="1">
        <v>2.2000000000000002</v>
      </c>
      <c r="D4730" s="30" t="s">
        <v>9</v>
      </c>
      <c r="E4730" s="3"/>
      <c r="F4730" s="2">
        <v>3.3</v>
      </c>
      <c r="G4730" s="1">
        <v>7.2</v>
      </c>
      <c r="H4730" s="1">
        <v>0.5</v>
      </c>
      <c r="I4730" s="2">
        <v>0</v>
      </c>
      <c r="J4730" s="1">
        <v>0.6</v>
      </c>
      <c r="K4730" s="1">
        <v>0</v>
      </c>
      <c r="L4730" s="1">
        <v>2.54</v>
      </c>
      <c r="M4730" s="1">
        <v>0</v>
      </c>
      <c r="O4730" s="1">
        <v>0</v>
      </c>
      <c r="P4730" s="1">
        <v>0</v>
      </c>
      <c r="Q4730" s="1">
        <v>0</v>
      </c>
      <c r="R4730" s="1">
        <v>9.6</v>
      </c>
      <c r="S4730" s="1"/>
      <c r="T4730" s="1">
        <v>20</v>
      </c>
      <c r="X4730" s="1">
        <v>2.7</v>
      </c>
    </row>
    <row r="4731" spans="1:24" x14ac:dyDescent="0.25">
      <c r="A4731" s="22">
        <v>43082</v>
      </c>
      <c r="B4731" s="2">
        <v>11.2</v>
      </c>
      <c r="C4731" s="1">
        <v>3.7</v>
      </c>
      <c r="D4731" s="1">
        <v>6.1</v>
      </c>
      <c r="E4731" s="3"/>
      <c r="F4731" s="2">
        <v>21.3</v>
      </c>
      <c r="G4731" s="2">
        <v>16</v>
      </c>
      <c r="H4731" s="1">
        <v>0.5</v>
      </c>
      <c r="I4731" s="2">
        <v>6.8</v>
      </c>
      <c r="J4731" s="1">
        <v>8.6</v>
      </c>
      <c r="K4731" s="1">
        <v>8.3000000000000007</v>
      </c>
      <c r="L4731" s="1">
        <v>6.35</v>
      </c>
      <c r="M4731" s="1">
        <v>5.6</v>
      </c>
      <c r="O4731" s="1">
        <v>30.479999999999997</v>
      </c>
      <c r="P4731" s="1">
        <v>1.5</v>
      </c>
      <c r="Q4731" s="1">
        <v>0</v>
      </c>
      <c r="R4731" s="1">
        <v>5.0999999999999996</v>
      </c>
      <c r="S4731" s="1"/>
      <c r="T4731" s="1"/>
      <c r="X4731" s="1">
        <v>1.6</v>
      </c>
    </row>
    <row r="4732" spans="1:24" x14ac:dyDescent="0.25">
      <c r="A4732" s="22">
        <v>43083</v>
      </c>
      <c r="B4732" s="2">
        <v>0.5</v>
      </c>
      <c r="C4732" s="1">
        <v>0</v>
      </c>
      <c r="D4732" s="1">
        <v>8.4</v>
      </c>
      <c r="E4732" s="3"/>
      <c r="F4732" s="2">
        <v>1.2</v>
      </c>
      <c r="G4732" s="2">
        <v>0</v>
      </c>
      <c r="H4732" s="1">
        <v>2.9</v>
      </c>
      <c r="I4732" s="2">
        <v>19.100000000000001</v>
      </c>
      <c r="J4732" s="1">
        <v>18.600000000000001</v>
      </c>
      <c r="K4732" s="1">
        <v>1</v>
      </c>
      <c r="L4732" s="1">
        <v>3.0479999999999996</v>
      </c>
      <c r="M4732" s="1">
        <v>20.399999999999999</v>
      </c>
      <c r="O4732" s="1">
        <v>3.8099999999999996</v>
      </c>
      <c r="P4732" s="1">
        <v>13.1</v>
      </c>
      <c r="Q4732" s="1">
        <v>0</v>
      </c>
      <c r="R4732" s="1">
        <v>7.3</v>
      </c>
      <c r="S4732" s="1"/>
      <c r="T4732" s="1"/>
      <c r="X4732" s="1">
        <v>2.1</v>
      </c>
    </row>
    <row r="4733" spans="1:24" x14ac:dyDescent="0.25">
      <c r="A4733" s="22">
        <v>43084</v>
      </c>
      <c r="B4733" s="2">
        <v>0</v>
      </c>
      <c r="C4733" s="1">
        <v>0</v>
      </c>
      <c r="D4733" s="30" t="s">
        <v>9</v>
      </c>
      <c r="E4733" s="3"/>
      <c r="F4733" s="2">
        <v>7.3</v>
      </c>
      <c r="G4733" s="2">
        <v>5.4</v>
      </c>
      <c r="H4733" s="1">
        <v>2.5</v>
      </c>
      <c r="I4733" s="2">
        <v>0</v>
      </c>
      <c r="J4733" s="2">
        <v>0.7</v>
      </c>
      <c r="K4733" s="1">
        <v>2.1</v>
      </c>
      <c r="L4733" s="1">
        <v>2.2859999999999996</v>
      </c>
      <c r="M4733" s="1">
        <v>0.1</v>
      </c>
      <c r="O4733" s="1">
        <v>2.54</v>
      </c>
      <c r="P4733" s="1">
        <v>0</v>
      </c>
      <c r="Q4733" s="1">
        <v>0.8</v>
      </c>
      <c r="R4733" s="1">
        <v>18.100000000000001</v>
      </c>
      <c r="S4733" s="1">
        <v>18</v>
      </c>
      <c r="T4733" s="1">
        <v>10</v>
      </c>
      <c r="X4733" s="1">
        <v>0.8</v>
      </c>
    </row>
    <row r="4734" spans="1:24" x14ac:dyDescent="0.25">
      <c r="A4734" s="22">
        <v>43085</v>
      </c>
      <c r="B4734" s="2">
        <v>8.4</v>
      </c>
      <c r="C4734" s="1">
        <v>14.6</v>
      </c>
      <c r="D4734" s="1">
        <v>9.1999999999999993</v>
      </c>
      <c r="E4734" s="3"/>
      <c r="F4734" s="2">
        <v>1.6</v>
      </c>
      <c r="G4734" s="2">
        <v>0</v>
      </c>
      <c r="H4734" s="1">
        <v>0</v>
      </c>
      <c r="I4734" s="2">
        <v>10.3</v>
      </c>
      <c r="J4734" s="2">
        <v>6.1</v>
      </c>
      <c r="K4734" s="1">
        <v>9.5</v>
      </c>
      <c r="L4734" s="1">
        <v>2.54</v>
      </c>
      <c r="M4734" s="1">
        <v>4.3</v>
      </c>
      <c r="O4734" s="1">
        <v>6.35</v>
      </c>
      <c r="P4734" s="1">
        <v>20</v>
      </c>
      <c r="Q4734" s="1">
        <v>14.3</v>
      </c>
      <c r="R4734" s="1">
        <v>17.3</v>
      </c>
      <c r="S4734" s="1"/>
      <c r="T4734" s="1"/>
      <c r="X4734" s="1">
        <v>0.1</v>
      </c>
    </row>
    <row r="4735" spans="1:24" x14ac:dyDescent="0.25">
      <c r="A4735" s="22">
        <v>43086</v>
      </c>
      <c r="B4735" s="2">
        <v>0</v>
      </c>
      <c r="C4735" s="1">
        <v>0</v>
      </c>
      <c r="D4735" s="30" t="s">
        <v>9</v>
      </c>
      <c r="E4735" s="3"/>
      <c r="F4735" s="2">
        <v>0</v>
      </c>
      <c r="G4735" s="1">
        <v>0</v>
      </c>
      <c r="H4735" s="1">
        <v>1.3</v>
      </c>
      <c r="I4735" s="2">
        <v>0</v>
      </c>
      <c r="J4735" s="2">
        <v>2.2999999999999998</v>
      </c>
      <c r="K4735" s="1">
        <v>0</v>
      </c>
      <c r="L4735" s="1">
        <v>0</v>
      </c>
      <c r="M4735" s="1">
        <v>0</v>
      </c>
      <c r="O4735" s="1">
        <v>4.8259999999999996</v>
      </c>
      <c r="P4735" s="1">
        <v>0</v>
      </c>
      <c r="Q4735" s="1">
        <v>15.1</v>
      </c>
      <c r="R4735" s="1">
        <v>10.1</v>
      </c>
      <c r="S4735" s="1"/>
      <c r="T4735" s="1"/>
      <c r="X4735" s="1">
        <v>0</v>
      </c>
    </row>
    <row r="4736" spans="1:24" x14ac:dyDescent="0.25">
      <c r="A4736" s="22">
        <v>43087</v>
      </c>
      <c r="B4736" s="2">
        <v>7.3</v>
      </c>
      <c r="C4736" s="30" t="s">
        <v>9</v>
      </c>
      <c r="D4736" s="30" t="s">
        <v>9</v>
      </c>
      <c r="E4736" s="3"/>
      <c r="F4736" s="2">
        <v>1.3</v>
      </c>
      <c r="G4736" s="1">
        <v>3.5</v>
      </c>
      <c r="H4736" s="1">
        <v>0.5</v>
      </c>
      <c r="I4736" s="2">
        <v>0</v>
      </c>
      <c r="J4736" s="1">
        <v>0</v>
      </c>
      <c r="K4736" s="1">
        <v>0</v>
      </c>
      <c r="L4736" s="1">
        <v>4.5719999999999992</v>
      </c>
      <c r="M4736" s="1">
        <v>0</v>
      </c>
      <c r="O4736" s="1">
        <v>0</v>
      </c>
      <c r="P4736" s="1">
        <v>0</v>
      </c>
      <c r="Q4736" s="1">
        <v>4.5</v>
      </c>
      <c r="R4736" s="1">
        <v>5.3</v>
      </c>
      <c r="S4736" s="1"/>
      <c r="T4736" s="1"/>
      <c r="X4736" s="1">
        <v>1.3</v>
      </c>
    </row>
    <row r="4737" spans="1:24" x14ac:dyDescent="0.25">
      <c r="A4737" s="22">
        <v>43088</v>
      </c>
      <c r="B4737" s="2">
        <v>0</v>
      </c>
      <c r="C4737" s="1">
        <v>0</v>
      </c>
      <c r="D4737" s="1">
        <v>1.4</v>
      </c>
      <c r="E4737" s="3"/>
      <c r="F4737" s="1">
        <v>0</v>
      </c>
      <c r="G4737" s="1">
        <v>11.1</v>
      </c>
      <c r="H4737" s="1">
        <v>0</v>
      </c>
      <c r="I4737" s="2">
        <v>7.5</v>
      </c>
      <c r="J4737" s="1">
        <v>0.3</v>
      </c>
      <c r="K4737" s="1">
        <v>5.7</v>
      </c>
      <c r="L4737" s="1">
        <v>4.8259999999999996</v>
      </c>
      <c r="M4737" s="1">
        <v>0.3</v>
      </c>
      <c r="O4737" s="1">
        <v>0</v>
      </c>
      <c r="P4737" s="1">
        <v>0</v>
      </c>
      <c r="Q4737" s="1">
        <v>9.1999999999999993</v>
      </c>
      <c r="R4737" s="1">
        <v>2.5</v>
      </c>
      <c r="S4737" s="1"/>
      <c r="T4737" s="1"/>
      <c r="X4737" s="1">
        <v>7.7</v>
      </c>
    </row>
    <row r="4738" spans="1:24" x14ac:dyDescent="0.25">
      <c r="A4738" s="22">
        <v>43089</v>
      </c>
      <c r="B4738" s="2">
        <v>12.5</v>
      </c>
      <c r="C4738" s="1">
        <v>20.2</v>
      </c>
      <c r="D4738" s="1">
        <v>6</v>
      </c>
      <c r="E4738" s="3"/>
      <c r="F4738" s="2">
        <v>0</v>
      </c>
      <c r="G4738" s="1">
        <v>0</v>
      </c>
      <c r="H4738" s="1">
        <v>10</v>
      </c>
      <c r="I4738" s="2">
        <v>8.3000000000000007</v>
      </c>
      <c r="J4738" s="2">
        <v>16.100000000000001</v>
      </c>
      <c r="K4738" s="1">
        <v>0</v>
      </c>
      <c r="L4738" s="1">
        <v>0</v>
      </c>
      <c r="M4738" s="1">
        <v>11.5</v>
      </c>
      <c r="O4738" s="1">
        <v>10.16</v>
      </c>
      <c r="P4738" s="1">
        <v>11.1</v>
      </c>
      <c r="Q4738" s="1">
        <v>12.3</v>
      </c>
      <c r="R4738" s="1">
        <v>7.4</v>
      </c>
      <c r="S4738" s="1"/>
      <c r="T4738" s="1"/>
      <c r="X4738" s="1">
        <v>31.1</v>
      </c>
    </row>
    <row r="4739" spans="1:24" x14ac:dyDescent="0.25">
      <c r="A4739" s="22">
        <v>43090</v>
      </c>
      <c r="B4739" s="2">
        <v>0</v>
      </c>
      <c r="C4739" s="1">
        <v>28.9</v>
      </c>
      <c r="D4739" s="1">
        <v>46.3</v>
      </c>
      <c r="E4739" s="3"/>
      <c r="F4739" s="1">
        <v>0</v>
      </c>
      <c r="G4739" s="1">
        <v>54.6</v>
      </c>
      <c r="H4739" s="1">
        <v>44.2</v>
      </c>
      <c r="I4739" s="2">
        <v>52.7</v>
      </c>
      <c r="J4739" s="1">
        <v>79.400000000000006</v>
      </c>
      <c r="K4739" s="1">
        <v>42.3</v>
      </c>
      <c r="L4739" s="1">
        <v>26.161999999999999</v>
      </c>
      <c r="M4739" s="1">
        <v>58.2</v>
      </c>
      <c r="O4739" s="1">
        <v>35.559999999999995</v>
      </c>
      <c r="P4739" s="1">
        <v>45.2</v>
      </c>
      <c r="Q4739" s="1">
        <v>7.3</v>
      </c>
      <c r="R4739" s="1">
        <v>9.1</v>
      </c>
      <c r="S4739" s="1"/>
      <c r="T4739" s="1"/>
      <c r="X4739" s="1">
        <v>34.700000000000003</v>
      </c>
    </row>
    <row r="4740" spans="1:24" x14ac:dyDescent="0.25">
      <c r="A4740" s="22">
        <v>43091</v>
      </c>
      <c r="B4740" s="2">
        <v>0</v>
      </c>
      <c r="C4740" s="1">
        <v>10.5</v>
      </c>
      <c r="D4740" s="1">
        <v>9.1</v>
      </c>
      <c r="E4740" s="3"/>
      <c r="F4740" s="1">
        <v>0</v>
      </c>
      <c r="G4740" s="1">
        <v>10.1</v>
      </c>
      <c r="H4740" s="1">
        <v>36.5</v>
      </c>
      <c r="I4740" s="2">
        <v>42.4</v>
      </c>
      <c r="J4740" s="1">
        <v>11.3</v>
      </c>
      <c r="K4740" s="1">
        <v>6.7</v>
      </c>
      <c r="L4740" s="1">
        <v>5.8419999999999996</v>
      </c>
      <c r="M4740" s="1">
        <v>6.8</v>
      </c>
      <c r="O4740" s="1">
        <v>20.32</v>
      </c>
      <c r="P4740" s="1">
        <v>4.4000000000000004</v>
      </c>
      <c r="Q4740" s="1">
        <v>3.2</v>
      </c>
      <c r="R4740" s="1">
        <v>4.3</v>
      </c>
      <c r="S4740" s="1"/>
      <c r="T4740" s="1"/>
      <c r="X4740" s="1">
        <v>0</v>
      </c>
    </row>
    <row r="4741" spans="1:24" x14ac:dyDescent="0.25">
      <c r="A4741" s="22">
        <v>43092</v>
      </c>
      <c r="B4741" s="2">
        <v>47.3</v>
      </c>
      <c r="C4741" s="30" t="s">
        <v>9</v>
      </c>
      <c r="D4741" s="30" t="s">
        <v>9</v>
      </c>
      <c r="E4741" s="3"/>
      <c r="F4741" s="1">
        <v>0</v>
      </c>
      <c r="G4741" s="1">
        <v>2</v>
      </c>
      <c r="H4741" s="1">
        <v>0</v>
      </c>
      <c r="I4741" s="2">
        <v>0</v>
      </c>
      <c r="J4741" s="1">
        <v>0</v>
      </c>
      <c r="K4741" s="1">
        <v>0</v>
      </c>
      <c r="L4741" s="1">
        <v>0</v>
      </c>
      <c r="M4741" s="1">
        <v>0</v>
      </c>
      <c r="O4741" s="1">
        <v>1.27</v>
      </c>
      <c r="P4741" s="1">
        <v>0</v>
      </c>
      <c r="Q4741" s="1">
        <v>1.9</v>
      </c>
      <c r="R4741" s="1">
        <v>2.2999999999999998</v>
      </c>
      <c r="S4741" s="1">
        <v>13</v>
      </c>
      <c r="T4741" s="1">
        <v>28</v>
      </c>
      <c r="X4741" s="1">
        <v>0</v>
      </c>
    </row>
    <row r="4742" spans="1:24" x14ac:dyDescent="0.25">
      <c r="A4742" s="22">
        <v>43093</v>
      </c>
      <c r="B4742" s="2">
        <v>0</v>
      </c>
      <c r="C4742" s="1">
        <v>0</v>
      </c>
      <c r="D4742" s="30" t="s">
        <v>9</v>
      </c>
      <c r="E4742" s="3"/>
      <c r="F4742" s="1">
        <v>0</v>
      </c>
      <c r="G4742" s="1">
        <v>3.2</v>
      </c>
      <c r="H4742" s="1">
        <v>0</v>
      </c>
      <c r="I4742" s="2">
        <v>0</v>
      </c>
      <c r="J4742" s="1">
        <v>0</v>
      </c>
      <c r="K4742" s="1">
        <v>0.5</v>
      </c>
      <c r="L4742" s="1">
        <v>2.54</v>
      </c>
      <c r="M4742" s="1">
        <v>0</v>
      </c>
      <c r="O4742" s="1">
        <v>0</v>
      </c>
      <c r="P4742" s="1">
        <v>0</v>
      </c>
      <c r="Q4742" s="1">
        <v>12.3</v>
      </c>
      <c r="R4742" s="1">
        <v>0</v>
      </c>
      <c r="S4742" s="1"/>
      <c r="T4742" s="1"/>
      <c r="X4742" s="1">
        <v>3.8</v>
      </c>
    </row>
    <row r="4743" spans="1:24" x14ac:dyDescent="0.25">
      <c r="A4743" s="22">
        <v>43094</v>
      </c>
      <c r="B4743" s="2">
        <v>12.3</v>
      </c>
      <c r="C4743" s="1">
        <v>6.8</v>
      </c>
      <c r="D4743" s="1">
        <v>14.3</v>
      </c>
      <c r="E4743" s="3"/>
      <c r="F4743" s="2">
        <v>0</v>
      </c>
      <c r="G4743" s="1">
        <v>0</v>
      </c>
      <c r="H4743" s="1">
        <v>3</v>
      </c>
      <c r="I4743" s="1">
        <v>8.4</v>
      </c>
      <c r="J4743" s="2">
        <v>26.8</v>
      </c>
      <c r="K4743" s="1">
        <v>0.6</v>
      </c>
      <c r="L4743" s="1">
        <v>0</v>
      </c>
      <c r="M4743" s="1">
        <v>6.4</v>
      </c>
      <c r="O4743" s="1">
        <v>0</v>
      </c>
      <c r="P4743" s="1">
        <v>0</v>
      </c>
      <c r="Q4743" s="38">
        <v>14.6</v>
      </c>
      <c r="R4743" s="1">
        <v>2.7</v>
      </c>
      <c r="S4743" s="1"/>
      <c r="T4743" s="1"/>
      <c r="X4743" s="1">
        <v>1.2</v>
      </c>
    </row>
    <row r="4744" spans="1:24" x14ac:dyDescent="0.25">
      <c r="A4744" s="22">
        <v>43095</v>
      </c>
      <c r="B4744" s="2">
        <v>0</v>
      </c>
      <c r="C4744" s="1">
        <v>0</v>
      </c>
      <c r="D4744" s="30" t="s">
        <v>9</v>
      </c>
      <c r="E4744" s="3"/>
      <c r="F4744" s="2">
        <v>0</v>
      </c>
      <c r="G4744" s="1">
        <v>0</v>
      </c>
      <c r="H4744" s="1">
        <v>1.5</v>
      </c>
      <c r="I4744" s="1">
        <v>0</v>
      </c>
      <c r="J4744" s="1">
        <v>1.5</v>
      </c>
      <c r="K4744" s="1">
        <v>5.6</v>
      </c>
      <c r="L4744" s="1">
        <v>2.54</v>
      </c>
      <c r="M4744" s="1">
        <v>0.8</v>
      </c>
      <c r="O4744" s="1">
        <v>0</v>
      </c>
      <c r="P4744" s="1">
        <v>1.8</v>
      </c>
      <c r="Q4744" s="1">
        <v>8.1999999999999993</v>
      </c>
      <c r="R4744" s="1">
        <v>0</v>
      </c>
      <c r="S4744" s="1"/>
      <c r="T4744" s="1">
        <v>28</v>
      </c>
      <c r="X4744" s="1">
        <v>4.7</v>
      </c>
    </row>
    <row r="4745" spans="1:24" x14ac:dyDescent="0.25">
      <c r="A4745" s="22">
        <v>43096</v>
      </c>
      <c r="B4745" s="2">
        <v>10.9</v>
      </c>
      <c r="C4745" s="1">
        <v>24.3</v>
      </c>
      <c r="D4745" s="1">
        <v>6.5</v>
      </c>
      <c r="E4745" s="3"/>
      <c r="F4745" s="2">
        <v>0</v>
      </c>
      <c r="G4745" s="1">
        <v>3</v>
      </c>
      <c r="H4745" s="1">
        <v>5.0999999999999996</v>
      </c>
      <c r="I4745" s="1">
        <v>4.8</v>
      </c>
      <c r="J4745" s="2">
        <v>6.7</v>
      </c>
      <c r="K4745" s="1">
        <v>0</v>
      </c>
      <c r="L4745" s="1">
        <v>8.3819999999999997</v>
      </c>
      <c r="M4745" s="1">
        <v>15.3</v>
      </c>
      <c r="O4745" s="1">
        <v>22.352</v>
      </c>
      <c r="P4745" s="1">
        <v>11.8</v>
      </c>
      <c r="Q4745" s="1">
        <v>24.2</v>
      </c>
      <c r="R4745" s="1">
        <v>0</v>
      </c>
      <c r="S4745" s="1"/>
      <c r="T4745" s="1"/>
      <c r="X4745" s="1">
        <v>0</v>
      </c>
    </row>
    <row r="4746" spans="1:24" x14ac:dyDescent="0.25">
      <c r="A4746" s="22">
        <v>43097</v>
      </c>
      <c r="B4746" s="2">
        <v>4</v>
      </c>
      <c r="C4746" s="1">
        <v>4.8</v>
      </c>
      <c r="D4746" s="30" t="s">
        <v>9</v>
      </c>
      <c r="E4746" s="3"/>
      <c r="F4746" s="2">
        <v>0</v>
      </c>
      <c r="G4746" s="1">
        <v>0</v>
      </c>
      <c r="H4746" s="1">
        <v>22.8</v>
      </c>
      <c r="I4746" s="1">
        <v>0</v>
      </c>
      <c r="J4746" s="1">
        <v>2.8</v>
      </c>
      <c r="K4746" s="1">
        <v>2.9</v>
      </c>
      <c r="L4746" s="1">
        <v>0</v>
      </c>
      <c r="M4746" s="1">
        <v>0</v>
      </c>
      <c r="O4746" s="1">
        <v>2.54</v>
      </c>
      <c r="P4746" s="1">
        <v>0</v>
      </c>
      <c r="Q4746" s="1">
        <v>12.5</v>
      </c>
      <c r="R4746" s="1">
        <v>0</v>
      </c>
      <c r="S4746" s="1"/>
      <c r="T4746" s="1"/>
      <c r="X4746" s="1">
        <v>18.3</v>
      </c>
    </row>
    <row r="4747" spans="1:24" x14ac:dyDescent="0.25">
      <c r="A4747" s="22">
        <v>43098</v>
      </c>
      <c r="B4747" s="2">
        <v>6.9</v>
      </c>
      <c r="C4747" s="1">
        <v>19.2</v>
      </c>
      <c r="D4747" s="1">
        <v>9.6</v>
      </c>
      <c r="E4747" s="3"/>
      <c r="F4747" s="2">
        <v>16.5</v>
      </c>
      <c r="G4747" s="1">
        <v>1.2</v>
      </c>
      <c r="H4747" s="1">
        <v>31</v>
      </c>
      <c r="I4747" s="1">
        <v>2.2000000000000002</v>
      </c>
      <c r="J4747" s="1">
        <v>7.7</v>
      </c>
      <c r="K4747" s="1">
        <v>6.5</v>
      </c>
      <c r="L4747" s="1">
        <v>36.321999999999996</v>
      </c>
      <c r="M4747" s="1">
        <v>0.7</v>
      </c>
      <c r="O4747" s="1">
        <v>11.43</v>
      </c>
      <c r="P4747" s="1">
        <v>1.1000000000000001</v>
      </c>
      <c r="Q4747" s="1">
        <v>2</v>
      </c>
      <c r="R4747" s="1">
        <v>2.2999999999999998</v>
      </c>
      <c r="S4747" s="1">
        <v>37</v>
      </c>
      <c r="T4747" s="1"/>
      <c r="X4747" s="1">
        <v>20.8</v>
      </c>
    </row>
    <row r="4748" spans="1:24" x14ac:dyDescent="0.25">
      <c r="A4748" s="22">
        <v>43099</v>
      </c>
      <c r="B4748" s="2">
        <v>30</v>
      </c>
      <c r="C4748" s="1">
        <v>8.9</v>
      </c>
      <c r="D4748" s="1">
        <v>11.4</v>
      </c>
      <c r="E4748" s="3"/>
      <c r="F4748" s="2">
        <v>14.4</v>
      </c>
      <c r="G4748" s="1">
        <v>0.1</v>
      </c>
      <c r="H4748" s="1">
        <v>0.2</v>
      </c>
      <c r="I4748" s="1">
        <v>3.1</v>
      </c>
      <c r="J4748" s="1">
        <v>8.6999999999999993</v>
      </c>
      <c r="K4748" s="1">
        <v>30.1</v>
      </c>
      <c r="L4748" s="1">
        <v>35.559999999999995</v>
      </c>
      <c r="M4748" s="1">
        <v>10.4</v>
      </c>
      <c r="O4748" s="1">
        <v>24.13</v>
      </c>
      <c r="P4748" s="1">
        <v>10.1</v>
      </c>
      <c r="Q4748" s="1">
        <v>64.2</v>
      </c>
      <c r="R4748" s="1">
        <v>5.9</v>
      </c>
      <c r="S4748" s="1"/>
      <c r="T4748" s="1"/>
      <c r="X4748" s="1"/>
    </row>
    <row r="4749" spans="1:24" x14ac:dyDescent="0.25">
      <c r="A4749" s="22">
        <v>43100</v>
      </c>
      <c r="B4749" s="1">
        <v>0</v>
      </c>
      <c r="C4749" s="1"/>
      <c r="D4749" s="1">
        <v>63.7</v>
      </c>
      <c r="E4749" s="3"/>
      <c r="F4749" s="1">
        <v>85.4</v>
      </c>
      <c r="G4749" s="1">
        <v>7.5</v>
      </c>
      <c r="H4749" s="1"/>
      <c r="I4749" s="1"/>
      <c r="J4749" s="1"/>
      <c r="K4749" s="1"/>
      <c r="L4749" s="1"/>
      <c r="M4749" s="1"/>
      <c r="O4749" s="1"/>
      <c r="P4749" s="1"/>
      <c r="Q4749" s="1">
        <v>26.4</v>
      </c>
      <c r="R4749" s="1"/>
      <c r="S4749" s="1"/>
      <c r="T4749" s="1"/>
      <c r="X4749" s="1">
        <v>26.4</v>
      </c>
    </row>
    <row r="4750" spans="1:24" x14ac:dyDescent="0.25">
      <c r="A4750" s="22">
        <v>43101</v>
      </c>
      <c r="B4750" s="1">
        <v>0</v>
      </c>
      <c r="C4750" s="1">
        <v>19.3</v>
      </c>
      <c r="D4750" s="1">
        <v>16</v>
      </c>
      <c r="E4750" s="5"/>
      <c r="F4750" s="1">
        <v>11.5</v>
      </c>
      <c r="G4750" s="1">
        <v>4.5</v>
      </c>
      <c r="H4750" s="1">
        <v>9</v>
      </c>
      <c r="I4750" s="1">
        <v>7</v>
      </c>
      <c r="J4750" s="1"/>
      <c r="K4750" s="1">
        <v>0</v>
      </c>
      <c r="L4750" s="1">
        <v>22.097999999999999</v>
      </c>
      <c r="M4750" s="1">
        <v>9.5</v>
      </c>
      <c r="O4750" s="1">
        <v>0</v>
      </c>
      <c r="P4750" s="1"/>
      <c r="Q4750" s="1">
        <v>8.5</v>
      </c>
      <c r="R4750" s="1">
        <v>6</v>
      </c>
      <c r="S4750" s="1"/>
      <c r="T4750" s="1"/>
      <c r="U4750" s="1">
        <v>36</v>
      </c>
      <c r="X4750" s="1">
        <v>15.6</v>
      </c>
    </row>
    <row r="4751" spans="1:24" x14ac:dyDescent="0.25">
      <c r="A4751" s="22">
        <v>43102</v>
      </c>
      <c r="B4751" s="1">
        <v>0</v>
      </c>
      <c r="C4751" s="1">
        <v>2.7</v>
      </c>
      <c r="D4751" s="1">
        <v>10.5</v>
      </c>
      <c r="E4751" s="5"/>
      <c r="F4751" s="1">
        <v>2.5</v>
      </c>
      <c r="G4751" s="1">
        <v>0</v>
      </c>
      <c r="H4751" s="1">
        <v>0</v>
      </c>
      <c r="I4751" s="1">
        <v>2.2999999999999998</v>
      </c>
      <c r="J4751" s="1"/>
      <c r="K4751" s="1">
        <v>24.9</v>
      </c>
      <c r="L4751" s="1">
        <v>1.778</v>
      </c>
      <c r="M4751" s="1">
        <v>3.8</v>
      </c>
      <c r="O4751" s="1">
        <v>31.241999999999997</v>
      </c>
      <c r="P4751" s="1"/>
      <c r="Q4751" s="1">
        <v>0</v>
      </c>
      <c r="R4751" s="1">
        <v>0.2</v>
      </c>
      <c r="S4751" s="1"/>
      <c r="T4751" s="1"/>
      <c r="U4751" s="1"/>
      <c r="X4751" s="1">
        <v>5.2</v>
      </c>
    </row>
    <row r="4752" spans="1:24" x14ac:dyDescent="0.25">
      <c r="A4752" s="22">
        <v>43103</v>
      </c>
      <c r="B4752" s="1">
        <v>0</v>
      </c>
      <c r="C4752" s="30" t="s">
        <v>9</v>
      </c>
      <c r="D4752" s="30" t="s">
        <v>9</v>
      </c>
      <c r="E4752" s="5"/>
      <c r="F4752" s="1">
        <v>0</v>
      </c>
      <c r="G4752" s="1">
        <v>4.8</v>
      </c>
      <c r="H4752" s="1">
        <v>0</v>
      </c>
      <c r="I4752" s="1">
        <v>4.2</v>
      </c>
      <c r="J4752" s="1"/>
      <c r="K4752" s="1">
        <v>0</v>
      </c>
      <c r="L4752" s="1">
        <v>0</v>
      </c>
      <c r="M4752" s="1">
        <v>0</v>
      </c>
      <c r="O4752" s="1">
        <v>1.016</v>
      </c>
      <c r="P4752" s="1"/>
      <c r="Q4752" s="1">
        <v>0.6</v>
      </c>
      <c r="R4752" s="1">
        <v>0</v>
      </c>
      <c r="S4752" s="1"/>
      <c r="T4752" s="1"/>
      <c r="U4752" s="1">
        <v>3</v>
      </c>
      <c r="X4752" s="1">
        <v>3.1</v>
      </c>
    </row>
    <row r="4753" spans="1:24" x14ac:dyDescent="0.25">
      <c r="A4753" s="22">
        <v>43104</v>
      </c>
      <c r="B4753" s="1">
        <v>0</v>
      </c>
      <c r="C4753" s="1">
        <v>6.5</v>
      </c>
      <c r="D4753" s="1">
        <v>3.1</v>
      </c>
      <c r="E4753" s="5"/>
      <c r="F4753" s="1">
        <v>16.7</v>
      </c>
      <c r="G4753" s="1">
        <v>0</v>
      </c>
      <c r="H4753" s="1">
        <v>13.1</v>
      </c>
      <c r="I4753" s="1">
        <v>7.4</v>
      </c>
      <c r="J4753" s="1"/>
      <c r="K4753" s="1">
        <v>11.2</v>
      </c>
      <c r="L4753" s="1">
        <v>0</v>
      </c>
      <c r="M4753" s="1">
        <v>7.5</v>
      </c>
      <c r="O4753" s="1">
        <v>3.302</v>
      </c>
      <c r="P4753" s="1"/>
      <c r="Q4753" s="1">
        <v>0</v>
      </c>
      <c r="R4753" s="1">
        <v>0.3</v>
      </c>
      <c r="S4753" s="1"/>
      <c r="T4753" s="1"/>
      <c r="U4753" s="1">
        <v>9</v>
      </c>
      <c r="X4753" s="1">
        <v>0.5</v>
      </c>
    </row>
    <row r="4754" spans="1:24" x14ac:dyDescent="0.25">
      <c r="A4754" s="22">
        <v>43105</v>
      </c>
      <c r="B4754" s="1">
        <v>0</v>
      </c>
      <c r="C4754" s="30" t="s">
        <v>9</v>
      </c>
      <c r="D4754" s="1">
        <v>9</v>
      </c>
      <c r="E4754" s="5"/>
      <c r="F4754" s="1">
        <v>0</v>
      </c>
      <c r="G4754" s="1">
        <v>6.4</v>
      </c>
      <c r="H4754" s="1">
        <v>0</v>
      </c>
      <c r="I4754" s="1">
        <v>12.6</v>
      </c>
      <c r="J4754" s="1"/>
      <c r="K4754" s="1">
        <v>0</v>
      </c>
      <c r="L4754" s="1">
        <v>0</v>
      </c>
      <c r="M4754" s="1">
        <v>0</v>
      </c>
      <c r="O4754" s="1">
        <v>0</v>
      </c>
      <c r="P4754" s="1"/>
      <c r="Q4754" s="1">
        <v>12.2</v>
      </c>
      <c r="R4754" s="1">
        <v>8.5</v>
      </c>
      <c r="S4754" s="1"/>
      <c r="T4754" s="1"/>
      <c r="U4754" s="1">
        <v>0</v>
      </c>
      <c r="X4754" s="1">
        <v>0</v>
      </c>
    </row>
    <row r="4755" spans="1:24" x14ac:dyDescent="0.25">
      <c r="A4755" s="22">
        <v>43106</v>
      </c>
      <c r="B4755" s="1">
        <v>0</v>
      </c>
      <c r="C4755" s="1">
        <v>5.2</v>
      </c>
      <c r="D4755" s="1">
        <v>8.5</v>
      </c>
      <c r="E4755" s="5"/>
      <c r="F4755" s="1">
        <v>9.1</v>
      </c>
      <c r="G4755" s="1">
        <v>28.8</v>
      </c>
      <c r="H4755" s="1">
        <v>9</v>
      </c>
      <c r="I4755" s="1">
        <v>5.2</v>
      </c>
      <c r="J4755" s="1"/>
      <c r="K4755" s="1">
        <v>8.5</v>
      </c>
      <c r="L4755" s="1">
        <v>9.3979999999999997</v>
      </c>
      <c r="M4755" s="1">
        <v>11</v>
      </c>
      <c r="O4755" s="1">
        <v>0</v>
      </c>
      <c r="P4755" s="1"/>
      <c r="Q4755" s="1">
        <v>23.7</v>
      </c>
      <c r="R4755" s="1">
        <v>15.5</v>
      </c>
      <c r="S4755" s="1"/>
      <c r="T4755" s="1"/>
      <c r="U4755" s="1">
        <v>30</v>
      </c>
      <c r="X4755" s="1">
        <v>5.2</v>
      </c>
    </row>
    <row r="4756" spans="1:24" x14ac:dyDescent="0.25">
      <c r="A4756" s="22">
        <v>43107</v>
      </c>
      <c r="B4756" s="1">
        <v>0</v>
      </c>
      <c r="C4756" s="1">
        <v>34.9</v>
      </c>
      <c r="D4756" s="1">
        <v>40</v>
      </c>
      <c r="E4756" s="5"/>
      <c r="F4756" s="1">
        <v>25.7</v>
      </c>
      <c r="G4756" s="1">
        <v>0.5</v>
      </c>
      <c r="H4756" s="1">
        <v>23.6</v>
      </c>
      <c r="I4756" s="1">
        <v>30.7</v>
      </c>
      <c r="J4756" s="1"/>
      <c r="K4756" s="1">
        <v>35</v>
      </c>
      <c r="L4756" s="1">
        <v>22.605999999999998</v>
      </c>
      <c r="M4756" s="1">
        <v>32.9</v>
      </c>
      <c r="O4756" s="1">
        <v>0</v>
      </c>
      <c r="P4756" s="1"/>
      <c r="Q4756" s="1">
        <v>1.6</v>
      </c>
      <c r="R4756" s="1">
        <v>1.9</v>
      </c>
      <c r="S4756" s="1"/>
      <c r="T4756" s="1"/>
      <c r="U4756" s="1">
        <v>10</v>
      </c>
      <c r="X4756" s="1">
        <v>35</v>
      </c>
    </row>
    <row r="4757" spans="1:24" x14ac:dyDescent="0.25">
      <c r="A4757" s="22">
        <v>43108</v>
      </c>
      <c r="B4757" s="1">
        <v>0</v>
      </c>
      <c r="C4757" s="1">
        <v>3.3</v>
      </c>
      <c r="D4757" s="1">
        <v>2</v>
      </c>
      <c r="E4757" s="5"/>
      <c r="F4757" s="1">
        <v>0</v>
      </c>
      <c r="G4757" s="1">
        <v>8.1999999999999993</v>
      </c>
      <c r="H4757" s="1">
        <v>0</v>
      </c>
      <c r="I4757" s="1">
        <v>3.2</v>
      </c>
      <c r="J4757" s="1"/>
      <c r="K4757" s="1">
        <v>2.9</v>
      </c>
      <c r="L4757" s="1">
        <v>5.3339999999999996</v>
      </c>
      <c r="M4757" s="1">
        <v>1.5</v>
      </c>
      <c r="O4757" s="1">
        <v>32.512</v>
      </c>
      <c r="P4757" s="1"/>
      <c r="Q4757" s="1">
        <v>0.8</v>
      </c>
      <c r="R4757" s="1">
        <v>1.4</v>
      </c>
      <c r="S4757" s="1"/>
      <c r="T4757" s="1"/>
      <c r="U4757" s="1">
        <v>2</v>
      </c>
      <c r="X4757" s="1">
        <v>0</v>
      </c>
    </row>
    <row r="4758" spans="1:24" x14ac:dyDescent="0.25">
      <c r="A4758" s="22">
        <v>43109</v>
      </c>
      <c r="B4758" s="1">
        <v>0</v>
      </c>
      <c r="C4758" s="1">
        <v>11.2</v>
      </c>
      <c r="D4758" s="1">
        <v>15</v>
      </c>
      <c r="E4758" s="5"/>
      <c r="F4758" s="1">
        <v>7.4</v>
      </c>
      <c r="G4758" s="1">
        <v>7.7</v>
      </c>
      <c r="H4758" s="1">
        <v>4.0999999999999996</v>
      </c>
      <c r="I4758" s="1">
        <v>6.1</v>
      </c>
      <c r="J4758" s="1"/>
      <c r="K4758" s="1">
        <v>1.7</v>
      </c>
      <c r="L4758" s="1">
        <v>4.3180000000000005</v>
      </c>
      <c r="M4758" s="1">
        <v>7.3</v>
      </c>
      <c r="O4758" s="1">
        <v>12.446</v>
      </c>
      <c r="P4758" s="1"/>
      <c r="Q4758" s="1">
        <v>2.2999999999999998</v>
      </c>
      <c r="R4758" s="1">
        <v>1</v>
      </c>
      <c r="S4758" s="1"/>
      <c r="T4758" s="1"/>
      <c r="U4758" s="1">
        <v>9</v>
      </c>
      <c r="X4758" s="1">
        <v>0</v>
      </c>
    </row>
    <row r="4759" spans="1:24" x14ac:dyDescent="0.25">
      <c r="A4759" s="22">
        <v>43110</v>
      </c>
      <c r="B4759" s="1">
        <v>0</v>
      </c>
      <c r="C4759" s="1">
        <v>3.9</v>
      </c>
      <c r="D4759" s="1">
        <v>7.1</v>
      </c>
      <c r="E4759" s="5"/>
      <c r="F4759" s="1">
        <v>6.9</v>
      </c>
      <c r="G4759" s="1">
        <v>13.6</v>
      </c>
      <c r="H4759" s="1">
        <v>8</v>
      </c>
      <c r="I4759" s="1">
        <v>1.9</v>
      </c>
      <c r="J4759" s="1"/>
      <c r="K4759" s="1">
        <v>12.2</v>
      </c>
      <c r="L4759" s="1">
        <v>9.3979999999999997</v>
      </c>
      <c r="M4759" s="1">
        <v>13.4</v>
      </c>
      <c r="O4759" s="1">
        <v>10.413999999999998</v>
      </c>
      <c r="P4759" s="1"/>
      <c r="Q4759" s="1">
        <v>40.799999999999997</v>
      </c>
      <c r="R4759" s="1">
        <v>22.9</v>
      </c>
      <c r="S4759" s="1"/>
      <c r="T4759" s="1"/>
      <c r="U4759" s="1">
        <v>9</v>
      </c>
      <c r="X4759" s="1">
        <v>5.2</v>
      </c>
    </row>
    <row r="4760" spans="1:24" x14ac:dyDescent="0.25">
      <c r="A4760" s="22">
        <v>43111</v>
      </c>
      <c r="B4760" s="1">
        <v>0</v>
      </c>
      <c r="C4760" s="1">
        <v>33.1</v>
      </c>
      <c r="D4760" s="1">
        <v>19.600000000000001</v>
      </c>
      <c r="E4760" s="5"/>
      <c r="F4760" s="1">
        <v>17.2</v>
      </c>
      <c r="G4760" s="1">
        <v>18.399999999999999</v>
      </c>
      <c r="H4760" s="1">
        <v>13.8</v>
      </c>
      <c r="I4760" s="1">
        <v>21.2</v>
      </c>
      <c r="J4760" s="1"/>
      <c r="K4760" s="1">
        <v>28.7</v>
      </c>
      <c r="L4760" s="1">
        <v>38.607999999999997</v>
      </c>
      <c r="M4760" s="1">
        <v>15.3</v>
      </c>
      <c r="O4760" s="1">
        <v>41.401999999999994</v>
      </c>
      <c r="P4760" s="1"/>
      <c r="Q4760" s="1">
        <v>65.8</v>
      </c>
      <c r="R4760" s="1">
        <v>55.3</v>
      </c>
      <c r="S4760" s="1"/>
      <c r="T4760" s="1"/>
      <c r="U4760" s="1">
        <v>45</v>
      </c>
      <c r="X4760" s="1">
        <v>1.1000000000000001</v>
      </c>
    </row>
    <row r="4761" spans="1:24" x14ac:dyDescent="0.25">
      <c r="A4761" s="22">
        <v>43112</v>
      </c>
      <c r="B4761" s="1">
        <v>0</v>
      </c>
      <c r="C4761" s="1">
        <v>57.5</v>
      </c>
      <c r="D4761" s="1">
        <v>45.7</v>
      </c>
      <c r="E4761" s="5"/>
      <c r="F4761" s="1">
        <v>17.399999999999999</v>
      </c>
      <c r="G4761" s="1">
        <v>3.7</v>
      </c>
      <c r="H4761" s="1">
        <v>26.5</v>
      </c>
      <c r="I4761" s="1">
        <v>13.5</v>
      </c>
      <c r="J4761" s="1"/>
      <c r="K4761" s="1">
        <v>27.4</v>
      </c>
      <c r="L4761" s="1">
        <v>30.479999999999997</v>
      </c>
      <c r="M4761" s="1">
        <v>23.6</v>
      </c>
      <c r="O4761" s="1">
        <v>58.673999999999999</v>
      </c>
      <c r="P4761" s="1"/>
      <c r="Q4761" s="1">
        <v>1.1000000000000001</v>
      </c>
      <c r="R4761" s="1">
        <v>1.2</v>
      </c>
      <c r="S4761" s="1"/>
      <c r="T4761" s="1"/>
      <c r="U4761" s="1">
        <v>51</v>
      </c>
      <c r="X4761" s="1">
        <v>45.6</v>
      </c>
    </row>
    <row r="4762" spans="1:24" x14ac:dyDescent="0.25">
      <c r="A4762" s="22">
        <v>43113</v>
      </c>
      <c r="B4762" s="1">
        <v>0</v>
      </c>
      <c r="C4762" s="1">
        <v>4.9000000000000004</v>
      </c>
      <c r="D4762" s="1">
        <v>3</v>
      </c>
      <c r="E4762" s="5"/>
      <c r="F4762" s="1">
        <v>5.4</v>
      </c>
      <c r="G4762" s="1">
        <v>5.4</v>
      </c>
      <c r="H4762" s="1">
        <v>4.3</v>
      </c>
      <c r="I4762" s="1">
        <v>6.3</v>
      </c>
      <c r="J4762" s="1"/>
      <c r="K4762" s="1">
        <v>0</v>
      </c>
      <c r="L4762" s="1">
        <v>3.0479999999999996</v>
      </c>
      <c r="M4762" s="1">
        <v>15.1</v>
      </c>
      <c r="O4762" s="1">
        <v>0</v>
      </c>
      <c r="P4762" s="1"/>
      <c r="Q4762" s="1">
        <v>5.0999999999999996</v>
      </c>
      <c r="R4762" s="1">
        <v>0</v>
      </c>
      <c r="S4762" s="1"/>
      <c r="T4762" s="1"/>
      <c r="U4762" s="1">
        <v>1</v>
      </c>
      <c r="X4762" s="1">
        <v>0.2</v>
      </c>
    </row>
    <row r="4763" spans="1:24" x14ac:dyDescent="0.25">
      <c r="A4763" s="22">
        <v>43114</v>
      </c>
      <c r="B4763" s="1">
        <v>0</v>
      </c>
      <c r="C4763" s="1">
        <v>25.1</v>
      </c>
      <c r="D4763" s="1">
        <v>10.6</v>
      </c>
      <c r="E4763" s="5"/>
      <c r="F4763" s="1">
        <v>0</v>
      </c>
      <c r="G4763" s="1">
        <v>2.2999999999999998</v>
      </c>
      <c r="H4763" s="1">
        <v>0</v>
      </c>
      <c r="I4763" s="1">
        <v>0</v>
      </c>
      <c r="J4763" s="1"/>
      <c r="K4763" s="1">
        <v>42.8</v>
      </c>
      <c r="L4763" s="1">
        <v>8.1280000000000001</v>
      </c>
      <c r="M4763" s="1">
        <v>2.5</v>
      </c>
      <c r="O4763" s="1">
        <v>0</v>
      </c>
      <c r="P4763" s="1"/>
      <c r="Q4763" s="1">
        <v>5.6</v>
      </c>
      <c r="R4763" s="1">
        <v>11.7</v>
      </c>
      <c r="S4763" s="1"/>
      <c r="T4763" s="1"/>
      <c r="U4763" s="1">
        <v>14</v>
      </c>
      <c r="X4763" s="1">
        <v>0.2</v>
      </c>
    </row>
    <row r="4764" spans="1:24" x14ac:dyDescent="0.25">
      <c r="A4764" s="22">
        <v>43115</v>
      </c>
      <c r="B4764" s="1">
        <v>0</v>
      </c>
      <c r="C4764" s="1">
        <v>8.5</v>
      </c>
      <c r="D4764" s="1">
        <v>2</v>
      </c>
      <c r="E4764" s="5"/>
      <c r="F4764" s="1">
        <v>6</v>
      </c>
      <c r="G4764" s="1">
        <v>2.8</v>
      </c>
      <c r="H4764" s="1">
        <v>1.1000000000000001</v>
      </c>
      <c r="I4764" s="1">
        <v>8.6999999999999993</v>
      </c>
      <c r="J4764" s="1"/>
      <c r="K4764" s="1">
        <v>10</v>
      </c>
      <c r="L4764" s="1">
        <v>3.0479999999999996</v>
      </c>
      <c r="M4764" s="1">
        <v>2</v>
      </c>
      <c r="O4764" s="1">
        <v>26.923999999999999</v>
      </c>
      <c r="P4764" s="1"/>
      <c r="Q4764" s="1">
        <v>1.1000000000000001</v>
      </c>
      <c r="R4764" s="1">
        <v>2.1</v>
      </c>
      <c r="S4764" s="1"/>
      <c r="T4764" s="1"/>
      <c r="U4764" s="1">
        <v>16</v>
      </c>
      <c r="X4764" s="1">
        <v>0</v>
      </c>
    </row>
    <row r="4765" spans="1:24" x14ac:dyDescent="0.25">
      <c r="A4765" s="22">
        <v>43116</v>
      </c>
      <c r="B4765" s="1">
        <v>0</v>
      </c>
      <c r="C4765" s="1">
        <v>3</v>
      </c>
      <c r="D4765" s="1">
        <v>13</v>
      </c>
      <c r="E4765" s="5"/>
      <c r="F4765" s="1">
        <v>1.4</v>
      </c>
      <c r="G4765" s="1">
        <v>3.4</v>
      </c>
      <c r="H4765" s="1">
        <v>2.2000000000000002</v>
      </c>
      <c r="I4765" s="1">
        <v>0</v>
      </c>
      <c r="J4765" s="1"/>
      <c r="K4765" s="1">
        <v>0</v>
      </c>
      <c r="L4765" s="1">
        <v>4.3180000000000005</v>
      </c>
      <c r="M4765" s="1">
        <v>4.5</v>
      </c>
      <c r="O4765" s="1">
        <v>1.27</v>
      </c>
      <c r="P4765" s="1"/>
      <c r="Q4765" s="1">
        <v>2.7</v>
      </c>
      <c r="R4765" s="1">
        <v>1.2</v>
      </c>
      <c r="S4765" s="1"/>
      <c r="T4765" s="1"/>
      <c r="U4765" s="1">
        <v>6</v>
      </c>
      <c r="X4765" s="1">
        <v>0</v>
      </c>
    </row>
    <row r="4766" spans="1:24" x14ac:dyDescent="0.25">
      <c r="A4766" s="22">
        <v>43117</v>
      </c>
      <c r="B4766" s="1">
        <v>0</v>
      </c>
      <c r="C4766" s="1">
        <v>16.3</v>
      </c>
      <c r="D4766" s="1">
        <v>15.4</v>
      </c>
      <c r="E4766" s="5"/>
      <c r="F4766" s="1">
        <v>4.4000000000000004</v>
      </c>
      <c r="G4766" s="1">
        <v>0</v>
      </c>
      <c r="H4766" s="1">
        <v>3.9</v>
      </c>
      <c r="I4766" s="1">
        <v>5.2</v>
      </c>
      <c r="J4766" s="1"/>
      <c r="K4766" s="1">
        <v>7.9</v>
      </c>
      <c r="L4766" s="1">
        <v>0</v>
      </c>
      <c r="M4766" s="1">
        <v>4.0999999999999996</v>
      </c>
      <c r="O4766" s="1">
        <v>14.731999999999998</v>
      </c>
      <c r="P4766" s="1"/>
      <c r="Q4766" s="1">
        <v>0</v>
      </c>
      <c r="R4766" s="1">
        <v>0</v>
      </c>
      <c r="S4766" s="1"/>
      <c r="T4766" s="1"/>
      <c r="U4766" s="1">
        <v>5</v>
      </c>
      <c r="X4766" s="1">
        <v>0</v>
      </c>
    </row>
    <row r="4767" spans="1:24" x14ac:dyDescent="0.25">
      <c r="A4767" s="22">
        <v>43118</v>
      </c>
      <c r="B4767" s="1">
        <v>0</v>
      </c>
      <c r="C4767" s="30" t="s">
        <v>9</v>
      </c>
      <c r="D4767" s="30" t="s">
        <v>9</v>
      </c>
      <c r="E4767" s="5"/>
      <c r="F4767" s="1">
        <v>0</v>
      </c>
      <c r="G4767" s="1">
        <v>4.8</v>
      </c>
      <c r="H4767" s="1">
        <v>0</v>
      </c>
      <c r="I4767" s="1">
        <v>5.0999999999999996</v>
      </c>
      <c r="J4767" s="1"/>
      <c r="K4767" s="1">
        <v>0</v>
      </c>
      <c r="L4767" s="1">
        <v>3.302</v>
      </c>
      <c r="M4767" s="1">
        <v>0</v>
      </c>
      <c r="O4767" s="1">
        <v>0</v>
      </c>
      <c r="P4767" s="1"/>
      <c r="Q4767" s="1">
        <v>1.2</v>
      </c>
      <c r="R4767" s="1">
        <v>0.2</v>
      </c>
      <c r="S4767" s="1"/>
      <c r="T4767" s="1"/>
      <c r="U4767" s="1">
        <v>0</v>
      </c>
      <c r="X4767" s="1">
        <v>0</v>
      </c>
    </row>
    <row r="4768" spans="1:24" x14ac:dyDescent="0.25">
      <c r="A4768" s="22">
        <v>43119</v>
      </c>
      <c r="B4768" s="1">
        <v>0</v>
      </c>
      <c r="C4768" s="1">
        <v>3</v>
      </c>
      <c r="D4768" s="1">
        <v>6.9</v>
      </c>
      <c r="E4768" s="5"/>
      <c r="F4768" s="1">
        <v>4</v>
      </c>
      <c r="G4768" s="1">
        <v>10</v>
      </c>
      <c r="H4768" s="1">
        <v>5.2</v>
      </c>
      <c r="I4768" s="1">
        <v>0</v>
      </c>
      <c r="J4768" s="1"/>
      <c r="K4768" s="1">
        <v>15</v>
      </c>
      <c r="L4768" s="1">
        <v>0.50800000000000001</v>
      </c>
      <c r="M4768" s="1">
        <v>0</v>
      </c>
      <c r="O4768" s="1">
        <v>0</v>
      </c>
      <c r="P4768" s="1"/>
      <c r="Q4768" s="1">
        <v>6.2</v>
      </c>
      <c r="R4768" s="1">
        <v>4.9000000000000004</v>
      </c>
      <c r="S4768" s="1"/>
      <c r="T4768" s="1"/>
      <c r="U4768" s="1">
        <v>9</v>
      </c>
      <c r="X4768" s="1">
        <v>1.2</v>
      </c>
    </row>
    <row r="4769" spans="1:24" x14ac:dyDescent="0.25">
      <c r="A4769" s="22">
        <v>43120</v>
      </c>
      <c r="B4769" s="1">
        <v>0</v>
      </c>
      <c r="C4769" s="1">
        <v>29.9</v>
      </c>
      <c r="D4769" s="1">
        <v>28.5</v>
      </c>
      <c r="E4769" s="5"/>
      <c r="F4769" s="1">
        <v>15.5</v>
      </c>
      <c r="G4769" s="1">
        <v>6</v>
      </c>
      <c r="H4769" s="1">
        <v>12</v>
      </c>
      <c r="I4769" s="1">
        <v>13.2</v>
      </c>
      <c r="J4769" s="1"/>
      <c r="K4769" s="1">
        <v>0</v>
      </c>
      <c r="L4769" s="1">
        <v>4.3180000000000005</v>
      </c>
      <c r="M4769" s="1">
        <v>18.100000000000001</v>
      </c>
      <c r="O4769" s="1">
        <v>0</v>
      </c>
      <c r="P4769" s="1"/>
      <c r="Q4769" s="1">
        <v>9.6999999999999993</v>
      </c>
      <c r="R4769" s="1">
        <v>4.3</v>
      </c>
      <c r="S4769" s="1"/>
      <c r="T4769" s="1"/>
      <c r="U4769" s="1">
        <v>36</v>
      </c>
      <c r="X4769" s="1">
        <v>1</v>
      </c>
    </row>
    <row r="4770" spans="1:24" x14ac:dyDescent="0.25">
      <c r="A4770" s="22">
        <v>43121</v>
      </c>
      <c r="B4770" s="1">
        <v>0</v>
      </c>
      <c r="C4770" s="1">
        <v>17</v>
      </c>
      <c r="D4770" s="1">
        <v>8.6999999999999993</v>
      </c>
      <c r="E4770" s="5"/>
      <c r="F4770" s="1">
        <v>5.3</v>
      </c>
      <c r="G4770" s="1">
        <v>47.8</v>
      </c>
      <c r="H4770" s="1">
        <v>9.1999999999999993</v>
      </c>
      <c r="I4770" s="1">
        <v>8.5</v>
      </c>
      <c r="J4770" s="1"/>
      <c r="K4770" s="1">
        <v>29.9</v>
      </c>
      <c r="L4770" s="1">
        <v>11.937999999999999</v>
      </c>
      <c r="M4770" s="1">
        <v>23.1</v>
      </c>
      <c r="O4770" s="1">
        <v>0</v>
      </c>
      <c r="P4770" s="1"/>
      <c r="Q4770" s="1">
        <v>51.1</v>
      </c>
      <c r="R4770" s="1">
        <v>37.9</v>
      </c>
      <c r="S4770" s="1"/>
      <c r="T4770" s="1"/>
      <c r="U4770" s="1">
        <v>39</v>
      </c>
      <c r="X4770" s="1">
        <v>1.2</v>
      </c>
    </row>
    <row r="4771" spans="1:24" x14ac:dyDescent="0.25">
      <c r="A4771" s="22">
        <v>43122</v>
      </c>
      <c r="B4771" s="1">
        <v>0</v>
      </c>
      <c r="C4771" s="1">
        <v>81.5</v>
      </c>
      <c r="D4771" s="1">
        <v>79.5</v>
      </c>
      <c r="E4771" s="5"/>
      <c r="F4771" s="1">
        <v>73.8</v>
      </c>
      <c r="G4771" s="1">
        <v>0</v>
      </c>
      <c r="H4771" s="1">
        <v>75.8</v>
      </c>
      <c r="I4771" s="1">
        <v>82</v>
      </c>
      <c r="J4771" s="1"/>
      <c r="K4771" s="1">
        <v>18.100000000000001</v>
      </c>
      <c r="L4771" s="1">
        <v>27.178000000000001</v>
      </c>
      <c r="M4771" s="1">
        <v>81.2</v>
      </c>
      <c r="O4771" s="1">
        <v>69.088000000000008</v>
      </c>
      <c r="P4771" s="1"/>
      <c r="Q4771" s="1">
        <v>1.3</v>
      </c>
      <c r="R4771" s="1">
        <v>0</v>
      </c>
      <c r="S4771" s="1"/>
      <c r="T4771" s="1"/>
      <c r="U4771" s="1">
        <v>50</v>
      </c>
      <c r="X4771" s="1">
        <v>1.2</v>
      </c>
    </row>
    <row r="4772" spans="1:24" x14ac:dyDescent="0.25">
      <c r="A4772" s="22">
        <v>43123</v>
      </c>
      <c r="B4772" s="1">
        <v>297.8</v>
      </c>
      <c r="C4772" s="1">
        <v>1.5</v>
      </c>
      <c r="D4772" s="30" t="s">
        <v>9</v>
      </c>
      <c r="E4772" s="5"/>
      <c r="F4772" s="1">
        <v>0</v>
      </c>
      <c r="G4772" s="1">
        <v>0</v>
      </c>
      <c r="H4772" s="1">
        <v>0</v>
      </c>
      <c r="I4772" s="1">
        <v>0</v>
      </c>
      <c r="J4772" s="1"/>
      <c r="K4772" s="1">
        <v>26.7</v>
      </c>
      <c r="L4772" s="1">
        <v>4.3180000000000005</v>
      </c>
      <c r="M4772" s="1">
        <v>0</v>
      </c>
      <c r="O4772" s="1">
        <v>2.032</v>
      </c>
      <c r="P4772" s="1"/>
      <c r="Q4772" s="1">
        <v>0.1</v>
      </c>
      <c r="R4772" s="1">
        <v>1.1000000000000001</v>
      </c>
      <c r="S4772" s="1"/>
      <c r="T4772" s="1"/>
      <c r="U4772" s="1">
        <v>2</v>
      </c>
      <c r="X4772" s="1">
        <v>0</v>
      </c>
    </row>
    <row r="4773" spans="1:24" x14ac:dyDescent="0.25">
      <c r="A4773" s="22">
        <v>43124</v>
      </c>
      <c r="B4773" s="1">
        <v>0</v>
      </c>
      <c r="C4773" s="1">
        <v>1.3</v>
      </c>
      <c r="D4773" s="1">
        <v>0.5</v>
      </c>
      <c r="E4773" s="5"/>
      <c r="F4773" s="1">
        <v>0</v>
      </c>
      <c r="G4773" s="1">
        <v>4.9000000000000004</v>
      </c>
      <c r="H4773" s="1">
        <v>0</v>
      </c>
      <c r="I4773" s="1">
        <v>5.0999999999999996</v>
      </c>
      <c r="J4773" s="1"/>
      <c r="K4773" s="1">
        <v>44.5</v>
      </c>
      <c r="L4773" s="1">
        <v>1.27</v>
      </c>
      <c r="M4773" s="1">
        <v>2.2000000000000002</v>
      </c>
      <c r="O4773" s="1">
        <v>3.302</v>
      </c>
      <c r="P4773" s="1"/>
      <c r="Q4773" s="1">
        <v>68.2</v>
      </c>
      <c r="R4773" s="1">
        <v>35.799999999999997</v>
      </c>
      <c r="S4773" s="1"/>
      <c r="T4773" s="1"/>
      <c r="U4773" s="1">
        <v>36</v>
      </c>
      <c r="X4773" s="1">
        <v>2.2000000000000002</v>
      </c>
    </row>
    <row r="4774" spans="1:24" x14ac:dyDescent="0.25">
      <c r="A4774" s="22">
        <v>43125</v>
      </c>
      <c r="B4774" s="1">
        <v>59.5</v>
      </c>
      <c r="C4774" s="1">
        <v>46.2</v>
      </c>
      <c r="D4774" s="1">
        <v>53.7</v>
      </c>
      <c r="E4774" s="5"/>
      <c r="F4774" s="1">
        <v>51.4</v>
      </c>
      <c r="G4774" s="1">
        <v>24.5</v>
      </c>
      <c r="H4774" s="1">
        <v>51.6</v>
      </c>
      <c r="I4774" s="1">
        <v>23.5</v>
      </c>
      <c r="J4774" s="1"/>
      <c r="K4774" s="1">
        <v>35.200000000000003</v>
      </c>
      <c r="L4774" s="1">
        <v>39.624000000000002</v>
      </c>
      <c r="M4774" s="1">
        <v>56.4</v>
      </c>
      <c r="O4774" s="1">
        <v>28.701999999999995</v>
      </c>
      <c r="P4774" s="1"/>
      <c r="Q4774" s="1">
        <v>1.7</v>
      </c>
      <c r="R4774" s="1">
        <v>0.5</v>
      </c>
      <c r="S4774" s="1"/>
      <c r="T4774" s="1"/>
      <c r="U4774" s="1">
        <v>37</v>
      </c>
      <c r="X4774" s="1">
        <v>0.4</v>
      </c>
    </row>
    <row r="4775" spans="1:24" x14ac:dyDescent="0.25">
      <c r="A4775" s="22">
        <v>43126</v>
      </c>
      <c r="B4775" s="1">
        <v>1.3</v>
      </c>
      <c r="C4775" s="1">
        <v>3.5</v>
      </c>
      <c r="D4775" s="1">
        <v>1.1000000000000001</v>
      </c>
      <c r="E4775" s="5"/>
      <c r="F4775" s="1">
        <v>8.4</v>
      </c>
      <c r="G4775" s="1">
        <v>3.1</v>
      </c>
      <c r="H4775" s="1">
        <v>8.6999999999999993</v>
      </c>
      <c r="I4775" s="1">
        <v>5.7</v>
      </c>
      <c r="J4775" s="1"/>
      <c r="K4775" s="1">
        <v>56.6</v>
      </c>
      <c r="L4775" s="1">
        <v>2.2859999999999996</v>
      </c>
      <c r="M4775" s="1">
        <v>4.8</v>
      </c>
      <c r="O4775" s="1">
        <v>3.0479999999999996</v>
      </c>
      <c r="P4775" s="1"/>
      <c r="Q4775" s="1">
        <v>5.3</v>
      </c>
      <c r="R4775" s="1">
        <v>2.2000000000000002</v>
      </c>
      <c r="S4775" s="1"/>
      <c r="T4775" s="1"/>
      <c r="U4775" s="1">
        <v>0.6</v>
      </c>
      <c r="X4775" s="1">
        <v>0.9</v>
      </c>
    </row>
    <row r="4776" spans="1:24" x14ac:dyDescent="0.25">
      <c r="A4776" s="22">
        <v>43127</v>
      </c>
      <c r="B4776" s="1">
        <v>1.3</v>
      </c>
      <c r="C4776" s="1">
        <v>1.5</v>
      </c>
      <c r="D4776" s="1">
        <v>4.8</v>
      </c>
      <c r="E4776" s="5"/>
      <c r="F4776" s="1">
        <v>0</v>
      </c>
      <c r="G4776" s="1">
        <v>0.9</v>
      </c>
      <c r="H4776" s="1">
        <v>0</v>
      </c>
      <c r="I4776" s="1">
        <v>0</v>
      </c>
      <c r="J4776" s="1"/>
      <c r="K4776" s="1">
        <v>0</v>
      </c>
      <c r="L4776" s="1">
        <v>2.2859999999999996</v>
      </c>
      <c r="M4776" s="1">
        <v>1.1000000000000001</v>
      </c>
      <c r="O4776" s="1">
        <v>0</v>
      </c>
      <c r="P4776" s="1"/>
      <c r="Q4776" s="1">
        <v>0.8</v>
      </c>
      <c r="R4776" s="1">
        <v>0</v>
      </c>
      <c r="S4776" s="1"/>
      <c r="T4776" s="1"/>
      <c r="U4776" s="1">
        <v>0.8</v>
      </c>
      <c r="X4776" s="1">
        <v>9.3000000000000007</v>
      </c>
    </row>
    <row r="4777" spans="1:24" x14ac:dyDescent="0.25">
      <c r="A4777" s="22">
        <v>43128</v>
      </c>
      <c r="B4777" s="1">
        <v>0</v>
      </c>
      <c r="C4777" s="1">
        <v>2.8</v>
      </c>
      <c r="D4777" s="1">
        <v>2.6</v>
      </c>
      <c r="E4777" s="5"/>
      <c r="F4777" s="1">
        <v>0</v>
      </c>
      <c r="G4777" s="1">
        <v>0</v>
      </c>
      <c r="H4777" s="1">
        <v>0</v>
      </c>
      <c r="I4777" s="1">
        <v>0</v>
      </c>
      <c r="J4777" s="1"/>
      <c r="K4777" s="1">
        <v>6.1</v>
      </c>
      <c r="L4777" s="1">
        <v>2.794</v>
      </c>
      <c r="M4777" s="1">
        <v>0.8</v>
      </c>
      <c r="O4777" s="1">
        <v>0</v>
      </c>
      <c r="P4777" s="1"/>
      <c r="Q4777" s="1">
        <v>6.1</v>
      </c>
      <c r="R4777" s="1">
        <v>13.4</v>
      </c>
      <c r="S4777" s="1"/>
      <c r="T4777" s="1"/>
      <c r="U4777" s="1">
        <v>0</v>
      </c>
      <c r="X4777" s="1">
        <v>17.600000000000001</v>
      </c>
    </row>
    <row r="4778" spans="1:24" x14ac:dyDescent="0.25">
      <c r="A4778" s="22">
        <v>43129</v>
      </c>
      <c r="B4778" s="1">
        <v>20.8</v>
      </c>
      <c r="C4778" s="1">
        <v>34</v>
      </c>
      <c r="D4778" s="1">
        <v>31</v>
      </c>
      <c r="E4778" s="5"/>
      <c r="F4778" s="1">
        <v>12.7</v>
      </c>
      <c r="G4778" s="1">
        <v>14.1</v>
      </c>
      <c r="H4778" s="1">
        <v>9.6</v>
      </c>
      <c r="I4778" s="1">
        <v>8</v>
      </c>
      <c r="J4778" s="1"/>
      <c r="K4778" s="1">
        <v>29.5</v>
      </c>
      <c r="L4778" s="1">
        <v>6.35</v>
      </c>
      <c r="M4778" s="1">
        <v>20.6</v>
      </c>
      <c r="O4778" s="1">
        <v>20.827999999999996</v>
      </c>
      <c r="P4778" s="1"/>
      <c r="Q4778" s="1">
        <v>52.2</v>
      </c>
      <c r="R4778" s="1">
        <v>33.9</v>
      </c>
      <c r="S4778" s="1"/>
      <c r="T4778" s="1"/>
      <c r="U4778" s="1">
        <v>28</v>
      </c>
      <c r="X4778" s="1">
        <v>15.8</v>
      </c>
    </row>
    <row r="4779" spans="1:24" x14ac:dyDescent="0.25">
      <c r="A4779" s="22">
        <v>43130</v>
      </c>
      <c r="B4779" s="1">
        <v>45</v>
      </c>
      <c r="C4779" s="1">
        <v>32.6</v>
      </c>
      <c r="D4779" s="1">
        <v>41.5</v>
      </c>
      <c r="E4779" s="5"/>
      <c r="F4779" s="1">
        <v>18</v>
      </c>
      <c r="G4779" s="1">
        <v>22.5</v>
      </c>
      <c r="H4779" s="1">
        <v>27.1</v>
      </c>
      <c r="I4779" s="1">
        <v>25.8</v>
      </c>
      <c r="J4779" s="1"/>
      <c r="K4779" s="1">
        <v>37.6</v>
      </c>
      <c r="L4779" s="1">
        <v>43.18</v>
      </c>
      <c r="M4779" s="1">
        <v>43.4</v>
      </c>
      <c r="O4779" s="1">
        <v>39.116</v>
      </c>
      <c r="P4779" s="1"/>
      <c r="Q4779" s="1">
        <v>6.8</v>
      </c>
      <c r="R4779" s="1">
        <v>5.6</v>
      </c>
      <c r="S4779" s="1"/>
      <c r="T4779" s="1"/>
      <c r="U4779" s="1">
        <v>57</v>
      </c>
      <c r="X4779" s="1">
        <v>17.2</v>
      </c>
    </row>
    <row r="4780" spans="1:24" x14ac:dyDescent="0.25">
      <c r="A4780" s="22">
        <v>43131</v>
      </c>
      <c r="B4780" s="1">
        <v>4.5999999999999996</v>
      </c>
      <c r="C4780" s="1">
        <v>17.399999999999999</v>
      </c>
      <c r="D4780" s="1">
        <v>12.2</v>
      </c>
      <c r="E4780" s="5"/>
      <c r="F4780" s="1">
        <v>28.6</v>
      </c>
      <c r="G4780" s="1">
        <v>14.7</v>
      </c>
      <c r="H4780" s="1">
        <v>34</v>
      </c>
      <c r="I4780" s="1">
        <v>26</v>
      </c>
      <c r="J4780" s="1"/>
      <c r="K4780" s="1">
        <v>24</v>
      </c>
      <c r="L4780" s="1">
        <v>3.8099999999999996</v>
      </c>
      <c r="M4780" s="1">
        <v>22.8</v>
      </c>
      <c r="O4780" s="1">
        <v>14.224</v>
      </c>
      <c r="P4780" s="1"/>
      <c r="Q4780" s="1">
        <v>0.1</v>
      </c>
      <c r="R4780" s="1">
        <v>0</v>
      </c>
      <c r="S4780" s="1"/>
      <c r="T4780" s="1"/>
      <c r="U4780" s="1">
        <v>26</v>
      </c>
      <c r="X4780" s="1">
        <v>15.2</v>
      </c>
    </row>
    <row r="4781" spans="1:24" x14ac:dyDescent="0.25">
      <c r="A4781" s="22">
        <v>43132</v>
      </c>
      <c r="B4781" s="1">
        <v>0</v>
      </c>
      <c r="C4781" s="1"/>
      <c r="D4781" s="1">
        <v>0</v>
      </c>
      <c r="E4781" s="5"/>
      <c r="F4781" s="1">
        <v>0</v>
      </c>
      <c r="G4781" s="1">
        <v>1.9</v>
      </c>
      <c r="H4781" s="1">
        <v>3.1</v>
      </c>
      <c r="I4781" s="1"/>
      <c r="J4781" s="1"/>
      <c r="K4781" s="1">
        <v>7.3</v>
      </c>
      <c r="L4781" s="1"/>
      <c r="M4781" s="1">
        <v>0.6</v>
      </c>
      <c r="O4781" s="1"/>
      <c r="P4781" s="1"/>
      <c r="Q4781" s="1">
        <v>12.2</v>
      </c>
      <c r="R4781" s="1"/>
      <c r="S4781" s="1"/>
      <c r="T4781" s="1"/>
      <c r="U4781" s="1"/>
      <c r="X4781" s="1"/>
    </row>
    <row r="4782" spans="1:24" x14ac:dyDescent="0.25">
      <c r="A4782" s="22">
        <v>43133</v>
      </c>
      <c r="B4782" s="1">
        <v>23.8</v>
      </c>
      <c r="C4782" s="1"/>
      <c r="D4782" s="1">
        <v>8.9</v>
      </c>
      <c r="E4782" s="5"/>
      <c r="F4782" s="1">
        <v>18.5</v>
      </c>
      <c r="G4782" s="1">
        <v>6.1</v>
      </c>
      <c r="H4782" s="1">
        <v>17.399999999999999</v>
      </c>
      <c r="I4782" s="1"/>
      <c r="J4782" s="1"/>
      <c r="K4782" s="1">
        <v>21</v>
      </c>
      <c r="L4782" s="1"/>
      <c r="M4782" s="1">
        <v>15.3</v>
      </c>
      <c r="O4782" s="1"/>
      <c r="P4782" s="1"/>
      <c r="Q4782" s="1">
        <v>5.0999999999999996</v>
      </c>
      <c r="R4782" s="1"/>
      <c r="S4782" s="1"/>
      <c r="T4782" s="1"/>
      <c r="U4782" s="1"/>
      <c r="X4782" s="1"/>
    </row>
    <row r="4783" spans="1:24" x14ac:dyDescent="0.25">
      <c r="A4783" s="22">
        <v>43134</v>
      </c>
      <c r="B4783" s="1">
        <v>0</v>
      </c>
      <c r="C4783" s="1"/>
      <c r="D4783" s="1">
        <v>0</v>
      </c>
      <c r="E4783" s="5"/>
      <c r="F4783" s="1">
        <v>0</v>
      </c>
      <c r="G4783" s="1">
        <v>0</v>
      </c>
      <c r="H4783" s="1">
        <v>0</v>
      </c>
      <c r="I4783" s="1"/>
      <c r="J4783" s="1"/>
      <c r="K4783" s="1">
        <v>5.4</v>
      </c>
      <c r="L4783" s="1"/>
      <c r="M4783" s="1">
        <v>0.7</v>
      </c>
      <c r="O4783" s="1"/>
      <c r="P4783" s="1"/>
      <c r="Q4783" s="1">
        <v>1.9</v>
      </c>
      <c r="R4783" s="1"/>
      <c r="S4783" s="1">
        <v>34</v>
      </c>
      <c r="T4783" s="1"/>
      <c r="U4783" s="1"/>
      <c r="X4783" s="1"/>
    </row>
    <row r="4784" spans="1:24" x14ac:dyDescent="0.25">
      <c r="A4784" s="22">
        <v>43135</v>
      </c>
      <c r="B4784" s="1">
        <v>0</v>
      </c>
      <c r="C4784" s="1"/>
      <c r="D4784" s="1">
        <v>0</v>
      </c>
      <c r="E4784" s="5"/>
      <c r="F4784" s="1">
        <v>0</v>
      </c>
      <c r="G4784" s="1">
        <v>0.2</v>
      </c>
      <c r="H4784" s="1">
        <v>0</v>
      </c>
      <c r="I4784" s="1"/>
      <c r="J4784" s="1"/>
      <c r="K4784" s="1">
        <v>1.3</v>
      </c>
      <c r="L4784" s="1"/>
      <c r="M4784" s="1">
        <v>0</v>
      </c>
      <c r="O4784" s="1"/>
      <c r="P4784" s="1"/>
      <c r="Q4784" s="1">
        <v>4.5</v>
      </c>
      <c r="R4784" s="1"/>
      <c r="S4784" s="1"/>
      <c r="T4784" s="1"/>
      <c r="U4784" s="1"/>
      <c r="X4784" s="1"/>
    </row>
    <row r="4785" spans="1:24" x14ac:dyDescent="0.25">
      <c r="A4785" s="22">
        <v>43136</v>
      </c>
      <c r="B4785" s="1">
        <v>19.399999999999999</v>
      </c>
      <c r="C4785" s="1"/>
      <c r="D4785" s="1">
        <v>9.5</v>
      </c>
      <c r="E4785" s="5"/>
      <c r="F4785" s="1">
        <v>0</v>
      </c>
      <c r="G4785" s="1">
        <v>4.5999999999999996</v>
      </c>
      <c r="H4785" s="1">
        <v>3</v>
      </c>
      <c r="I4785" s="1"/>
      <c r="J4785" s="1"/>
      <c r="K4785" s="1">
        <v>0</v>
      </c>
      <c r="L4785" s="1"/>
      <c r="M4785" s="1">
        <v>7.7</v>
      </c>
      <c r="O4785" s="1"/>
      <c r="P4785" s="1"/>
      <c r="Q4785" s="1">
        <v>6.4</v>
      </c>
      <c r="R4785" s="1"/>
      <c r="S4785" s="1"/>
      <c r="T4785" s="1"/>
      <c r="U4785" s="1"/>
      <c r="X4785" s="1"/>
    </row>
    <row r="4786" spans="1:24" x14ac:dyDescent="0.25">
      <c r="A4786" s="22">
        <v>43137</v>
      </c>
      <c r="B4786" s="1">
        <v>0</v>
      </c>
      <c r="C4786" s="1"/>
      <c r="D4786" s="1">
        <v>12.2</v>
      </c>
      <c r="E4786" s="5"/>
      <c r="F4786" s="1">
        <v>11</v>
      </c>
      <c r="G4786" s="1">
        <v>4.2</v>
      </c>
      <c r="H4786" s="1">
        <v>10.3</v>
      </c>
      <c r="I4786" s="1"/>
      <c r="J4786" s="1"/>
      <c r="K4786" s="1">
        <v>7.2</v>
      </c>
      <c r="L4786" s="1"/>
      <c r="M4786" s="1">
        <v>20</v>
      </c>
      <c r="O4786" s="1"/>
      <c r="P4786" s="1"/>
      <c r="Q4786" s="1">
        <v>2.2000000000000002</v>
      </c>
      <c r="R4786" s="1"/>
      <c r="S4786" s="1"/>
      <c r="T4786" s="1"/>
      <c r="U4786" s="1"/>
      <c r="X4786" s="1"/>
    </row>
    <row r="4787" spans="1:24" x14ac:dyDescent="0.25">
      <c r="A4787" s="22">
        <v>43138</v>
      </c>
      <c r="B4787" s="1">
        <v>0</v>
      </c>
      <c r="C4787" s="1"/>
      <c r="D4787" s="1">
        <v>7</v>
      </c>
      <c r="E4787" s="5"/>
      <c r="F4787" s="1">
        <v>0</v>
      </c>
      <c r="G4787" s="1">
        <v>2.5</v>
      </c>
      <c r="H4787" s="1">
        <v>2.4</v>
      </c>
      <c r="I4787" s="1"/>
      <c r="J4787" s="1"/>
      <c r="K4787" s="1">
        <v>16.399999999999999</v>
      </c>
      <c r="L4787" s="1"/>
      <c r="M4787" s="1">
        <v>10.6</v>
      </c>
      <c r="O4787" s="1"/>
      <c r="P4787" s="1"/>
      <c r="Q4787" s="1">
        <v>10</v>
      </c>
      <c r="R4787" s="1"/>
      <c r="S4787" s="1"/>
      <c r="T4787" s="1"/>
      <c r="U4787" s="1"/>
      <c r="X4787" s="1"/>
    </row>
    <row r="4788" spans="1:24" x14ac:dyDescent="0.25">
      <c r="A4788" s="22">
        <v>43139</v>
      </c>
      <c r="B4788" s="1">
        <v>20.8</v>
      </c>
      <c r="C4788" s="1"/>
      <c r="D4788" s="1">
        <v>15.7</v>
      </c>
      <c r="E4788" s="5"/>
      <c r="F4788" s="1">
        <v>13</v>
      </c>
      <c r="G4788" s="1">
        <v>9.8000000000000007</v>
      </c>
      <c r="H4788" s="1">
        <v>16.3</v>
      </c>
      <c r="I4788" s="1"/>
      <c r="J4788" s="1"/>
      <c r="K4788" s="1">
        <v>6.4</v>
      </c>
      <c r="L4788" s="1"/>
      <c r="M4788" s="1">
        <v>27.1</v>
      </c>
      <c r="O4788" s="1"/>
      <c r="P4788" s="1"/>
      <c r="Q4788" s="1">
        <v>7.3</v>
      </c>
      <c r="R4788" s="1"/>
      <c r="S4788" s="1">
        <v>4</v>
      </c>
      <c r="T4788" s="1"/>
      <c r="U4788" s="1"/>
      <c r="X4788" s="1"/>
    </row>
    <row r="4789" spans="1:24" x14ac:dyDescent="0.25">
      <c r="A4789" s="22">
        <v>43140</v>
      </c>
      <c r="B4789" s="1">
        <v>0.5</v>
      </c>
      <c r="C4789" s="1"/>
      <c r="D4789" s="1">
        <v>2</v>
      </c>
      <c r="E4789" s="5"/>
      <c r="F4789" s="1">
        <v>2.4</v>
      </c>
      <c r="G4789" s="1">
        <v>1.3</v>
      </c>
      <c r="H4789" s="1">
        <v>2.9</v>
      </c>
      <c r="I4789" s="1"/>
      <c r="J4789" s="1"/>
      <c r="K4789" s="1">
        <v>0.8</v>
      </c>
      <c r="L4789" s="1"/>
      <c r="M4789" s="1">
        <v>3.7</v>
      </c>
      <c r="O4789" s="1"/>
      <c r="P4789" s="1"/>
      <c r="Q4789" s="1">
        <v>0</v>
      </c>
      <c r="R4789" s="1"/>
      <c r="S4789" s="1"/>
      <c r="T4789" s="1"/>
      <c r="U4789" s="1"/>
      <c r="X4789" s="1"/>
    </row>
    <row r="4790" spans="1:24" x14ac:dyDescent="0.25">
      <c r="A4790" s="22">
        <v>43141</v>
      </c>
      <c r="B4790" s="1">
        <v>0</v>
      </c>
      <c r="C4790" s="1"/>
      <c r="D4790" s="1">
        <v>0</v>
      </c>
      <c r="E4790" s="5"/>
      <c r="F4790" s="1">
        <v>0</v>
      </c>
      <c r="G4790" s="1">
        <v>0</v>
      </c>
      <c r="H4790" s="1">
        <v>0</v>
      </c>
      <c r="I4790" s="1"/>
      <c r="J4790" s="1"/>
      <c r="K4790" s="1">
        <v>0</v>
      </c>
      <c r="L4790" s="1"/>
      <c r="M4790" s="1">
        <v>0</v>
      </c>
      <c r="O4790" s="1"/>
      <c r="P4790" s="1"/>
      <c r="Q4790" s="1">
        <v>0.1</v>
      </c>
      <c r="R4790" s="1"/>
      <c r="S4790" s="1"/>
      <c r="T4790" s="1"/>
      <c r="U4790" s="1"/>
      <c r="X4790" s="1"/>
    </row>
    <row r="4791" spans="1:24" x14ac:dyDescent="0.25">
      <c r="A4791" s="22">
        <v>43142</v>
      </c>
      <c r="B4791" s="1">
        <v>0</v>
      </c>
      <c r="C4791" s="1"/>
      <c r="D4791" s="1">
        <v>0.8</v>
      </c>
      <c r="E4791" s="5"/>
      <c r="F4791" s="1">
        <v>0</v>
      </c>
      <c r="G4791" s="1">
        <v>0</v>
      </c>
      <c r="H4791" s="1">
        <v>4.0999999999999996</v>
      </c>
      <c r="I4791" s="1"/>
      <c r="J4791" s="1"/>
      <c r="K4791" s="1">
        <v>0</v>
      </c>
      <c r="L4791" s="1"/>
      <c r="M4791" s="1">
        <v>2.5</v>
      </c>
      <c r="O4791" s="1"/>
      <c r="P4791" s="1"/>
      <c r="Q4791" s="1">
        <v>4.4000000000000004</v>
      </c>
      <c r="R4791" s="1"/>
      <c r="S4791" s="1"/>
      <c r="T4791" s="1"/>
      <c r="U4791" s="1"/>
      <c r="X4791" s="1"/>
    </row>
    <row r="4792" spans="1:24" x14ac:dyDescent="0.25">
      <c r="A4792" s="22">
        <v>43143</v>
      </c>
      <c r="B4792" s="1">
        <v>0</v>
      </c>
      <c r="C4792" s="1"/>
      <c r="D4792" s="1">
        <v>7.5</v>
      </c>
      <c r="E4792" s="5"/>
      <c r="F4792" s="1">
        <v>0</v>
      </c>
      <c r="G4792" s="1">
        <v>3.6</v>
      </c>
      <c r="H4792" s="1">
        <v>1</v>
      </c>
      <c r="I4792" s="1"/>
      <c r="J4792" s="1"/>
      <c r="K4792" s="1">
        <v>0</v>
      </c>
      <c r="L4792" s="1"/>
      <c r="M4792" s="1">
        <v>4.5999999999999996</v>
      </c>
      <c r="O4792" s="1"/>
      <c r="P4792" s="1"/>
      <c r="Q4792" s="1">
        <v>3.3</v>
      </c>
      <c r="R4792" s="1"/>
      <c r="S4792" s="1"/>
      <c r="T4792" s="1"/>
      <c r="U4792" s="1"/>
      <c r="X4792" s="1"/>
    </row>
    <row r="4793" spans="1:24" x14ac:dyDescent="0.25">
      <c r="A4793" s="22">
        <v>43144</v>
      </c>
      <c r="B4793" s="1">
        <v>0</v>
      </c>
      <c r="C4793" s="1"/>
      <c r="D4793" s="1">
        <v>7.4</v>
      </c>
      <c r="E4793" s="5"/>
      <c r="F4793" s="1">
        <v>0</v>
      </c>
      <c r="G4793" s="1">
        <v>0</v>
      </c>
      <c r="H4793" s="1">
        <v>4</v>
      </c>
      <c r="I4793" s="1"/>
      <c r="J4793" s="1"/>
      <c r="K4793" s="1">
        <v>7.9</v>
      </c>
      <c r="L4793" s="1"/>
      <c r="M4793" s="1">
        <v>4</v>
      </c>
      <c r="O4793" s="1"/>
      <c r="P4793" s="1"/>
      <c r="Q4793" s="1">
        <v>1.1000000000000001</v>
      </c>
      <c r="R4793" s="1"/>
      <c r="S4793" s="1"/>
      <c r="T4793" s="1"/>
      <c r="U4793" s="1"/>
      <c r="X4793" s="1"/>
    </row>
    <row r="4794" spans="1:24" x14ac:dyDescent="0.25">
      <c r="A4794" s="22">
        <v>43145</v>
      </c>
      <c r="B4794" s="1">
        <v>16</v>
      </c>
      <c r="C4794" s="1"/>
      <c r="D4794" s="1">
        <v>3.7</v>
      </c>
      <c r="E4794" s="5"/>
      <c r="F4794" s="1">
        <v>0</v>
      </c>
      <c r="G4794" s="1">
        <v>4.5999999999999996</v>
      </c>
      <c r="H4794" s="1">
        <v>10.5</v>
      </c>
      <c r="I4794" s="1"/>
      <c r="J4794" s="1"/>
      <c r="K4794" s="1">
        <v>11.5</v>
      </c>
      <c r="L4794" s="1"/>
      <c r="M4794" s="1">
        <v>11.4</v>
      </c>
      <c r="O4794" s="1"/>
      <c r="P4794" s="1"/>
      <c r="Q4794" s="1">
        <v>2.2000000000000002</v>
      </c>
      <c r="R4794" s="1"/>
      <c r="S4794" s="1"/>
      <c r="T4794" s="1"/>
      <c r="U4794" s="1"/>
      <c r="X4794" s="1"/>
    </row>
    <row r="4795" spans="1:24" x14ac:dyDescent="0.25">
      <c r="A4795" s="22">
        <v>43146</v>
      </c>
      <c r="B4795" s="1">
        <v>0</v>
      </c>
      <c r="C4795" s="1"/>
      <c r="D4795" s="1">
        <v>0</v>
      </c>
      <c r="E4795" s="5"/>
      <c r="F4795" s="1"/>
      <c r="G4795" s="1">
        <v>2.4</v>
      </c>
      <c r="H4795" s="1">
        <v>2.5</v>
      </c>
      <c r="I4795" s="1"/>
      <c r="J4795" s="1"/>
      <c r="K4795" s="1">
        <v>0</v>
      </c>
      <c r="L4795" s="1"/>
      <c r="M4795" s="1">
        <v>4.0999999999999996</v>
      </c>
      <c r="O4795" s="1"/>
      <c r="P4795" s="1"/>
      <c r="Q4795" s="1">
        <v>3.3</v>
      </c>
      <c r="R4795" s="1"/>
      <c r="S4795" s="1">
        <v>2</v>
      </c>
      <c r="T4795" s="1"/>
      <c r="U4795" s="1"/>
      <c r="X4795" s="1"/>
    </row>
    <row r="4796" spans="1:24" x14ac:dyDescent="0.25">
      <c r="A4796" s="22">
        <v>43147</v>
      </c>
      <c r="B4796" s="1">
        <v>0</v>
      </c>
      <c r="C4796" s="1"/>
      <c r="D4796" s="1">
        <v>0</v>
      </c>
      <c r="E4796" s="5"/>
      <c r="F4796" s="1">
        <v>2.2000000000000002</v>
      </c>
      <c r="G4796" s="1">
        <v>2.2000000000000002</v>
      </c>
      <c r="H4796" s="1">
        <v>1.5</v>
      </c>
      <c r="I4796" s="1"/>
      <c r="J4796" s="1"/>
      <c r="K4796" s="1">
        <v>4.5</v>
      </c>
      <c r="L4796" s="1"/>
      <c r="M4796" s="1">
        <v>2.4</v>
      </c>
      <c r="O4796" s="1"/>
      <c r="P4796" s="1"/>
      <c r="Q4796" s="1">
        <v>9.1</v>
      </c>
      <c r="R4796" s="1"/>
      <c r="S4796" s="1"/>
      <c r="T4796" s="1"/>
      <c r="U4796" s="1"/>
      <c r="X4796" s="1"/>
    </row>
    <row r="4797" spans="1:24" x14ac:dyDescent="0.25">
      <c r="A4797" s="22">
        <v>43148</v>
      </c>
      <c r="B4797" s="1">
        <v>0</v>
      </c>
      <c r="C4797" s="1"/>
      <c r="D4797" s="1">
        <v>0</v>
      </c>
      <c r="E4797" s="5"/>
      <c r="F4797" s="1">
        <v>14</v>
      </c>
      <c r="G4797" s="1">
        <v>6.7</v>
      </c>
      <c r="H4797" s="1">
        <v>13.3</v>
      </c>
      <c r="I4797" s="1"/>
      <c r="J4797" s="1"/>
      <c r="K4797" s="1">
        <v>6.4</v>
      </c>
      <c r="L4797" s="1"/>
      <c r="M4797" s="1">
        <v>6.8</v>
      </c>
      <c r="O4797" s="1"/>
      <c r="P4797" s="1"/>
      <c r="Q4797" s="1">
        <v>0.6</v>
      </c>
      <c r="R4797" s="1"/>
      <c r="S4797" s="1"/>
      <c r="T4797" s="1"/>
      <c r="U4797" s="1"/>
      <c r="X4797" s="1"/>
    </row>
    <row r="4798" spans="1:24" x14ac:dyDescent="0.25">
      <c r="A4798" s="22">
        <v>43149</v>
      </c>
      <c r="B4798" s="1">
        <v>0</v>
      </c>
      <c r="C4798" s="1"/>
      <c r="D4798" s="1">
        <v>3.1</v>
      </c>
      <c r="E4798" s="5"/>
      <c r="F4798" s="1">
        <v>0</v>
      </c>
      <c r="G4798" s="1">
        <v>1.2</v>
      </c>
      <c r="H4798" s="1">
        <v>3.7</v>
      </c>
      <c r="I4798" s="1"/>
      <c r="J4798" s="1"/>
      <c r="K4798" s="1">
        <v>0.6</v>
      </c>
      <c r="L4798" s="1"/>
      <c r="M4798" s="1">
        <v>11.8</v>
      </c>
      <c r="O4798" s="1"/>
      <c r="P4798" s="1"/>
      <c r="Q4798" s="1">
        <v>6.7</v>
      </c>
      <c r="R4798" s="1"/>
      <c r="S4798" s="1"/>
      <c r="T4798" s="1"/>
      <c r="U4798" s="1"/>
      <c r="X4798" s="1"/>
    </row>
    <row r="4799" spans="1:24" x14ac:dyDescent="0.25">
      <c r="A4799" s="22">
        <v>43150</v>
      </c>
      <c r="B4799" s="1">
        <v>18</v>
      </c>
      <c r="C4799" s="1"/>
      <c r="D4799" s="1">
        <v>4.9000000000000004</v>
      </c>
      <c r="E4799" s="5"/>
      <c r="F4799" s="1">
        <v>20.8</v>
      </c>
      <c r="G4799" s="1">
        <v>14.7</v>
      </c>
      <c r="H4799" s="1">
        <v>13.4</v>
      </c>
      <c r="I4799" s="1"/>
      <c r="J4799" s="1"/>
      <c r="K4799" s="1">
        <v>16.2</v>
      </c>
      <c r="L4799" s="1"/>
      <c r="M4799" s="1">
        <v>22.1</v>
      </c>
      <c r="O4799" s="1"/>
      <c r="P4799" s="1"/>
      <c r="Q4799" s="1">
        <v>5.0999999999999996</v>
      </c>
      <c r="R4799" s="1"/>
      <c r="S4799" s="1"/>
      <c r="T4799" s="1"/>
      <c r="U4799" s="1"/>
      <c r="X4799" s="1"/>
    </row>
    <row r="4800" spans="1:24" x14ac:dyDescent="0.25">
      <c r="A4800" s="22">
        <v>43151</v>
      </c>
      <c r="B4800" s="1">
        <v>0</v>
      </c>
      <c r="C4800" s="1"/>
      <c r="D4800" s="1">
        <v>5.3</v>
      </c>
      <c r="E4800" s="5"/>
      <c r="F4800" s="1">
        <v>0</v>
      </c>
      <c r="G4800" s="1">
        <v>1.6</v>
      </c>
      <c r="H4800" s="1">
        <v>0.5</v>
      </c>
      <c r="I4800" s="1"/>
      <c r="J4800" s="1"/>
      <c r="K4800" s="1">
        <v>4.2</v>
      </c>
      <c r="L4800" s="1"/>
      <c r="M4800" s="1">
        <v>2.2000000000000002</v>
      </c>
      <c r="O4800" s="1"/>
      <c r="P4800" s="1"/>
      <c r="Q4800" s="1">
        <v>2.5</v>
      </c>
      <c r="R4800" s="1"/>
      <c r="S4800" s="1"/>
      <c r="T4800" s="1"/>
      <c r="U4800" s="1"/>
      <c r="X4800" s="1"/>
    </row>
    <row r="4801" spans="1:24" x14ac:dyDescent="0.25">
      <c r="A4801" s="22">
        <v>43152</v>
      </c>
      <c r="B4801" s="1">
        <v>8.6999999999999993</v>
      </c>
      <c r="C4801" s="1"/>
      <c r="D4801" s="1">
        <v>5.4</v>
      </c>
      <c r="E4801" s="5"/>
      <c r="F4801" s="1">
        <v>0</v>
      </c>
      <c r="G4801" s="1">
        <v>1.2</v>
      </c>
      <c r="H4801" s="1">
        <v>4</v>
      </c>
      <c r="I4801" s="1"/>
      <c r="J4801" s="1"/>
      <c r="K4801" s="1">
        <v>9.3000000000000007</v>
      </c>
      <c r="L4801" s="1"/>
      <c r="M4801" s="1">
        <v>3.7</v>
      </c>
      <c r="O4801" s="1"/>
      <c r="P4801" s="1"/>
      <c r="Q4801" s="1">
        <v>8.3000000000000007</v>
      </c>
      <c r="R4801" s="1"/>
      <c r="S4801" s="1"/>
      <c r="T4801" s="1"/>
      <c r="U4801" s="1"/>
      <c r="X4801" s="1"/>
    </row>
    <row r="4802" spans="1:24" x14ac:dyDescent="0.25">
      <c r="A4802" s="22">
        <v>43153</v>
      </c>
      <c r="B4802" s="1">
        <v>0</v>
      </c>
      <c r="C4802" s="1"/>
      <c r="D4802" s="1">
        <v>5.4</v>
      </c>
      <c r="E4802" s="5"/>
      <c r="F4802" s="1">
        <v>5.5</v>
      </c>
      <c r="G4802" s="1">
        <v>5.4</v>
      </c>
      <c r="H4802" s="1">
        <v>4.8</v>
      </c>
      <c r="I4802" s="1"/>
      <c r="J4802" s="1"/>
      <c r="K4802" s="1">
        <v>0.45</v>
      </c>
      <c r="L4802" s="1"/>
      <c r="M4802" s="1">
        <v>6.9</v>
      </c>
      <c r="O4802" s="1"/>
      <c r="P4802" s="1"/>
      <c r="Q4802" s="1">
        <v>2.7</v>
      </c>
      <c r="R4802" s="1"/>
      <c r="S4802" s="1"/>
      <c r="T4802" s="1"/>
      <c r="U4802" s="1"/>
      <c r="X4802" s="1"/>
    </row>
    <row r="4803" spans="1:24" x14ac:dyDescent="0.25">
      <c r="A4803" s="22">
        <v>43154</v>
      </c>
      <c r="B4803" s="1">
        <v>0</v>
      </c>
      <c r="C4803" s="1"/>
      <c r="D4803" s="1">
        <v>6</v>
      </c>
      <c r="E4803" s="5"/>
      <c r="F4803" s="1">
        <v>0</v>
      </c>
      <c r="G4803" s="1">
        <v>0.6</v>
      </c>
      <c r="H4803" s="1">
        <v>2</v>
      </c>
      <c r="I4803" s="1"/>
      <c r="J4803" s="1"/>
      <c r="K4803" s="1">
        <v>8.6999999999999993</v>
      </c>
      <c r="L4803" s="1"/>
      <c r="M4803" s="1">
        <v>3.1</v>
      </c>
      <c r="O4803" s="1"/>
      <c r="P4803" s="1"/>
      <c r="Q4803" s="1">
        <v>80.5</v>
      </c>
      <c r="R4803" s="1"/>
      <c r="S4803" s="1"/>
      <c r="T4803" s="1"/>
      <c r="U4803" s="1"/>
      <c r="X4803" s="1"/>
    </row>
    <row r="4804" spans="1:24" x14ac:dyDescent="0.25">
      <c r="A4804" s="22">
        <v>43155</v>
      </c>
      <c r="B4804" s="1">
        <v>0</v>
      </c>
      <c r="C4804" s="1"/>
      <c r="D4804" s="1">
        <v>17.7</v>
      </c>
      <c r="E4804" s="5"/>
      <c r="F4804" s="1">
        <v>76.8</v>
      </c>
      <c r="G4804" s="1">
        <v>25.2</v>
      </c>
      <c r="H4804" s="1">
        <v>12.3</v>
      </c>
      <c r="I4804" s="1"/>
      <c r="J4804" s="1"/>
      <c r="K4804" s="1">
        <v>3.6</v>
      </c>
      <c r="L4804" s="1"/>
      <c r="M4804" s="1">
        <v>73.7</v>
      </c>
      <c r="O4804" s="1"/>
      <c r="P4804" s="1"/>
      <c r="Q4804" s="1">
        <v>4.7</v>
      </c>
      <c r="R4804" s="1"/>
      <c r="S4804" s="1">
        <v>7</v>
      </c>
      <c r="T4804" s="1"/>
      <c r="U4804" s="1"/>
      <c r="X4804" s="1"/>
    </row>
    <row r="4805" spans="1:24" x14ac:dyDescent="0.25">
      <c r="A4805" s="22">
        <v>43156</v>
      </c>
      <c r="B4805" s="1">
        <v>0</v>
      </c>
      <c r="C4805" s="1"/>
      <c r="D4805" s="1">
        <v>6.8</v>
      </c>
      <c r="E4805" s="5"/>
      <c r="F4805" s="1">
        <v>8.4</v>
      </c>
      <c r="G4805" s="1">
        <v>4.9000000000000004</v>
      </c>
      <c r="H4805" s="1">
        <v>8.6</v>
      </c>
      <c r="I4805" s="1"/>
      <c r="J4805" s="1"/>
      <c r="K4805" s="1">
        <v>88.5</v>
      </c>
      <c r="L4805" s="1"/>
      <c r="M4805" s="1">
        <v>0.6</v>
      </c>
      <c r="O4805" s="1"/>
      <c r="P4805" s="1"/>
      <c r="Q4805" s="1">
        <v>0</v>
      </c>
      <c r="R4805" s="1"/>
      <c r="S4805" s="1"/>
      <c r="T4805" s="1"/>
      <c r="U4805" s="1"/>
      <c r="X4805" s="1"/>
    </row>
    <row r="4806" spans="1:24" x14ac:dyDescent="0.25">
      <c r="A4806" s="22">
        <v>43157</v>
      </c>
      <c r="B4806" s="1">
        <v>0</v>
      </c>
      <c r="C4806" s="1"/>
      <c r="D4806" s="1">
        <v>0</v>
      </c>
      <c r="E4806" s="5"/>
      <c r="F4806" s="1">
        <v>0</v>
      </c>
      <c r="G4806" s="1">
        <v>0</v>
      </c>
      <c r="H4806" s="1">
        <v>0.5</v>
      </c>
      <c r="I4806" s="1"/>
      <c r="J4806" s="1"/>
      <c r="K4806" s="1">
        <v>6.7</v>
      </c>
      <c r="L4806" s="1"/>
      <c r="M4806" s="1">
        <v>7.7</v>
      </c>
      <c r="O4806" s="1"/>
      <c r="P4806" s="1"/>
      <c r="Q4806" s="1">
        <v>0</v>
      </c>
      <c r="R4806" s="1"/>
      <c r="S4806" s="1"/>
      <c r="T4806" s="1"/>
      <c r="U4806" s="1"/>
      <c r="X4806" s="1"/>
    </row>
    <row r="4807" spans="1:24" x14ac:dyDescent="0.25">
      <c r="A4807" s="22">
        <v>43158</v>
      </c>
      <c r="B4807" s="1">
        <v>4.2</v>
      </c>
      <c r="C4807" s="1"/>
      <c r="D4807" s="1">
        <v>0.5</v>
      </c>
      <c r="E4807" s="5"/>
      <c r="F4807" s="1">
        <v>0</v>
      </c>
      <c r="G4807" s="1">
        <v>0</v>
      </c>
      <c r="H4807" s="1">
        <v>0</v>
      </c>
      <c r="I4807" s="1"/>
      <c r="J4807" s="1"/>
      <c r="K4807" s="1">
        <v>0.6</v>
      </c>
      <c r="L4807" s="1"/>
      <c r="M4807" s="1">
        <v>0</v>
      </c>
      <c r="O4807" s="1"/>
      <c r="P4807" s="1"/>
      <c r="Q4807" s="1">
        <v>0.2</v>
      </c>
      <c r="R4807" s="1"/>
      <c r="S4807" s="1"/>
      <c r="T4807" s="1"/>
      <c r="U4807" s="1"/>
      <c r="X4807" s="1"/>
    </row>
    <row r="4808" spans="1:24" x14ac:dyDescent="0.25">
      <c r="A4808" s="22">
        <v>43159</v>
      </c>
      <c r="B4808" s="1">
        <v>0</v>
      </c>
      <c r="C4808" s="1"/>
      <c r="D4808" s="1">
        <v>0</v>
      </c>
      <c r="E4808" s="5"/>
      <c r="F4808" s="1">
        <v>0</v>
      </c>
      <c r="G4808" s="1">
        <v>0.3</v>
      </c>
      <c r="H4808" s="1">
        <v>0</v>
      </c>
      <c r="I4808" s="1"/>
      <c r="J4808" s="1"/>
      <c r="K4808" s="1">
        <v>1.6</v>
      </c>
      <c r="L4808" s="1"/>
      <c r="M4808" s="1">
        <v>10</v>
      </c>
      <c r="O4808" s="1"/>
      <c r="P4808" s="1"/>
      <c r="Q4808" s="1">
        <v>1.5</v>
      </c>
      <c r="R4808" s="1"/>
      <c r="S4808" s="1"/>
      <c r="T4808" s="1"/>
      <c r="U4808" s="1"/>
      <c r="X4808" s="1"/>
    </row>
    <row r="4809" spans="1:24" x14ac:dyDescent="0.25">
      <c r="A4809" s="22">
        <v>43160</v>
      </c>
      <c r="B4809" s="30" t="s">
        <v>9</v>
      </c>
      <c r="C4809" s="1">
        <v>0</v>
      </c>
      <c r="D4809" s="1"/>
      <c r="E4809" s="5"/>
      <c r="F4809" s="1">
        <v>0</v>
      </c>
      <c r="G4809" s="1">
        <v>0</v>
      </c>
      <c r="H4809" s="1">
        <v>0</v>
      </c>
      <c r="I4809" s="1">
        <v>0</v>
      </c>
      <c r="J4809" s="30" t="s">
        <v>9</v>
      </c>
      <c r="K4809" s="1">
        <v>0</v>
      </c>
      <c r="L4809" s="1">
        <v>1.778</v>
      </c>
      <c r="M4809" s="1">
        <v>0</v>
      </c>
      <c r="O4809" s="1">
        <v>4.0640000000000001</v>
      </c>
      <c r="P4809" s="1">
        <v>0.9</v>
      </c>
      <c r="Q4809" s="1">
        <v>0.7</v>
      </c>
      <c r="R4809" s="1">
        <v>3.4</v>
      </c>
      <c r="S4809" s="1"/>
      <c r="T4809" s="1"/>
      <c r="U4809" s="1">
        <v>0</v>
      </c>
      <c r="X4809" s="1">
        <v>0.3</v>
      </c>
    </row>
    <row r="4810" spans="1:24" x14ac:dyDescent="0.25">
      <c r="A4810" s="22">
        <v>43161</v>
      </c>
      <c r="B4810" s="30" t="s">
        <v>9</v>
      </c>
      <c r="C4810" s="1">
        <v>0</v>
      </c>
      <c r="D4810" s="1"/>
      <c r="E4810" s="5"/>
      <c r="F4810" s="1">
        <v>0</v>
      </c>
      <c r="G4810" s="1">
        <v>0</v>
      </c>
      <c r="H4810" s="1">
        <v>0</v>
      </c>
      <c r="I4810" s="1">
        <v>0.6</v>
      </c>
      <c r="J4810" s="30" t="s">
        <v>9</v>
      </c>
      <c r="K4810" s="1">
        <v>0.1</v>
      </c>
      <c r="L4810" s="1">
        <v>5.8419999999999996</v>
      </c>
      <c r="M4810" s="1">
        <v>0.3</v>
      </c>
      <c r="O4810" s="1">
        <v>0</v>
      </c>
      <c r="P4810" s="1">
        <v>1.5</v>
      </c>
      <c r="Q4810" s="1">
        <v>0.4</v>
      </c>
      <c r="R4810" s="1">
        <v>0.5</v>
      </c>
      <c r="S4810" s="1"/>
      <c r="T4810" s="1"/>
      <c r="U4810" s="1">
        <v>0</v>
      </c>
      <c r="X4810" s="1">
        <v>0.5</v>
      </c>
    </row>
    <row r="4811" spans="1:24" x14ac:dyDescent="0.25">
      <c r="A4811" s="22">
        <v>43162</v>
      </c>
      <c r="B4811" s="30" t="s">
        <v>9</v>
      </c>
      <c r="C4811" s="1">
        <v>0</v>
      </c>
      <c r="D4811" s="1"/>
      <c r="E4811" s="5"/>
      <c r="F4811" s="1">
        <v>0</v>
      </c>
      <c r="G4811" s="1">
        <v>0</v>
      </c>
      <c r="H4811" s="1">
        <v>0</v>
      </c>
      <c r="I4811" s="1">
        <v>0</v>
      </c>
      <c r="J4811" s="30" t="s">
        <v>9</v>
      </c>
      <c r="K4811" s="1">
        <v>0</v>
      </c>
      <c r="L4811" s="1">
        <v>0</v>
      </c>
      <c r="M4811" s="1">
        <v>0</v>
      </c>
      <c r="O4811" s="1">
        <v>0</v>
      </c>
      <c r="P4811" s="1">
        <v>1.1000000000000001</v>
      </c>
      <c r="Q4811" s="1">
        <v>0</v>
      </c>
      <c r="R4811" s="1">
        <v>0</v>
      </c>
      <c r="S4811" s="1"/>
      <c r="T4811" s="1"/>
      <c r="U4811" s="1">
        <v>0</v>
      </c>
      <c r="X4811" s="1">
        <v>0</v>
      </c>
    </row>
    <row r="4812" spans="1:24" x14ac:dyDescent="0.25">
      <c r="A4812" s="22">
        <v>43163</v>
      </c>
      <c r="B4812" s="30" t="s">
        <v>9</v>
      </c>
      <c r="C4812" s="1">
        <v>0</v>
      </c>
      <c r="D4812" s="1"/>
      <c r="E4812" s="5"/>
      <c r="F4812" s="1">
        <v>0</v>
      </c>
      <c r="G4812" s="1">
        <v>0</v>
      </c>
      <c r="H4812" s="1">
        <v>0</v>
      </c>
      <c r="I4812" s="1">
        <v>0</v>
      </c>
      <c r="J4812" s="30" t="s">
        <v>9</v>
      </c>
      <c r="K4812" s="1">
        <v>0</v>
      </c>
      <c r="L4812" s="1">
        <v>0</v>
      </c>
      <c r="M4812" s="1">
        <v>0</v>
      </c>
      <c r="O4812" s="1">
        <v>0</v>
      </c>
      <c r="P4812" s="1">
        <v>0</v>
      </c>
      <c r="Q4812" s="1">
        <v>7.4</v>
      </c>
      <c r="R4812" s="1">
        <v>0</v>
      </c>
      <c r="S4812" s="1"/>
      <c r="T4812" s="1"/>
      <c r="U4812" s="1">
        <v>0</v>
      </c>
      <c r="X4812" s="1">
        <v>0</v>
      </c>
    </row>
    <row r="4813" spans="1:24" x14ac:dyDescent="0.25">
      <c r="A4813" s="22">
        <v>43164</v>
      </c>
      <c r="B4813" s="30" t="s">
        <v>9</v>
      </c>
      <c r="C4813" s="1">
        <v>0</v>
      </c>
      <c r="D4813" s="1"/>
      <c r="E4813" s="5"/>
      <c r="F4813" s="1">
        <v>0</v>
      </c>
      <c r="G4813" s="1">
        <v>0.7</v>
      </c>
      <c r="H4813" s="1">
        <v>0</v>
      </c>
      <c r="I4813" s="1">
        <v>0</v>
      </c>
      <c r="J4813" s="30" t="s">
        <v>9</v>
      </c>
      <c r="K4813" s="1">
        <v>85.3</v>
      </c>
      <c r="L4813" s="1">
        <v>2.794</v>
      </c>
      <c r="M4813" s="1">
        <v>1.1000000000000001</v>
      </c>
      <c r="O4813" s="1">
        <v>0</v>
      </c>
      <c r="P4813" s="1">
        <v>0.7</v>
      </c>
      <c r="Q4813" s="1">
        <v>205.1</v>
      </c>
      <c r="R4813" s="1">
        <v>4.4000000000000004</v>
      </c>
      <c r="S4813" s="1"/>
      <c r="T4813" s="1"/>
      <c r="U4813" s="1">
        <v>7</v>
      </c>
      <c r="X4813" s="1">
        <v>2.8</v>
      </c>
    </row>
    <row r="4814" spans="1:24" x14ac:dyDescent="0.25">
      <c r="A4814" s="22">
        <v>43165</v>
      </c>
      <c r="B4814" s="1">
        <v>60.3</v>
      </c>
      <c r="C4814" s="1">
        <v>0</v>
      </c>
      <c r="D4814" s="1"/>
      <c r="E4814" s="5"/>
      <c r="F4814" s="1">
        <v>40</v>
      </c>
      <c r="G4814" s="4">
        <v>4.9000000000000004</v>
      </c>
      <c r="H4814" s="1">
        <v>50.1</v>
      </c>
      <c r="I4814" s="1">
        <v>58.4</v>
      </c>
      <c r="J4814" s="1">
        <v>61</v>
      </c>
      <c r="K4814" s="1">
        <v>1.2</v>
      </c>
      <c r="L4814" s="1">
        <v>206.50200000000001</v>
      </c>
      <c r="M4814" s="1">
        <v>45</v>
      </c>
      <c r="O4814" s="1">
        <v>57.403999999999989</v>
      </c>
      <c r="P4814" s="1">
        <v>182.4</v>
      </c>
      <c r="Q4814" s="1">
        <v>0</v>
      </c>
      <c r="R4814" s="1">
        <v>144.1</v>
      </c>
      <c r="S4814" s="1"/>
      <c r="T4814" s="1"/>
      <c r="U4814" s="1">
        <v>113</v>
      </c>
      <c r="X4814" s="1">
        <v>58.5</v>
      </c>
    </row>
    <row r="4815" spans="1:24" x14ac:dyDescent="0.25">
      <c r="A4815" s="22">
        <v>43166</v>
      </c>
      <c r="B4815" s="30" t="s">
        <v>9</v>
      </c>
      <c r="C4815" s="1">
        <v>0</v>
      </c>
      <c r="D4815" s="1"/>
      <c r="E4815" s="5"/>
      <c r="F4815" s="1">
        <v>6</v>
      </c>
      <c r="G4815" s="1">
        <v>0.6</v>
      </c>
      <c r="H4815" s="1">
        <v>1.1000000000000001</v>
      </c>
      <c r="I4815" s="1">
        <v>5.2</v>
      </c>
      <c r="J4815" s="30" t="s">
        <v>9</v>
      </c>
      <c r="K4815" s="1">
        <v>0.1</v>
      </c>
      <c r="L4815" s="1">
        <v>0.7619999999999999</v>
      </c>
      <c r="M4815" s="1">
        <v>1.5</v>
      </c>
      <c r="O4815" s="1">
        <v>3.556</v>
      </c>
      <c r="P4815" s="1">
        <v>0.6</v>
      </c>
      <c r="Q4815" s="1">
        <v>0</v>
      </c>
      <c r="R4815" s="1">
        <v>0</v>
      </c>
      <c r="S4815" s="1"/>
      <c r="T4815" s="1"/>
      <c r="U4815" s="1">
        <v>0</v>
      </c>
      <c r="X4815" s="1">
        <v>0.5</v>
      </c>
    </row>
    <row r="4816" spans="1:24" x14ac:dyDescent="0.25">
      <c r="A4816" s="22">
        <v>43167</v>
      </c>
      <c r="B4816" s="30" t="s">
        <v>9</v>
      </c>
      <c r="C4816" s="1">
        <v>0</v>
      </c>
      <c r="D4816" s="1"/>
      <c r="E4816" s="5"/>
      <c r="F4816" s="1">
        <v>0</v>
      </c>
      <c r="G4816" s="1">
        <v>0</v>
      </c>
      <c r="H4816" s="1">
        <v>0</v>
      </c>
      <c r="I4816" s="1">
        <v>0</v>
      </c>
      <c r="J4816" s="30" t="s">
        <v>9</v>
      </c>
      <c r="K4816" s="1">
        <v>0</v>
      </c>
      <c r="L4816" s="1">
        <v>0.50800000000000001</v>
      </c>
      <c r="M4816" s="1">
        <v>0</v>
      </c>
      <c r="O4816" s="1">
        <v>0</v>
      </c>
      <c r="P4816" s="1">
        <v>1.9</v>
      </c>
      <c r="Q4816" s="1">
        <v>0</v>
      </c>
      <c r="R4816" s="1">
        <v>0</v>
      </c>
      <c r="S4816" s="1"/>
      <c r="T4816" s="1"/>
      <c r="U4816" s="1">
        <v>0</v>
      </c>
      <c r="X4816" s="1">
        <v>0</v>
      </c>
    </row>
    <row r="4817" spans="1:24" x14ac:dyDescent="0.25">
      <c r="A4817" s="22">
        <v>43168</v>
      </c>
      <c r="B4817" s="30" t="s">
        <v>9</v>
      </c>
      <c r="C4817" s="1">
        <v>0</v>
      </c>
      <c r="D4817" s="1"/>
      <c r="E4817" s="5"/>
      <c r="F4817" s="1">
        <v>0</v>
      </c>
      <c r="G4817" s="1">
        <v>2.1</v>
      </c>
      <c r="H4817" s="1">
        <v>0</v>
      </c>
      <c r="I4817" s="1">
        <v>3</v>
      </c>
      <c r="J4817" s="1">
        <v>1.4</v>
      </c>
      <c r="K4817" s="1">
        <v>0</v>
      </c>
      <c r="L4817" s="1">
        <v>0</v>
      </c>
      <c r="M4817" s="1">
        <v>1.7</v>
      </c>
      <c r="O4817" s="1">
        <v>2.54</v>
      </c>
      <c r="P4817" s="1">
        <v>0.5</v>
      </c>
      <c r="Q4817" s="1">
        <v>0.3</v>
      </c>
      <c r="R4817" s="1">
        <v>0</v>
      </c>
      <c r="S4817" s="1"/>
      <c r="T4817" s="1"/>
      <c r="U4817" s="1">
        <v>0</v>
      </c>
      <c r="X4817" s="1">
        <v>2.2999999999999998</v>
      </c>
    </row>
    <row r="4818" spans="1:24" x14ac:dyDescent="0.25">
      <c r="A4818" s="22">
        <v>43169</v>
      </c>
      <c r="B4818" s="1">
        <v>6.6</v>
      </c>
      <c r="C4818" s="1">
        <v>118.5</v>
      </c>
      <c r="D4818" s="1"/>
      <c r="E4818" s="5"/>
      <c r="F4818" s="1">
        <v>0</v>
      </c>
      <c r="G4818" s="1">
        <v>0</v>
      </c>
      <c r="H4818" s="1">
        <v>0</v>
      </c>
      <c r="I4818" s="1">
        <v>0</v>
      </c>
      <c r="J4818" s="30" t="s">
        <v>9</v>
      </c>
      <c r="K4818" s="1">
        <v>4.2</v>
      </c>
      <c r="L4818" s="1">
        <v>1.5239999999999998</v>
      </c>
      <c r="M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/>
      <c r="T4818" s="1"/>
      <c r="U4818" s="1">
        <v>0</v>
      </c>
      <c r="X4818" s="1">
        <v>0</v>
      </c>
    </row>
    <row r="4819" spans="1:24" x14ac:dyDescent="0.25">
      <c r="A4819" s="22">
        <v>43170</v>
      </c>
      <c r="B4819" s="30" t="s">
        <v>9</v>
      </c>
      <c r="C4819" s="1">
        <v>0</v>
      </c>
      <c r="D4819" s="1"/>
      <c r="E4819" s="5"/>
      <c r="F4819" s="1">
        <v>0</v>
      </c>
      <c r="G4819" s="1">
        <v>0.5</v>
      </c>
      <c r="H4819" s="1">
        <v>0</v>
      </c>
      <c r="I4819" s="1">
        <v>0</v>
      </c>
      <c r="J4819" s="30" t="s">
        <v>9</v>
      </c>
      <c r="K4819" s="1">
        <v>1.1000000000000001</v>
      </c>
      <c r="L4819" s="1">
        <v>3.0479999999999996</v>
      </c>
      <c r="M4819" s="1">
        <v>2.7</v>
      </c>
      <c r="O4819" s="1">
        <v>0</v>
      </c>
      <c r="P4819" s="1">
        <v>0.7</v>
      </c>
      <c r="Q4819" s="1">
        <v>0</v>
      </c>
      <c r="R4819" s="1">
        <v>0</v>
      </c>
      <c r="S4819" s="1"/>
      <c r="T4819" s="1"/>
      <c r="U4819" s="1">
        <v>0</v>
      </c>
      <c r="X4819" s="1">
        <v>0.9</v>
      </c>
    </row>
    <row r="4820" spans="1:24" x14ac:dyDescent="0.25">
      <c r="A4820" s="22">
        <v>43171</v>
      </c>
      <c r="B4820" s="30" t="s">
        <v>9</v>
      </c>
      <c r="C4820" s="1">
        <v>0</v>
      </c>
      <c r="D4820" s="1"/>
      <c r="E4820" s="5"/>
      <c r="F4820" s="1">
        <v>0</v>
      </c>
      <c r="G4820" s="1">
        <v>0</v>
      </c>
      <c r="H4820" s="1">
        <v>0</v>
      </c>
      <c r="I4820" s="1">
        <v>0</v>
      </c>
      <c r="J4820" s="1">
        <v>0.8</v>
      </c>
      <c r="K4820" s="1">
        <v>0</v>
      </c>
      <c r="L4820" s="1">
        <v>0</v>
      </c>
      <c r="M4820" s="1">
        <v>0</v>
      </c>
      <c r="O4820" s="1">
        <v>1.778</v>
      </c>
      <c r="P4820" s="1">
        <v>0</v>
      </c>
      <c r="Q4820" s="1">
        <v>0</v>
      </c>
      <c r="R4820" s="1">
        <v>0</v>
      </c>
      <c r="S4820" s="1"/>
      <c r="T4820" s="1"/>
      <c r="U4820" s="1">
        <v>0</v>
      </c>
      <c r="X4820" s="1">
        <v>0</v>
      </c>
    </row>
    <row r="4821" spans="1:24" x14ac:dyDescent="0.25">
      <c r="A4821" s="22">
        <v>43172</v>
      </c>
      <c r="B4821" s="30" t="s">
        <v>9</v>
      </c>
      <c r="C4821" s="1">
        <v>0</v>
      </c>
      <c r="D4821" s="1"/>
      <c r="E4821" s="5"/>
      <c r="F4821" s="1">
        <v>0</v>
      </c>
      <c r="G4821" s="1">
        <v>0</v>
      </c>
      <c r="H4821" s="1">
        <v>0</v>
      </c>
      <c r="I4821" s="1">
        <v>0</v>
      </c>
      <c r="J4821" s="30" t="s">
        <v>9</v>
      </c>
      <c r="K4821" s="1">
        <v>0</v>
      </c>
      <c r="L4821" s="1">
        <v>0</v>
      </c>
      <c r="M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/>
      <c r="T4821" s="1"/>
      <c r="U4821" s="1">
        <v>6</v>
      </c>
      <c r="X4821" s="1">
        <v>0</v>
      </c>
    </row>
    <row r="4822" spans="1:24" x14ac:dyDescent="0.25">
      <c r="A4822" s="22">
        <v>43173</v>
      </c>
      <c r="B4822" s="30" t="s">
        <v>9</v>
      </c>
      <c r="C4822" s="1">
        <v>0</v>
      </c>
      <c r="D4822" s="1"/>
      <c r="E4822" s="5"/>
      <c r="F4822" s="1">
        <v>0</v>
      </c>
      <c r="G4822" s="1">
        <v>0</v>
      </c>
      <c r="H4822" s="1">
        <v>0</v>
      </c>
      <c r="I4822" s="1">
        <v>0</v>
      </c>
      <c r="J4822" s="30" t="s">
        <v>9</v>
      </c>
      <c r="K4822" s="1">
        <v>0</v>
      </c>
      <c r="L4822" s="1">
        <v>1.27</v>
      </c>
      <c r="M4822" s="1">
        <v>0.2</v>
      </c>
      <c r="O4822" s="1">
        <v>0</v>
      </c>
      <c r="P4822" s="1">
        <v>3.1</v>
      </c>
      <c r="Q4822" s="1">
        <v>0</v>
      </c>
      <c r="R4822" s="1">
        <v>0.5</v>
      </c>
      <c r="S4822" s="1"/>
      <c r="T4822" s="1"/>
      <c r="U4822" s="1">
        <v>0</v>
      </c>
      <c r="X4822" s="1">
        <v>0</v>
      </c>
    </row>
    <row r="4823" spans="1:24" x14ac:dyDescent="0.25">
      <c r="A4823" s="22">
        <v>43174</v>
      </c>
      <c r="B4823" s="1">
        <v>2.1</v>
      </c>
      <c r="C4823" s="1">
        <v>0</v>
      </c>
      <c r="D4823" s="1"/>
      <c r="E4823" s="5"/>
      <c r="F4823" s="1">
        <v>0</v>
      </c>
      <c r="G4823" s="1">
        <v>0</v>
      </c>
      <c r="H4823" s="1">
        <v>0</v>
      </c>
      <c r="I4823" s="1">
        <v>0</v>
      </c>
      <c r="J4823" s="1">
        <v>0.1</v>
      </c>
      <c r="K4823" s="1">
        <v>0</v>
      </c>
      <c r="L4823" s="1">
        <v>0</v>
      </c>
      <c r="M4823" s="1">
        <v>0</v>
      </c>
      <c r="O4823" s="1">
        <v>2.032</v>
      </c>
      <c r="P4823" s="1">
        <v>0</v>
      </c>
      <c r="Q4823" s="1">
        <v>0.1</v>
      </c>
      <c r="R4823" s="1">
        <v>0</v>
      </c>
      <c r="S4823" s="1"/>
      <c r="T4823" s="1"/>
      <c r="U4823" s="1">
        <v>0</v>
      </c>
      <c r="X4823" s="1">
        <v>0</v>
      </c>
    </row>
    <row r="4824" spans="1:24" x14ac:dyDescent="0.25">
      <c r="A4824" s="22">
        <v>43175</v>
      </c>
      <c r="B4824" s="30" t="s">
        <v>9</v>
      </c>
      <c r="C4824" s="1">
        <v>0</v>
      </c>
      <c r="D4824" s="1"/>
      <c r="E4824" s="5"/>
      <c r="F4824" s="1">
        <v>0</v>
      </c>
      <c r="G4824" s="1">
        <v>0</v>
      </c>
      <c r="H4824" s="1">
        <v>0</v>
      </c>
      <c r="I4824" s="1">
        <v>1.8</v>
      </c>
      <c r="J4824" s="30" t="s">
        <v>9</v>
      </c>
      <c r="K4824" s="1">
        <v>0</v>
      </c>
      <c r="L4824" s="1">
        <v>0</v>
      </c>
      <c r="M4824" s="1">
        <v>0.4</v>
      </c>
      <c r="O4824" s="1">
        <v>0</v>
      </c>
      <c r="P4824" s="1">
        <v>1.5</v>
      </c>
      <c r="Q4824" s="1">
        <v>0.9</v>
      </c>
      <c r="R4824" s="1">
        <v>0</v>
      </c>
      <c r="S4824" s="1"/>
      <c r="T4824" s="1"/>
      <c r="U4824" s="1">
        <v>0</v>
      </c>
      <c r="X4824" s="1">
        <v>0</v>
      </c>
    </row>
    <row r="4825" spans="1:24" x14ac:dyDescent="0.25">
      <c r="A4825" s="22">
        <v>43176</v>
      </c>
      <c r="B4825" s="30" t="s">
        <v>9</v>
      </c>
      <c r="C4825" s="1">
        <v>0</v>
      </c>
      <c r="D4825" s="1"/>
      <c r="E4825" s="5"/>
      <c r="F4825" s="1">
        <v>0</v>
      </c>
      <c r="G4825" s="1">
        <v>0</v>
      </c>
      <c r="H4825" s="1">
        <v>0</v>
      </c>
      <c r="I4825" s="1">
        <v>0</v>
      </c>
      <c r="J4825" s="30" t="s">
        <v>9</v>
      </c>
      <c r="K4825" s="1">
        <v>0</v>
      </c>
      <c r="L4825" s="1">
        <v>0.50800000000000001</v>
      </c>
      <c r="M4825" s="1">
        <v>0</v>
      </c>
      <c r="O4825" s="1">
        <v>0</v>
      </c>
      <c r="P4825" s="1">
        <v>0</v>
      </c>
      <c r="Q4825" s="1">
        <v>0</v>
      </c>
      <c r="R4825" s="1">
        <v>0</v>
      </c>
      <c r="S4825" s="1"/>
      <c r="T4825" s="1"/>
      <c r="U4825" s="1">
        <v>0</v>
      </c>
      <c r="X4825" s="1">
        <v>0</v>
      </c>
    </row>
    <row r="4826" spans="1:24" x14ac:dyDescent="0.25">
      <c r="A4826" s="22">
        <v>43177</v>
      </c>
      <c r="B4826" s="30" t="s">
        <v>9</v>
      </c>
      <c r="C4826" s="1">
        <v>0</v>
      </c>
      <c r="D4826" s="1"/>
      <c r="E4826" s="5"/>
      <c r="F4826" s="1">
        <v>0</v>
      </c>
      <c r="G4826" s="1">
        <v>0</v>
      </c>
      <c r="H4826" s="1">
        <v>0</v>
      </c>
      <c r="I4826" s="1">
        <v>0</v>
      </c>
      <c r="J4826" s="30" t="s">
        <v>9</v>
      </c>
      <c r="K4826" s="1">
        <v>0</v>
      </c>
      <c r="L4826" s="1">
        <v>0</v>
      </c>
      <c r="M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/>
      <c r="T4826" s="1"/>
      <c r="U4826" s="1">
        <v>0</v>
      </c>
      <c r="X4826" s="1">
        <v>0</v>
      </c>
    </row>
    <row r="4827" spans="1:24" x14ac:dyDescent="0.25">
      <c r="A4827" s="22">
        <v>43178</v>
      </c>
      <c r="B4827" s="30" t="s">
        <v>9</v>
      </c>
      <c r="C4827" s="1">
        <v>0</v>
      </c>
      <c r="D4827" s="1"/>
      <c r="E4827" s="5"/>
      <c r="F4827" s="1">
        <v>0</v>
      </c>
      <c r="G4827" s="1">
        <v>0</v>
      </c>
      <c r="H4827" s="1">
        <v>0</v>
      </c>
      <c r="I4827" s="1">
        <v>0</v>
      </c>
      <c r="J4827" s="30" t="s">
        <v>9</v>
      </c>
      <c r="K4827" s="1">
        <v>0</v>
      </c>
      <c r="L4827" s="1">
        <v>0</v>
      </c>
      <c r="M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/>
      <c r="T4827" s="1"/>
      <c r="U4827" s="1">
        <v>0</v>
      </c>
      <c r="X4827" s="1">
        <v>1.3</v>
      </c>
    </row>
    <row r="4828" spans="1:24" x14ac:dyDescent="0.25">
      <c r="A4828" s="22">
        <v>43179</v>
      </c>
      <c r="B4828" s="30" t="s">
        <v>9</v>
      </c>
      <c r="C4828" s="1">
        <v>0</v>
      </c>
      <c r="D4828" s="1"/>
      <c r="E4828" s="5"/>
      <c r="F4828" s="1">
        <v>0</v>
      </c>
      <c r="G4828" s="1">
        <v>0.8</v>
      </c>
      <c r="H4828" s="1">
        <v>0</v>
      </c>
      <c r="I4828" s="1">
        <v>0</v>
      </c>
      <c r="J4828" s="30" t="s">
        <v>9</v>
      </c>
      <c r="K4828" s="1">
        <v>0</v>
      </c>
      <c r="L4828" s="1">
        <v>0</v>
      </c>
      <c r="M4828" s="1">
        <v>1.3</v>
      </c>
      <c r="O4828" s="1">
        <v>0</v>
      </c>
      <c r="P4828" s="1">
        <v>0</v>
      </c>
      <c r="Q4828" s="1">
        <v>0</v>
      </c>
      <c r="R4828" s="1">
        <v>0</v>
      </c>
      <c r="S4828" s="1"/>
      <c r="T4828" s="1"/>
      <c r="U4828" s="1">
        <v>0</v>
      </c>
      <c r="X4828" s="1">
        <v>0</v>
      </c>
    </row>
    <row r="4829" spans="1:24" x14ac:dyDescent="0.25">
      <c r="A4829" s="22">
        <v>43180</v>
      </c>
      <c r="B4829" s="1">
        <v>4.0999999999999996</v>
      </c>
      <c r="C4829" s="1">
        <v>0</v>
      </c>
      <c r="D4829" s="1"/>
      <c r="E4829" s="5"/>
      <c r="F4829" s="1">
        <v>4</v>
      </c>
      <c r="G4829" s="1">
        <v>1.5</v>
      </c>
      <c r="H4829" s="1">
        <v>1.5</v>
      </c>
      <c r="I4829" s="1">
        <v>0</v>
      </c>
      <c r="J4829" s="1">
        <v>1.8</v>
      </c>
      <c r="K4829" s="1">
        <v>0</v>
      </c>
      <c r="L4829" s="1">
        <v>0</v>
      </c>
      <c r="M4829" s="1">
        <v>1.2</v>
      </c>
      <c r="O4829" s="1">
        <v>5.08</v>
      </c>
      <c r="P4829" s="1">
        <v>0.9</v>
      </c>
      <c r="Q4829" s="1">
        <v>1.7</v>
      </c>
      <c r="R4829" s="1">
        <v>2.5</v>
      </c>
      <c r="S4829" s="1"/>
      <c r="T4829" s="1"/>
      <c r="U4829" s="1">
        <v>0</v>
      </c>
      <c r="X4829" s="1">
        <v>0.6</v>
      </c>
    </row>
    <row r="4830" spans="1:24" x14ac:dyDescent="0.25">
      <c r="A4830" s="22">
        <v>43181</v>
      </c>
      <c r="B4830" s="1">
        <v>7.8</v>
      </c>
      <c r="C4830" s="1">
        <v>0</v>
      </c>
      <c r="D4830" s="1"/>
      <c r="E4830" s="5"/>
      <c r="F4830" s="1">
        <v>1.5</v>
      </c>
      <c r="G4830" s="1">
        <v>3.2</v>
      </c>
      <c r="H4830" s="1">
        <v>0</v>
      </c>
      <c r="I4830" s="1">
        <v>0</v>
      </c>
      <c r="J4830" s="1">
        <v>0.7</v>
      </c>
      <c r="K4830" s="1">
        <v>8.1999999999999993</v>
      </c>
      <c r="L4830" s="1">
        <v>0</v>
      </c>
      <c r="M4830" s="1">
        <v>5.5</v>
      </c>
      <c r="O4830" s="1">
        <v>4.0640000000000001</v>
      </c>
      <c r="P4830" s="1">
        <v>5.5</v>
      </c>
      <c r="Q4830" s="1">
        <v>2.9</v>
      </c>
      <c r="R4830" s="1">
        <v>0</v>
      </c>
      <c r="S4830" s="1"/>
      <c r="T4830" s="1"/>
      <c r="U4830" s="1">
        <v>11</v>
      </c>
      <c r="X4830" s="1">
        <v>10.3</v>
      </c>
    </row>
    <row r="4831" spans="1:24" x14ac:dyDescent="0.25">
      <c r="A4831" s="22">
        <v>43182</v>
      </c>
      <c r="B4831" s="1">
        <v>5.8</v>
      </c>
      <c r="C4831" s="1">
        <v>0</v>
      </c>
      <c r="D4831" s="1"/>
      <c r="E4831" s="5"/>
      <c r="F4831" s="1">
        <v>4.5</v>
      </c>
      <c r="G4831" s="1">
        <v>6.2</v>
      </c>
      <c r="H4831" s="1">
        <v>8.1999999999999993</v>
      </c>
      <c r="I4831" s="1">
        <v>12.1</v>
      </c>
      <c r="J4831" s="1">
        <v>9.1999999999999993</v>
      </c>
      <c r="K4831" s="1">
        <v>10</v>
      </c>
      <c r="L4831" s="1">
        <v>0</v>
      </c>
      <c r="M4831" s="1">
        <v>6.7</v>
      </c>
      <c r="O4831" s="1">
        <v>4.0640000000000001</v>
      </c>
      <c r="P4831" s="1">
        <v>2.5</v>
      </c>
      <c r="Q4831" s="1">
        <v>0.5</v>
      </c>
      <c r="R4831" s="1">
        <v>3.2</v>
      </c>
      <c r="S4831" s="1"/>
      <c r="T4831" s="1"/>
      <c r="U4831" s="1">
        <v>11</v>
      </c>
      <c r="X4831" s="1">
        <v>1.5</v>
      </c>
    </row>
    <row r="4832" spans="1:24" x14ac:dyDescent="0.25">
      <c r="A4832" s="22">
        <v>43183</v>
      </c>
      <c r="B4832" s="30" t="s">
        <v>9</v>
      </c>
      <c r="C4832" s="1">
        <v>0</v>
      </c>
      <c r="D4832" s="1"/>
      <c r="E4832" s="5"/>
      <c r="F4832" s="1">
        <v>7.4</v>
      </c>
      <c r="G4832" s="1">
        <v>2.5</v>
      </c>
      <c r="H4832" s="1">
        <v>0</v>
      </c>
      <c r="I4832" s="1">
        <v>3.7</v>
      </c>
      <c r="J4832" s="1">
        <v>0.3</v>
      </c>
      <c r="K4832" s="1">
        <v>1.5</v>
      </c>
      <c r="L4832" s="1">
        <v>0</v>
      </c>
      <c r="M4832" s="1">
        <v>1.4</v>
      </c>
      <c r="O4832" s="1">
        <v>0</v>
      </c>
      <c r="P4832" s="1">
        <v>0</v>
      </c>
      <c r="Q4832" s="1">
        <v>1.7</v>
      </c>
      <c r="R4832" s="1">
        <v>0</v>
      </c>
      <c r="S4832" s="1"/>
      <c r="T4832" s="1"/>
      <c r="U4832" s="1">
        <v>0</v>
      </c>
      <c r="X4832" s="1">
        <v>0</v>
      </c>
    </row>
    <row r="4833" spans="1:24" x14ac:dyDescent="0.25">
      <c r="A4833" s="22">
        <v>43184</v>
      </c>
      <c r="B4833" s="30" t="s">
        <v>9</v>
      </c>
      <c r="C4833" s="1">
        <v>1</v>
      </c>
      <c r="D4833" s="1"/>
      <c r="E4833" s="5"/>
      <c r="F4833" s="1">
        <v>0</v>
      </c>
      <c r="G4833" s="1">
        <v>2.6</v>
      </c>
      <c r="H4833" s="1">
        <v>9.3000000000000007</v>
      </c>
      <c r="I4833" s="1">
        <v>0</v>
      </c>
      <c r="J4833" s="1">
        <v>1.1000000000000001</v>
      </c>
      <c r="K4833" s="1">
        <v>0</v>
      </c>
      <c r="L4833" s="1">
        <v>9.1439999999999984</v>
      </c>
      <c r="M4833" s="1">
        <v>10.1</v>
      </c>
      <c r="O4833" s="1">
        <v>0</v>
      </c>
      <c r="P4833" s="1">
        <v>0</v>
      </c>
      <c r="Q4833" s="1">
        <v>8.5</v>
      </c>
      <c r="R4833" s="1">
        <v>6.2</v>
      </c>
      <c r="S4833" s="1"/>
      <c r="T4833" s="1"/>
      <c r="U4833" s="1">
        <v>0</v>
      </c>
      <c r="X4833" s="1">
        <v>0.9</v>
      </c>
    </row>
    <row r="4834" spans="1:24" x14ac:dyDescent="0.25">
      <c r="A4834" s="22">
        <v>43185</v>
      </c>
      <c r="B4834" s="30" t="s">
        <v>9</v>
      </c>
      <c r="C4834" s="1">
        <v>4</v>
      </c>
      <c r="D4834" s="1"/>
      <c r="E4834" s="5"/>
      <c r="F4834" s="1">
        <v>5.4</v>
      </c>
      <c r="G4834" s="1">
        <v>1.2</v>
      </c>
      <c r="H4834" s="1">
        <v>0</v>
      </c>
      <c r="I4834" s="1">
        <v>9.1</v>
      </c>
      <c r="J4834" s="1">
        <v>2.1</v>
      </c>
      <c r="K4834" s="1">
        <v>2</v>
      </c>
      <c r="L4834" s="1">
        <v>1.778</v>
      </c>
      <c r="M4834" s="1">
        <v>0.2</v>
      </c>
      <c r="O4834" s="1">
        <v>3.8099999999999996</v>
      </c>
      <c r="P4834" s="1">
        <v>5.7</v>
      </c>
      <c r="Q4834" s="1">
        <v>13.4</v>
      </c>
      <c r="R4834" s="1">
        <v>5.8</v>
      </c>
      <c r="S4834" s="1"/>
      <c r="T4834" s="1"/>
      <c r="U4834" s="1">
        <v>10</v>
      </c>
      <c r="X4834" s="1">
        <v>0</v>
      </c>
    </row>
    <row r="4835" spans="1:24" x14ac:dyDescent="0.25">
      <c r="A4835" s="22">
        <v>43186</v>
      </c>
      <c r="B4835" s="30" t="s">
        <v>9</v>
      </c>
      <c r="C4835" s="1">
        <v>0</v>
      </c>
      <c r="D4835" s="1"/>
      <c r="E4835" s="5"/>
      <c r="F4835" s="1">
        <v>0</v>
      </c>
      <c r="G4835" s="1">
        <v>0</v>
      </c>
      <c r="H4835" s="1">
        <v>0</v>
      </c>
      <c r="I4835" s="1">
        <v>0</v>
      </c>
      <c r="J4835" s="1">
        <v>5.0999999999999996</v>
      </c>
      <c r="K4835" s="1">
        <v>10.4</v>
      </c>
      <c r="L4835" s="1">
        <v>19.812000000000001</v>
      </c>
      <c r="M4835" s="1">
        <v>5.3</v>
      </c>
      <c r="O4835" s="1">
        <v>2.54</v>
      </c>
      <c r="P4835" s="1">
        <v>14.9</v>
      </c>
      <c r="Q4835" s="1">
        <v>2.9</v>
      </c>
      <c r="R4835" s="1">
        <v>10.7</v>
      </c>
      <c r="S4835" s="1"/>
      <c r="T4835" s="1"/>
      <c r="U4835" s="1">
        <v>18</v>
      </c>
      <c r="X4835" s="1">
        <v>10.7</v>
      </c>
    </row>
    <row r="4836" spans="1:24" x14ac:dyDescent="0.25">
      <c r="A4836" s="22">
        <v>43187</v>
      </c>
      <c r="B4836" s="30" t="s">
        <v>9</v>
      </c>
      <c r="C4836" s="1">
        <v>0</v>
      </c>
      <c r="D4836" s="1"/>
      <c r="E4836" s="5"/>
      <c r="F4836" s="1">
        <v>0</v>
      </c>
      <c r="G4836" s="1">
        <v>0</v>
      </c>
      <c r="H4836" s="1">
        <v>0</v>
      </c>
      <c r="I4836" s="1">
        <v>0</v>
      </c>
      <c r="J4836" s="30" t="s">
        <v>9</v>
      </c>
      <c r="K4836" s="1">
        <v>27</v>
      </c>
      <c r="L4836" s="1">
        <v>5.3339999999999996</v>
      </c>
      <c r="M4836" s="1">
        <v>0.3</v>
      </c>
      <c r="O4836" s="1">
        <v>0.50800000000000001</v>
      </c>
      <c r="P4836" s="1">
        <v>7.2</v>
      </c>
      <c r="Q4836" s="1">
        <v>0.1</v>
      </c>
      <c r="R4836" s="1">
        <v>3.8</v>
      </c>
      <c r="S4836" s="1"/>
      <c r="T4836" s="1"/>
      <c r="U4836" s="1">
        <v>0</v>
      </c>
      <c r="X4836" s="1">
        <v>0</v>
      </c>
    </row>
    <row r="4837" spans="1:24" x14ac:dyDescent="0.25">
      <c r="A4837" s="22">
        <v>43188</v>
      </c>
      <c r="B4837" s="30" t="s">
        <v>9</v>
      </c>
      <c r="C4837" s="1">
        <v>0</v>
      </c>
      <c r="D4837" s="1"/>
      <c r="E4837" s="5"/>
      <c r="F4837" s="1">
        <v>0</v>
      </c>
      <c r="G4837" s="1">
        <v>0</v>
      </c>
      <c r="H4837" s="1">
        <v>0</v>
      </c>
      <c r="I4837" s="1">
        <v>0</v>
      </c>
      <c r="J4837" s="1">
        <v>0.9</v>
      </c>
      <c r="K4837" s="1">
        <v>0.5</v>
      </c>
      <c r="L4837" s="1">
        <v>0</v>
      </c>
      <c r="M4837" s="1">
        <v>0</v>
      </c>
      <c r="O4837" s="1">
        <v>8.8899999999999988</v>
      </c>
      <c r="P4837" s="1">
        <v>1.7</v>
      </c>
      <c r="Q4837" s="1">
        <v>0</v>
      </c>
      <c r="R4837" s="1">
        <v>0</v>
      </c>
      <c r="S4837" s="1"/>
      <c r="T4837" s="1"/>
      <c r="U4837" s="1">
        <v>2</v>
      </c>
      <c r="X4837" s="1">
        <v>0</v>
      </c>
    </row>
    <row r="4838" spans="1:24" x14ac:dyDescent="0.25">
      <c r="A4838" s="22">
        <v>43189</v>
      </c>
      <c r="B4838" s="30" t="s">
        <v>9</v>
      </c>
      <c r="C4838" s="1">
        <v>0</v>
      </c>
      <c r="D4838" s="1"/>
      <c r="E4838" s="5"/>
      <c r="F4838" s="1">
        <v>0</v>
      </c>
      <c r="G4838" s="1">
        <v>0</v>
      </c>
      <c r="H4838" s="1">
        <v>0</v>
      </c>
      <c r="I4838" s="1">
        <v>0</v>
      </c>
      <c r="J4838" s="30" t="s">
        <v>9</v>
      </c>
      <c r="K4838" s="1">
        <v>0</v>
      </c>
      <c r="L4838" s="1">
        <v>0</v>
      </c>
      <c r="M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/>
      <c r="T4838" s="1"/>
      <c r="U4838" s="1">
        <v>0</v>
      </c>
      <c r="X4838" s="1">
        <v>4.0999999999999996</v>
      </c>
    </row>
    <row r="4839" spans="1:24" x14ac:dyDescent="0.25">
      <c r="A4839" s="22">
        <v>43190</v>
      </c>
      <c r="B4839" s="30" t="s">
        <v>9</v>
      </c>
      <c r="C4839" s="1">
        <v>15.4</v>
      </c>
      <c r="D4839" s="1"/>
      <c r="E4839" s="5"/>
      <c r="F4839" s="1">
        <v>17</v>
      </c>
      <c r="G4839" s="1">
        <v>15.2</v>
      </c>
      <c r="H4839" s="1">
        <v>10</v>
      </c>
      <c r="I4839" s="1">
        <v>0</v>
      </c>
      <c r="J4839" s="30" t="s">
        <v>9</v>
      </c>
      <c r="K4839" s="1">
        <v>2.2000000000000002</v>
      </c>
      <c r="L4839" s="1">
        <v>22.097999999999999</v>
      </c>
      <c r="M4839" s="1">
        <v>0</v>
      </c>
      <c r="O4839" s="1">
        <v>4.0640000000000001</v>
      </c>
      <c r="P4839" s="1">
        <v>28.7</v>
      </c>
      <c r="Q4839" s="1">
        <v>32.700000000000003</v>
      </c>
      <c r="R4839" s="1">
        <v>0.5</v>
      </c>
      <c r="S4839" s="1"/>
      <c r="T4839" s="1"/>
      <c r="U4839" s="1">
        <v>0</v>
      </c>
      <c r="X4839" s="1">
        <v>1.5</v>
      </c>
    </row>
    <row r="4840" spans="1:24" x14ac:dyDescent="0.25">
      <c r="A4840" s="22">
        <v>43191</v>
      </c>
      <c r="B4840" s="1">
        <v>1.1000000000000001</v>
      </c>
      <c r="C4840" s="1">
        <v>29.9</v>
      </c>
      <c r="D4840" s="1">
        <v>50.2</v>
      </c>
      <c r="E4840" s="1"/>
      <c r="F4840" s="1">
        <v>46.6</v>
      </c>
      <c r="G4840" s="1">
        <v>28.8</v>
      </c>
      <c r="H4840" s="1">
        <v>40</v>
      </c>
      <c r="I4840" s="1">
        <v>9.4</v>
      </c>
      <c r="J4840" s="1">
        <v>30.5</v>
      </c>
      <c r="K4840" s="1">
        <v>0</v>
      </c>
      <c r="L4840" s="1"/>
      <c r="M4840" s="1">
        <v>40.299999999999997</v>
      </c>
      <c r="O4840" s="1"/>
      <c r="P4840" s="1">
        <v>20</v>
      </c>
      <c r="Q4840" s="1">
        <v>4.4000000000000004</v>
      </c>
      <c r="R4840" s="1">
        <v>26.2</v>
      </c>
      <c r="S4840" s="1"/>
      <c r="T4840" s="1"/>
      <c r="U4840" s="1">
        <v>63</v>
      </c>
      <c r="X4840" s="1">
        <v>0</v>
      </c>
    </row>
    <row r="4841" spans="1:24" x14ac:dyDescent="0.25">
      <c r="A4841" s="22">
        <v>43192</v>
      </c>
      <c r="B4841" s="1">
        <v>1.4</v>
      </c>
      <c r="C4841" s="1">
        <v>0</v>
      </c>
      <c r="D4841" s="1">
        <v>3.2</v>
      </c>
      <c r="E4841" s="1"/>
      <c r="F4841" s="1">
        <v>0</v>
      </c>
      <c r="G4841" s="1">
        <v>0.3</v>
      </c>
      <c r="H4841" s="1">
        <v>7.1</v>
      </c>
      <c r="I4841" s="1">
        <v>17.600000000000001</v>
      </c>
      <c r="J4841" s="1">
        <v>0</v>
      </c>
      <c r="K4841" s="1">
        <v>0</v>
      </c>
      <c r="L4841" s="1"/>
      <c r="M4841" s="1">
        <v>0</v>
      </c>
      <c r="O4841" s="1"/>
      <c r="P4841" s="1">
        <v>0</v>
      </c>
      <c r="Q4841" s="1">
        <v>0</v>
      </c>
      <c r="R4841" s="1">
        <v>2.7</v>
      </c>
      <c r="S4841" s="1"/>
      <c r="T4841" s="1"/>
      <c r="U4841" s="1">
        <v>0</v>
      </c>
      <c r="X4841" s="1">
        <v>0.3</v>
      </c>
    </row>
    <row r="4842" spans="1:24" x14ac:dyDescent="0.25">
      <c r="A4842" s="22">
        <v>43193</v>
      </c>
      <c r="B4842" s="1">
        <v>0.6</v>
      </c>
      <c r="C4842" s="1">
        <v>0</v>
      </c>
      <c r="D4842" s="1">
        <v>0</v>
      </c>
      <c r="E4842" s="1">
        <v>85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29</v>
      </c>
      <c r="L4842" s="1"/>
      <c r="M4842" s="1">
        <v>0</v>
      </c>
      <c r="O4842" s="1"/>
      <c r="P4842" s="1">
        <v>0</v>
      </c>
      <c r="Q4842" s="1">
        <v>0</v>
      </c>
      <c r="R4842" s="1">
        <v>0</v>
      </c>
      <c r="S4842" s="1"/>
      <c r="T4842" s="1"/>
      <c r="U4842" s="1">
        <v>0</v>
      </c>
      <c r="X4842" s="1">
        <v>0</v>
      </c>
    </row>
    <row r="4843" spans="1:24" x14ac:dyDescent="0.25">
      <c r="A4843" s="22">
        <v>43194</v>
      </c>
      <c r="B4843" s="1">
        <v>0</v>
      </c>
      <c r="C4843" s="1">
        <v>0</v>
      </c>
      <c r="D4843" s="1">
        <v>0</v>
      </c>
      <c r="E4843" s="1"/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/>
      <c r="M4843" s="1">
        <v>0.2</v>
      </c>
      <c r="O4843" s="1"/>
      <c r="P4843" s="1">
        <v>0</v>
      </c>
      <c r="Q4843" s="1">
        <v>0</v>
      </c>
      <c r="R4843" s="1">
        <v>0</v>
      </c>
      <c r="S4843" s="1"/>
      <c r="T4843" s="1"/>
      <c r="U4843" s="1">
        <v>0</v>
      </c>
      <c r="X4843" s="1">
        <v>0</v>
      </c>
    </row>
    <row r="4844" spans="1:24" x14ac:dyDescent="0.25">
      <c r="A4844" s="22">
        <v>43195</v>
      </c>
      <c r="B4844" s="1">
        <v>0</v>
      </c>
      <c r="C4844" s="1">
        <v>0</v>
      </c>
      <c r="D4844" s="1">
        <v>0</v>
      </c>
      <c r="E4844" s="1"/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/>
      <c r="M4844" s="1">
        <v>0.2</v>
      </c>
      <c r="O4844" s="1"/>
      <c r="P4844" s="1">
        <v>0</v>
      </c>
      <c r="Q4844" s="1">
        <v>1.6</v>
      </c>
      <c r="R4844" s="1">
        <v>0.6</v>
      </c>
      <c r="S4844" s="1"/>
      <c r="T4844" s="1"/>
      <c r="U4844" s="1">
        <v>0</v>
      </c>
      <c r="X4844" s="1">
        <v>0</v>
      </c>
    </row>
    <row r="4845" spans="1:24" x14ac:dyDescent="0.25">
      <c r="A4845" s="22">
        <v>43196</v>
      </c>
      <c r="B4845" s="1">
        <v>1.1000000000000001</v>
      </c>
      <c r="C4845" s="1">
        <v>0</v>
      </c>
      <c r="D4845" s="1">
        <v>1.5</v>
      </c>
      <c r="E4845" s="1"/>
      <c r="F4845" s="1">
        <v>0</v>
      </c>
      <c r="G4845" s="1">
        <v>0.3</v>
      </c>
      <c r="H4845" s="1">
        <v>0</v>
      </c>
      <c r="I4845" s="1">
        <v>0</v>
      </c>
      <c r="J4845" s="1">
        <v>1.1000000000000001</v>
      </c>
      <c r="K4845" s="1">
        <v>0</v>
      </c>
      <c r="L4845" s="1"/>
      <c r="M4845" s="1">
        <v>0</v>
      </c>
      <c r="O4845" s="1"/>
      <c r="P4845" s="1">
        <v>0</v>
      </c>
      <c r="Q4845" s="1">
        <v>1.9</v>
      </c>
      <c r="R4845" s="1">
        <v>0</v>
      </c>
      <c r="S4845" s="1"/>
      <c r="T4845" s="1"/>
      <c r="U4845" s="1">
        <v>0</v>
      </c>
      <c r="X4845" s="1">
        <v>0</v>
      </c>
    </row>
    <row r="4846" spans="1:24" x14ac:dyDescent="0.25">
      <c r="A4846" s="22">
        <v>43197</v>
      </c>
      <c r="B4846" s="1">
        <v>0</v>
      </c>
      <c r="C4846" s="1">
        <v>0</v>
      </c>
      <c r="D4846" s="1">
        <v>0</v>
      </c>
      <c r="E4846" s="1"/>
      <c r="F4846" s="1">
        <v>0</v>
      </c>
      <c r="G4846" s="1">
        <v>3</v>
      </c>
      <c r="H4846" s="1">
        <v>0</v>
      </c>
      <c r="I4846" s="1">
        <v>2.5</v>
      </c>
      <c r="J4846" s="1">
        <v>3</v>
      </c>
      <c r="K4846" s="1">
        <v>2</v>
      </c>
      <c r="L4846" s="1"/>
      <c r="M4846" s="1">
        <v>1.9</v>
      </c>
      <c r="O4846" s="1"/>
      <c r="P4846" s="1">
        <v>2.6</v>
      </c>
      <c r="Q4846" s="1">
        <v>0.6</v>
      </c>
      <c r="R4846" s="1">
        <v>1.6</v>
      </c>
      <c r="S4846" s="1"/>
      <c r="T4846" s="1"/>
      <c r="U4846" s="1">
        <v>5</v>
      </c>
      <c r="X4846" s="1">
        <v>0</v>
      </c>
    </row>
    <row r="4847" spans="1:24" x14ac:dyDescent="0.25">
      <c r="A4847" s="22">
        <v>43198</v>
      </c>
      <c r="B4847" s="1">
        <v>0</v>
      </c>
      <c r="C4847" s="1">
        <v>0.5</v>
      </c>
      <c r="D4847" s="1">
        <v>4.2</v>
      </c>
      <c r="E4847" s="1"/>
      <c r="F4847" s="1">
        <v>0</v>
      </c>
      <c r="G4847" s="1">
        <v>1.6</v>
      </c>
      <c r="H4847" s="1">
        <v>3.9</v>
      </c>
      <c r="I4847" s="1">
        <v>0</v>
      </c>
      <c r="J4847" s="1">
        <v>6.3</v>
      </c>
      <c r="K4847" s="1">
        <v>0</v>
      </c>
      <c r="L4847" s="1"/>
      <c r="M4847" s="1">
        <v>3.2</v>
      </c>
      <c r="O4847" s="1"/>
      <c r="P4847" s="1">
        <v>6.7</v>
      </c>
      <c r="Q4847" s="1">
        <v>0.7</v>
      </c>
      <c r="R4847" s="1">
        <v>0</v>
      </c>
      <c r="S4847" s="1"/>
      <c r="T4847" s="1"/>
      <c r="U4847" s="1">
        <v>3</v>
      </c>
      <c r="X4847" s="1">
        <v>0</v>
      </c>
    </row>
    <row r="4848" spans="1:24" x14ac:dyDescent="0.25">
      <c r="A4848" s="22">
        <v>43199</v>
      </c>
      <c r="B4848" s="1">
        <v>25</v>
      </c>
      <c r="C4848" s="1">
        <v>9.6999999999999993</v>
      </c>
      <c r="D4848" s="1">
        <v>2</v>
      </c>
      <c r="E4848" s="1"/>
      <c r="F4848" s="1">
        <v>0</v>
      </c>
      <c r="G4848" s="1">
        <v>0</v>
      </c>
      <c r="H4848" s="1">
        <v>0</v>
      </c>
      <c r="I4848" s="1">
        <v>0</v>
      </c>
      <c r="J4848" s="1">
        <v>0.5</v>
      </c>
      <c r="K4848" s="1">
        <v>0</v>
      </c>
      <c r="L4848" s="1"/>
      <c r="M4848" s="1">
        <v>0</v>
      </c>
      <c r="O4848" s="1"/>
      <c r="P4848" s="1">
        <v>0</v>
      </c>
      <c r="Q4848" s="1">
        <v>0</v>
      </c>
      <c r="R4848" s="1">
        <v>1</v>
      </c>
      <c r="S4848" s="1"/>
      <c r="T4848" s="1"/>
      <c r="U4848" s="1">
        <v>0</v>
      </c>
      <c r="X4848" s="1">
        <v>0.9</v>
      </c>
    </row>
    <row r="4849" spans="1:24" x14ac:dyDescent="0.25">
      <c r="A4849" s="22">
        <v>43200</v>
      </c>
      <c r="B4849" s="1"/>
      <c r="C4849" s="1">
        <v>0</v>
      </c>
      <c r="D4849" s="1">
        <v>1</v>
      </c>
      <c r="E4849" s="1"/>
      <c r="F4849" s="1">
        <v>0</v>
      </c>
      <c r="G4849" s="1">
        <v>0.2</v>
      </c>
      <c r="H4849" s="1">
        <v>0.6</v>
      </c>
      <c r="I4849" s="1">
        <v>0</v>
      </c>
      <c r="J4849" s="1">
        <v>0</v>
      </c>
      <c r="K4849" s="1">
        <v>0</v>
      </c>
      <c r="L4849" s="1"/>
      <c r="M4849" s="1">
        <v>0.3</v>
      </c>
      <c r="O4849" s="1"/>
      <c r="P4849" s="1">
        <v>0</v>
      </c>
      <c r="Q4849" s="1">
        <v>0</v>
      </c>
      <c r="R4849" s="1">
        <v>0</v>
      </c>
      <c r="S4849" s="1"/>
      <c r="T4849" s="1"/>
      <c r="U4849" s="1">
        <v>15</v>
      </c>
      <c r="X4849" s="1">
        <v>0</v>
      </c>
    </row>
    <row r="4850" spans="1:24" x14ac:dyDescent="0.25">
      <c r="A4850" s="22">
        <v>43201</v>
      </c>
      <c r="B4850" s="1"/>
      <c r="C4850" s="1">
        <v>0</v>
      </c>
      <c r="D4850" s="1">
        <v>3.3</v>
      </c>
      <c r="E4850" s="1"/>
      <c r="F4850" s="1"/>
      <c r="G4850" s="1">
        <v>0.1</v>
      </c>
      <c r="H4850" s="1">
        <v>9.5</v>
      </c>
      <c r="I4850" s="1">
        <v>3.2</v>
      </c>
      <c r="J4850" s="1">
        <v>0</v>
      </c>
      <c r="K4850" s="1">
        <v>0</v>
      </c>
      <c r="L4850" s="1"/>
      <c r="M4850" s="1">
        <v>1.3</v>
      </c>
      <c r="O4850" s="1"/>
      <c r="P4850" s="1">
        <v>0.5</v>
      </c>
      <c r="Q4850" s="1">
        <v>3.6</v>
      </c>
      <c r="R4850" s="1">
        <v>0</v>
      </c>
      <c r="S4850" s="1"/>
      <c r="T4850" s="1"/>
      <c r="U4850" s="1">
        <v>0</v>
      </c>
      <c r="X4850" s="1">
        <v>0</v>
      </c>
    </row>
    <row r="4851" spans="1:24" x14ac:dyDescent="0.25">
      <c r="A4851" s="22">
        <v>43202</v>
      </c>
      <c r="B4851" s="1"/>
      <c r="C4851" s="1">
        <v>7.1</v>
      </c>
      <c r="D4851" s="1">
        <v>16.5</v>
      </c>
      <c r="E4851" s="1"/>
      <c r="F4851" s="1">
        <v>14.8</v>
      </c>
      <c r="G4851" s="1">
        <v>7.2</v>
      </c>
      <c r="H4851" s="1">
        <v>0</v>
      </c>
      <c r="I4851" s="1">
        <v>7.5</v>
      </c>
      <c r="J4851" s="1">
        <v>11</v>
      </c>
      <c r="K4851" s="1">
        <v>0</v>
      </c>
      <c r="L4851" s="1"/>
      <c r="M4851" s="1">
        <v>13.1</v>
      </c>
      <c r="O4851" s="1"/>
      <c r="P4851" s="1">
        <v>13.7</v>
      </c>
      <c r="Q4851" s="1">
        <v>2.1</v>
      </c>
      <c r="R4851" s="1">
        <v>2.2000000000000002</v>
      </c>
      <c r="S4851" s="1"/>
      <c r="T4851" s="1"/>
      <c r="U4851" s="1">
        <v>22</v>
      </c>
      <c r="X4851" s="1">
        <v>0</v>
      </c>
    </row>
    <row r="4852" spans="1:24" x14ac:dyDescent="0.25">
      <c r="A4852" s="22">
        <v>43203</v>
      </c>
      <c r="B4852" s="1"/>
      <c r="C4852" s="1">
        <v>4</v>
      </c>
      <c r="D4852" s="1">
        <v>6.7</v>
      </c>
      <c r="E4852" s="1"/>
      <c r="F4852" s="1"/>
      <c r="G4852" s="1">
        <v>1.2</v>
      </c>
      <c r="H4852" s="1">
        <v>0</v>
      </c>
      <c r="I4852" s="1">
        <v>4</v>
      </c>
      <c r="J4852" s="1">
        <v>1.4</v>
      </c>
      <c r="K4852" s="1">
        <v>0</v>
      </c>
      <c r="L4852" s="1"/>
      <c r="M4852" s="1">
        <v>2.1</v>
      </c>
      <c r="O4852" s="1"/>
      <c r="P4852" s="1">
        <v>0</v>
      </c>
      <c r="Q4852" s="1">
        <v>0</v>
      </c>
      <c r="R4852" s="1">
        <v>0</v>
      </c>
      <c r="S4852" s="1"/>
      <c r="T4852" s="1"/>
      <c r="U4852" s="1">
        <v>8</v>
      </c>
      <c r="X4852" s="1">
        <v>0</v>
      </c>
    </row>
    <row r="4853" spans="1:24" x14ac:dyDescent="0.25">
      <c r="A4853" s="22">
        <v>43204</v>
      </c>
      <c r="B4853" s="1"/>
      <c r="C4853" s="1">
        <v>9.8000000000000007</v>
      </c>
      <c r="D4853" s="1">
        <v>4.5</v>
      </c>
      <c r="E4853" s="1"/>
      <c r="F4853" s="1"/>
      <c r="G4853" s="1">
        <v>1.8</v>
      </c>
      <c r="H4853" s="1">
        <v>0</v>
      </c>
      <c r="I4853" s="1">
        <v>0.9</v>
      </c>
      <c r="J4853" s="1">
        <v>0</v>
      </c>
      <c r="K4853" s="1">
        <v>0</v>
      </c>
      <c r="L4853" s="1"/>
      <c r="M4853" s="1">
        <v>0.2</v>
      </c>
      <c r="O4853" s="1"/>
      <c r="P4853" s="1">
        <v>0</v>
      </c>
      <c r="Q4853" s="1">
        <v>0</v>
      </c>
      <c r="R4853" s="1">
        <v>0</v>
      </c>
      <c r="S4853" s="1"/>
      <c r="T4853" s="1"/>
      <c r="U4853" s="1">
        <v>0</v>
      </c>
      <c r="X4853" s="1">
        <v>0.3</v>
      </c>
    </row>
    <row r="4854" spans="1:24" x14ac:dyDescent="0.25">
      <c r="A4854" s="22">
        <v>43205</v>
      </c>
      <c r="B4854" s="1"/>
      <c r="C4854" s="1">
        <v>0</v>
      </c>
      <c r="D4854" s="1">
        <v>0</v>
      </c>
      <c r="E4854" s="1"/>
      <c r="F4854" s="1"/>
      <c r="G4854" s="1">
        <v>0</v>
      </c>
      <c r="H4854" s="1">
        <v>0</v>
      </c>
      <c r="I4854" s="1">
        <v>0</v>
      </c>
      <c r="J4854" s="1">
        <v>0.7</v>
      </c>
      <c r="K4854" s="1">
        <v>0.2</v>
      </c>
      <c r="L4854" s="1"/>
      <c r="M4854" s="1">
        <v>0</v>
      </c>
      <c r="O4854" s="1"/>
      <c r="P4854" s="1">
        <v>0</v>
      </c>
      <c r="Q4854" s="1">
        <v>1.7</v>
      </c>
      <c r="R4854" s="1">
        <v>0</v>
      </c>
      <c r="S4854" s="1"/>
      <c r="T4854" s="1"/>
      <c r="U4854" s="1">
        <v>0</v>
      </c>
      <c r="X4854" s="1">
        <v>0.2</v>
      </c>
    </row>
    <row r="4855" spans="1:24" x14ac:dyDescent="0.25">
      <c r="A4855" s="22">
        <v>43206</v>
      </c>
      <c r="B4855" s="1"/>
      <c r="C4855" s="1">
        <v>2.8</v>
      </c>
      <c r="D4855" s="1">
        <v>3.1</v>
      </c>
      <c r="E4855" s="1"/>
      <c r="F4855" s="1"/>
      <c r="G4855" s="1">
        <v>3.2</v>
      </c>
      <c r="H4855" s="1">
        <v>0</v>
      </c>
      <c r="I4855" s="1">
        <v>0</v>
      </c>
      <c r="J4855" s="1">
        <v>0.9</v>
      </c>
      <c r="K4855" s="1">
        <v>0</v>
      </c>
      <c r="L4855" s="1"/>
      <c r="M4855" s="1">
        <v>1.1000000000000001</v>
      </c>
      <c r="O4855" s="1"/>
      <c r="P4855" s="1">
        <v>0.5</v>
      </c>
      <c r="Q4855" s="1">
        <v>0</v>
      </c>
      <c r="R4855" s="1">
        <v>0</v>
      </c>
      <c r="S4855" s="1"/>
      <c r="T4855" s="1"/>
      <c r="U4855" s="1">
        <v>6</v>
      </c>
      <c r="X4855" s="1">
        <v>0</v>
      </c>
    </row>
    <row r="4856" spans="1:24" x14ac:dyDescent="0.25">
      <c r="A4856" s="22">
        <v>43207</v>
      </c>
      <c r="B4856" s="1"/>
      <c r="C4856" s="1">
        <v>5.2</v>
      </c>
      <c r="D4856" s="1">
        <v>8.6</v>
      </c>
      <c r="E4856" s="1"/>
      <c r="F4856" s="1"/>
      <c r="G4856" s="1">
        <v>0</v>
      </c>
      <c r="H4856" s="1">
        <v>0</v>
      </c>
      <c r="I4856" s="1">
        <v>0</v>
      </c>
      <c r="J4856" s="1">
        <v>2.7</v>
      </c>
      <c r="K4856" s="1">
        <v>0</v>
      </c>
      <c r="L4856" s="1"/>
      <c r="M4856" s="1">
        <v>0.5</v>
      </c>
      <c r="O4856" s="1"/>
      <c r="P4856" s="1">
        <v>0</v>
      </c>
      <c r="Q4856" s="1">
        <v>0</v>
      </c>
      <c r="R4856" s="1">
        <v>0</v>
      </c>
      <c r="S4856" s="1"/>
      <c r="T4856" s="1"/>
      <c r="U4856" s="1">
        <v>9</v>
      </c>
      <c r="X4856" s="1">
        <v>0</v>
      </c>
    </row>
    <row r="4857" spans="1:24" x14ac:dyDescent="0.25">
      <c r="A4857" s="22">
        <v>43208</v>
      </c>
      <c r="B4857" s="1"/>
      <c r="C4857" s="1">
        <v>0</v>
      </c>
      <c r="D4857" s="1">
        <v>0.6</v>
      </c>
      <c r="E4857" s="1"/>
      <c r="F4857" s="1"/>
      <c r="G4857" s="1">
        <v>0</v>
      </c>
      <c r="H4857" s="1">
        <v>0</v>
      </c>
      <c r="I4857" s="1">
        <v>0</v>
      </c>
      <c r="J4857" s="1">
        <v>0</v>
      </c>
      <c r="K4857" s="1">
        <v>4.5</v>
      </c>
      <c r="L4857" s="1"/>
      <c r="M4857" s="1">
        <v>0</v>
      </c>
      <c r="O4857" s="1"/>
      <c r="P4857" s="1">
        <v>0</v>
      </c>
      <c r="Q4857" s="1">
        <v>1.6</v>
      </c>
      <c r="R4857" s="1">
        <v>0.3</v>
      </c>
      <c r="S4857" s="1"/>
      <c r="T4857" s="1"/>
      <c r="U4857" s="1">
        <v>0</v>
      </c>
      <c r="X4857" s="1">
        <v>1.6</v>
      </c>
    </row>
    <row r="4858" spans="1:24" x14ac:dyDescent="0.25">
      <c r="A4858" s="22">
        <v>43209</v>
      </c>
      <c r="B4858" s="1"/>
      <c r="C4858" s="1">
        <v>4.7</v>
      </c>
      <c r="D4858" s="1">
        <v>2.4</v>
      </c>
      <c r="E4858" s="1"/>
      <c r="F4858" s="1"/>
      <c r="G4858" s="1">
        <v>2.9</v>
      </c>
      <c r="H4858" s="1">
        <v>0.4</v>
      </c>
      <c r="I4858" s="1">
        <v>0.9</v>
      </c>
      <c r="J4858" s="1">
        <v>2.5</v>
      </c>
      <c r="K4858" s="1">
        <v>0</v>
      </c>
      <c r="L4858" s="1"/>
      <c r="M4858" s="1">
        <v>0.6</v>
      </c>
      <c r="O4858" s="1"/>
      <c r="P4858" s="1">
        <v>0</v>
      </c>
      <c r="Q4858" s="1">
        <v>0</v>
      </c>
      <c r="R4858" s="1">
        <v>0</v>
      </c>
      <c r="S4858" s="1"/>
      <c r="T4858" s="1"/>
      <c r="U4858" s="1">
        <v>2</v>
      </c>
      <c r="X4858" s="1">
        <v>0</v>
      </c>
    </row>
    <row r="4859" spans="1:24" x14ac:dyDescent="0.25">
      <c r="A4859" s="22">
        <v>43210</v>
      </c>
      <c r="B4859" s="1">
        <v>25</v>
      </c>
      <c r="C4859" s="1">
        <v>0</v>
      </c>
      <c r="D4859" s="1">
        <v>1</v>
      </c>
      <c r="E4859" s="1"/>
      <c r="F4859" s="1"/>
      <c r="G4859" s="1">
        <v>0.8</v>
      </c>
      <c r="H4859" s="1">
        <v>2.2999999999999998</v>
      </c>
      <c r="I4859" s="1">
        <v>0</v>
      </c>
      <c r="J4859" s="1">
        <v>6.8</v>
      </c>
      <c r="K4859" s="1">
        <v>3.1</v>
      </c>
      <c r="L4859" s="1"/>
      <c r="M4859" s="1">
        <v>0.5</v>
      </c>
      <c r="O4859" s="1"/>
      <c r="P4859" s="1">
        <v>1.6</v>
      </c>
      <c r="Q4859" s="1">
        <v>1.7</v>
      </c>
      <c r="R4859" s="1">
        <v>2.4</v>
      </c>
      <c r="S4859" s="1"/>
      <c r="T4859" s="1"/>
      <c r="U4859" s="1">
        <v>0</v>
      </c>
      <c r="X4859" s="1">
        <v>0</v>
      </c>
    </row>
    <row r="4860" spans="1:24" x14ac:dyDescent="0.25">
      <c r="A4860" s="22">
        <v>43211</v>
      </c>
      <c r="B4860" s="1"/>
      <c r="C4860" s="1">
        <v>4.3</v>
      </c>
      <c r="D4860" s="1">
        <v>4.4000000000000004</v>
      </c>
      <c r="E4860" s="1">
        <v>22</v>
      </c>
      <c r="F4860" s="1"/>
      <c r="G4860" s="1">
        <v>2.9</v>
      </c>
      <c r="H4860" s="1">
        <v>2</v>
      </c>
      <c r="I4860" s="1">
        <v>0</v>
      </c>
      <c r="J4860" s="1">
        <v>3.2</v>
      </c>
      <c r="K4860" s="1">
        <v>0</v>
      </c>
      <c r="L4860" s="1"/>
      <c r="M4860" s="1">
        <v>3.2</v>
      </c>
      <c r="O4860" s="1"/>
      <c r="P4860" s="1">
        <v>4.8</v>
      </c>
      <c r="Q4860" s="1">
        <v>2.8</v>
      </c>
      <c r="R4860" s="1">
        <v>1.2</v>
      </c>
      <c r="S4860" s="1"/>
      <c r="T4860" s="1"/>
      <c r="U4860" s="1">
        <v>0</v>
      </c>
      <c r="X4860" s="1">
        <v>0.3</v>
      </c>
    </row>
    <row r="4861" spans="1:24" x14ac:dyDescent="0.25">
      <c r="A4861" s="22">
        <v>43212</v>
      </c>
      <c r="B4861" s="1"/>
      <c r="C4861" s="1">
        <v>2.6</v>
      </c>
      <c r="D4861" s="1">
        <v>6.9</v>
      </c>
      <c r="E4861" s="1"/>
      <c r="F4861" s="1">
        <v>7.1</v>
      </c>
      <c r="G4861" s="1">
        <v>3.3</v>
      </c>
      <c r="H4861" s="1">
        <v>3.5</v>
      </c>
      <c r="I4861" s="1">
        <v>5.9</v>
      </c>
      <c r="J4861" s="1">
        <v>5.4</v>
      </c>
      <c r="K4861" s="1">
        <v>0</v>
      </c>
      <c r="L4861" s="1"/>
      <c r="M4861" s="1">
        <v>0</v>
      </c>
      <c r="O4861" s="1"/>
      <c r="P4861" s="1">
        <v>2.8</v>
      </c>
      <c r="Q4861" s="1">
        <v>4.5</v>
      </c>
      <c r="R4861" s="1">
        <v>0</v>
      </c>
      <c r="S4861" s="1"/>
      <c r="T4861" s="1"/>
      <c r="U4861" s="1">
        <v>0</v>
      </c>
      <c r="X4861" s="1">
        <v>0.2</v>
      </c>
    </row>
    <row r="4862" spans="1:24" x14ac:dyDescent="0.25">
      <c r="A4862" s="22">
        <v>43213</v>
      </c>
      <c r="B4862" s="1"/>
      <c r="C4862" s="1">
        <v>0.6</v>
      </c>
      <c r="D4862" s="1">
        <v>0</v>
      </c>
      <c r="E4862" s="1"/>
      <c r="F4862" s="1"/>
      <c r="G4862" s="1">
        <v>0</v>
      </c>
      <c r="H4862" s="1">
        <v>3.5</v>
      </c>
      <c r="I4862" s="1">
        <v>3.2</v>
      </c>
      <c r="J4862" s="1">
        <v>1</v>
      </c>
      <c r="K4862" s="1">
        <v>11.5</v>
      </c>
      <c r="L4862" s="1"/>
      <c r="M4862" s="1">
        <v>6.2</v>
      </c>
      <c r="O4862" s="1"/>
      <c r="P4862" s="1">
        <v>0.5</v>
      </c>
      <c r="Q4862" s="1">
        <v>3.8</v>
      </c>
      <c r="R4862" s="1">
        <v>0</v>
      </c>
      <c r="S4862" s="1"/>
      <c r="T4862" s="1"/>
      <c r="U4862" s="1">
        <v>15</v>
      </c>
      <c r="X4862" s="1">
        <v>0</v>
      </c>
    </row>
    <row r="4863" spans="1:24" x14ac:dyDescent="0.25">
      <c r="A4863" s="22">
        <v>43214</v>
      </c>
      <c r="B4863" s="1"/>
      <c r="C4863" s="1">
        <v>2.1</v>
      </c>
      <c r="D4863" s="1">
        <v>7</v>
      </c>
      <c r="E4863" s="1"/>
      <c r="F4863" s="1"/>
      <c r="G4863" s="1">
        <v>3.2</v>
      </c>
      <c r="H4863" s="1">
        <v>1.9</v>
      </c>
      <c r="I4863" s="1">
        <v>6.3</v>
      </c>
      <c r="J4863" s="1">
        <v>7.7</v>
      </c>
      <c r="K4863" s="1">
        <v>6.4</v>
      </c>
      <c r="L4863" s="1"/>
      <c r="M4863" s="1">
        <v>8.4</v>
      </c>
      <c r="O4863" s="1"/>
      <c r="P4863" s="1">
        <v>2.2000000000000002</v>
      </c>
      <c r="Q4863" s="1">
        <v>2.7</v>
      </c>
      <c r="R4863" s="1">
        <v>4.0999999999999996</v>
      </c>
      <c r="S4863" s="1"/>
      <c r="T4863" s="1"/>
      <c r="U4863" s="1">
        <v>8</v>
      </c>
      <c r="X4863" s="1">
        <v>0</v>
      </c>
    </row>
    <row r="4864" spans="1:24" x14ac:dyDescent="0.25">
      <c r="A4864" s="22">
        <v>43215</v>
      </c>
      <c r="B4864" s="1"/>
      <c r="C4864" s="1">
        <v>0</v>
      </c>
      <c r="D4864" s="1">
        <v>2</v>
      </c>
      <c r="E4864" s="1"/>
      <c r="F4864" s="1"/>
      <c r="G4864" s="1">
        <v>1.1000000000000001</v>
      </c>
      <c r="H4864" s="1">
        <v>0</v>
      </c>
      <c r="I4864" s="1">
        <v>0</v>
      </c>
      <c r="J4864" s="1">
        <v>3.8</v>
      </c>
      <c r="K4864" s="1">
        <v>6.1</v>
      </c>
      <c r="L4864" s="1"/>
      <c r="M4864" s="1">
        <v>2.2999999999999998</v>
      </c>
      <c r="O4864" s="1"/>
      <c r="P4864" s="1">
        <v>1.7</v>
      </c>
      <c r="Q4864" s="1">
        <v>1.4</v>
      </c>
      <c r="R4864" s="1">
        <v>2.2999999999999998</v>
      </c>
      <c r="S4864" s="1"/>
      <c r="T4864" s="1"/>
      <c r="U4864" s="1">
        <v>8</v>
      </c>
      <c r="X4864" s="1">
        <v>0</v>
      </c>
    </row>
    <row r="4865" spans="1:24" x14ac:dyDescent="0.25">
      <c r="A4865" s="22">
        <v>43216</v>
      </c>
      <c r="B4865" s="1"/>
      <c r="C4865" s="1">
        <v>1.3</v>
      </c>
      <c r="D4865" s="1">
        <v>0</v>
      </c>
      <c r="E4865" s="1"/>
      <c r="F4865" s="1"/>
      <c r="G4865" s="1">
        <v>0</v>
      </c>
      <c r="H4865" s="1">
        <v>0</v>
      </c>
      <c r="I4865" s="1">
        <v>0</v>
      </c>
      <c r="J4865" s="1"/>
      <c r="K4865" s="1">
        <v>0</v>
      </c>
      <c r="L4865" s="1"/>
      <c r="M4865" s="1">
        <v>0</v>
      </c>
      <c r="O4865" s="1"/>
      <c r="P4865" s="1">
        <v>0</v>
      </c>
      <c r="Q4865" s="1">
        <v>0.8</v>
      </c>
      <c r="R4865" s="1">
        <v>1.1000000000000001</v>
      </c>
      <c r="S4865" s="1"/>
      <c r="T4865" s="1"/>
      <c r="U4865" s="1">
        <v>0</v>
      </c>
      <c r="X4865" s="1">
        <v>1.8</v>
      </c>
    </row>
    <row r="4866" spans="1:24" x14ac:dyDescent="0.25">
      <c r="A4866" s="22">
        <v>43217</v>
      </c>
      <c r="B4866" s="1"/>
      <c r="C4866" s="1">
        <v>5.2</v>
      </c>
      <c r="D4866" s="1">
        <v>4</v>
      </c>
      <c r="E4866" s="1"/>
      <c r="F4866" s="1"/>
      <c r="G4866" s="1">
        <v>2.6</v>
      </c>
      <c r="H4866" s="1">
        <v>0</v>
      </c>
      <c r="I4866" s="1">
        <v>0</v>
      </c>
      <c r="J4866" s="1">
        <v>2.2000000000000002</v>
      </c>
      <c r="K4866" s="1">
        <v>3.5</v>
      </c>
      <c r="L4866" s="1"/>
      <c r="M4866" s="1">
        <v>3</v>
      </c>
      <c r="O4866" s="1"/>
      <c r="P4866" s="1">
        <v>0.5</v>
      </c>
      <c r="Q4866" s="1">
        <v>3.7</v>
      </c>
      <c r="R4866" s="1">
        <v>0</v>
      </c>
      <c r="S4866" s="1"/>
      <c r="T4866" s="1"/>
      <c r="U4866" s="1">
        <v>3</v>
      </c>
      <c r="X4866" s="1">
        <v>0</v>
      </c>
    </row>
    <row r="4867" spans="1:24" x14ac:dyDescent="0.25">
      <c r="A4867" s="22">
        <v>43218</v>
      </c>
      <c r="B4867" s="1"/>
      <c r="C4867" s="1">
        <v>0.6</v>
      </c>
      <c r="D4867" s="1">
        <v>0</v>
      </c>
      <c r="E4867" s="1"/>
      <c r="F4867" s="1"/>
      <c r="G4867" s="1">
        <v>0</v>
      </c>
      <c r="H4867" s="1">
        <v>0</v>
      </c>
      <c r="I4867" s="1">
        <v>0</v>
      </c>
      <c r="J4867" s="1">
        <v>2.6</v>
      </c>
      <c r="K4867" s="1">
        <v>0</v>
      </c>
      <c r="L4867" s="1"/>
      <c r="M4867" s="1">
        <v>0.1</v>
      </c>
      <c r="O4867" s="1"/>
      <c r="P4867" s="1">
        <v>0</v>
      </c>
      <c r="Q4867" s="1">
        <v>0</v>
      </c>
      <c r="R4867" s="1">
        <v>1</v>
      </c>
      <c r="S4867" s="1"/>
      <c r="T4867" s="1"/>
      <c r="U4867" s="1">
        <v>0</v>
      </c>
      <c r="X4867" s="1">
        <v>0</v>
      </c>
    </row>
    <row r="4868" spans="1:24" x14ac:dyDescent="0.25">
      <c r="A4868" s="22">
        <v>43219</v>
      </c>
      <c r="B4868" s="1"/>
      <c r="C4868" s="1">
        <v>0.9</v>
      </c>
      <c r="D4868" s="1">
        <v>0</v>
      </c>
      <c r="E4868" s="1"/>
      <c r="F4868" s="1"/>
      <c r="G4868" s="1">
        <v>0</v>
      </c>
      <c r="H4868" s="1">
        <v>0</v>
      </c>
      <c r="I4868" s="1">
        <v>3.2</v>
      </c>
      <c r="J4868" s="1">
        <v>1.2</v>
      </c>
      <c r="K4868" s="1">
        <v>0.1</v>
      </c>
      <c r="L4868" s="1"/>
      <c r="M4868" s="1">
        <v>0</v>
      </c>
      <c r="O4868" s="1"/>
      <c r="P4868" s="1">
        <v>0</v>
      </c>
      <c r="Q4868" s="1">
        <v>1.7</v>
      </c>
      <c r="R4868" s="1">
        <v>0</v>
      </c>
      <c r="S4868" s="1"/>
      <c r="T4868" s="1"/>
      <c r="U4868" s="1">
        <v>0</v>
      </c>
      <c r="X4868" s="1">
        <v>0</v>
      </c>
    </row>
    <row r="4869" spans="1:24" x14ac:dyDescent="0.25">
      <c r="A4869" s="22">
        <v>43220</v>
      </c>
      <c r="B4869" s="1"/>
      <c r="C4869" s="1">
        <v>0</v>
      </c>
      <c r="D4869" s="1">
        <v>7.4</v>
      </c>
      <c r="E4869" s="1">
        <v>5</v>
      </c>
      <c r="F4869" s="1"/>
      <c r="G4869" s="1">
        <v>1.4</v>
      </c>
      <c r="H4869" s="1">
        <v>0</v>
      </c>
      <c r="I4869" s="1">
        <v>0</v>
      </c>
      <c r="J4869" s="1">
        <v>2.1</v>
      </c>
      <c r="K4869" s="1"/>
      <c r="L4869" s="1"/>
      <c r="M4869" s="1">
        <v>0.1</v>
      </c>
      <c r="O4869" s="1"/>
      <c r="P4869" s="1">
        <v>0</v>
      </c>
      <c r="Q4869" s="1">
        <v>0</v>
      </c>
      <c r="R4869" s="1">
        <v>2</v>
      </c>
      <c r="S4869" s="1"/>
      <c r="T4869" s="1"/>
      <c r="U4869" s="1">
        <v>6</v>
      </c>
      <c r="X4869" s="1">
        <v>0</v>
      </c>
    </row>
    <row r="4870" spans="1:24" x14ac:dyDescent="0.25">
      <c r="A4870" s="22">
        <v>43221</v>
      </c>
      <c r="B4870" s="1">
        <v>0</v>
      </c>
      <c r="C4870" s="1">
        <v>0.8</v>
      </c>
      <c r="D4870" s="1">
        <v>2.5</v>
      </c>
      <c r="E4870" s="1"/>
      <c r="F4870" s="1">
        <v>0</v>
      </c>
      <c r="G4870" s="1">
        <v>1.1000000000000001</v>
      </c>
      <c r="H4870" s="1">
        <v>0</v>
      </c>
      <c r="I4870" s="1">
        <v>0</v>
      </c>
      <c r="J4870" s="30" t="s">
        <v>9</v>
      </c>
      <c r="K4870" s="1">
        <v>0</v>
      </c>
      <c r="L4870" s="1">
        <v>0</v>
      </c>
      <c r="M4870" s="1">
        <v>0</v>
      </c>
      <c r="O4870" s="1">
        <v>0</v>
      </c>
      <c r="P4870" s="1">
        <v>0</v>
      </c>
      <c r="Q4870" s="1">
        <v>2.1</v>
      </c>
      <c r="R4870" s="1">
        <v>0</v>
      </c>
      <c r="S4870" s="1"/>
      <c r="T4870" s="1"/>
      <c r="U4870" s="1">
        <v>0</v>
      </c>
      <c r="X4870" s="1">
        <v>0.3</v>
      </c>
    </row>
    <row r="4871" spans="1:24" x14ac:dyDescent="0.25">
      <c r="A4871" s="22">
        <v>43222</v>
      </c>
      <c r="B4871" s="1">
        <v>30.9</v>
      </c>
      <c r="C4871" s="1">
        <v>22.4</v>
      </c>
      <c r="D4871" s="1">
        <v>16.5</v>
      </c>
      <c r="E4871" s="1"/>
      <c r="F4871" s="1">
        <v>0</v>
      </c>
      <c r="G4871" s="1">
        <v>3.3</v>
      </c>
      <c r="H4871" s="1">
        <v>0</v>
      </c>
      <c r="I4871" s="1">
        <v>0</v>
      </c>
      <c r="J4871" s="1">
        <v>2.7</v>
      </c>
      <c r="K4871" s="1">
        <v>12.2</v>
      </c>
      <c r="L4871" s="1">
        <v>2.2859999999999996</v>
      </c>
      <c r="M4871" s="1">
        <v>11.1</v>
      </c>
      <c r="O4871" s="1">
        <v>7.6199999999999992</v>
      </c>
      <c r="P4871" s="1">
        <v>0.6</v>
      </c>
      <c r="Q4871" s="1">
        <v>0</v>
      </c>
      <c r="R4871" s="1">
        <v>0</v>
      </c>
      <c r="S4871" s="1"/>
      <c r="T4871" s="1"/>
      <c r="U4871" s="1">
        <v>7</v>
      </c>
      <c r="X4871" s="1">
        <v>0</v>
      </c>
    </row>
    <row r="4872" spans="1:24" x14ac:dyDescent="0.25">
      <c r="A4872" s="22">
        <v>43223</v>
      </c>
      <c r="B4872" s="1">
        <v>11.8</v>
      </c>
      <c r="C4872" s="1">
        <v>3.4</v>
      </c>
      <c r="D4872" s="1">
        <v>9.8000000000000007</v>
      </c>
      <c r="E4872" s="1"/>
      <c r="F4872" s="1">
        <v>0</v>
      </c>
      <c r="G4872" s="1">
        <v>0</v>
      </c>
      <c r="H4872" s="1">
        <v>0</v>
      </c>
      <c r="I4872" s="1">
        <v>0</v>
      </c>
      <c r="J4872" s="1">
        <v>4.9000000000000004</v>
      </c>
      <c r="K4872" s="1">
        <v>0</v>
      </c>
      <c r="L4872" s="1">
        <v>0</v>
      </c>
      <c r="M4872" s="1">
        <v>0</v>
      </c>
      <c r="O4872" s="1">
        <v>1.27</v>
      </c>
      <c r="P4872" s="1">
        <v>0</v>
      </c>
      <c r="Q4872" s="1">
        <v>5.0999999999999996</v>
      </c>
      <c r="R4872" s="1">
        <v>4.2</v>
      </c>
      <c r="S4872" s="1"/>
      <c r="T4872" s="1"/>
      <c r="U4872" s="1">
        <v>6</v>
      </c>
      <c r="X4872" s="1">
        <v>0</v>
      </c>
    </row>
    <row r="4873" spans="1:24" x14ac:dyDescent="0.25">
      <c r="A4873" s="22">
        <v>43224</v>
      </c>
      <c r="B4873" s="1">
        <v>0</v>
      </c>
      <c r="C4873" s="1">
        <v>7.8</v>
      </c>
      <c r="D4873" s="30" t="s">
        <v>9</v>
      </c>
      <c r="E4873" s="1"/>
      <c r="F4873" s="1">
        <v>0</v>
      </c>
      <c r="G4873" s="1">
        <v>1.7</v>
      </c>
      <c r="H4873" s="1">
        <v>3.4</v>
      </c>
      <c r="I4873" s="1">
        <v>0</v>
      </c>
      <c r="J4873" s="1">
        <v>2.1</v>
      </c>
      <c r="K4873" s="1">
        <v>5.4</v>
      </c>
      <c r="L4873" s="1">
        <v>5.5880000000000001</v>
      </c>
      <c r="M4873" s="1">
        <v>1.9</v>
      </c>
      <c r="O4873" s="1">
        <v>9.9060000000000006</v>
      </c>
      <c r="P4873" s="1">
        <v>4.0999999999999996</v>
      </c>
      <c r="Q4873" s="1">
        <v>0</v>
      </c>
      <c r="R4873" s="1">
        <v>0</v>
      </c>
      <c r="S4873" s="1"/>
      <c r="T4873" s="1"/>
      <c r="U4873" s="1">
        <v>3</v>
      </c>
      <c r="X4873" s="1">
        <v>0</v>
      </c>
    </row>
    <row r="4874" spans="1:24" x14ac:dyDescent="0.25">
      <c r="A4874" s="22">
        <v>43225</v>
      </c>
      <c r="B4874" s="1">
        <v>0</v>
      </c>
      <c r="C4874" s="1">
        <v>0.6</v>
      </c>
      <c r="D4874" s="30" t="s">
        <v>9</v>
      </c>
      <c r="E4874" s="1"/>
      <c r="F4874" s="1">
        <v>0</v>
      </c>
      <c r="G4874" s="1">
        <v>3.4</v>
      </c>
      <c r="H4874" s="1">
        <v>1.8</v>
      </c>
      <c r="I4874" s="1">
        <v>12.5</v>
      </c>
      <c r="J4874" s="30" t="s">
        <v>9</v>
      </c>
      <c r="K4874" s="1">
        <v>0.1</v>
      </c>
      <c r="L4874" s="1">
        <v>1.27</v>
      </c>
      <c r="M4874" s="1">
        <v>3.1</v>
      </c>
      <c r="O4874" s="1">
        <v>0</v>
      </c>
      <c r="P4874" s="1">
        <v>0</v>
      </c>
      <c r="Q4874" s="1">
        <v>0</v>
      </c>
      <c r="R4874" s="1">
        <v>0</v>
      </c>
      <c r="S4874" s="1"/>
      <c r="T4874" s="1"/>
      <c r="U4874" s="1">
        <v>0</v>
      </c>
      <c r="X4874" s="1">
        <v>0</v>
      </c>
    </row>
    <row r="4875" spans="1:24" x14ac:dyDescent="0.25">
      <c r="A4875" s="22">
        <v>43226</v>
      </c>
      <c r="B4875" s="1">
        <v>8.4</v>
      </c>
      <c r="C4875" s="1">
        <v>2.4</v>
      </c>
      <c r="D4875" s="1">
        <v>8.3000000000000007</v>
      </c>
      <c r="E4875" s="1"/>
      <c r="F4875" s="1">
        <v>0</v>
      </c>
      <c r="G4875" s="1">
        <v>0.6</v>
      </c>
      <c r="H4875" s="1">
        <v>0</v>
      </c>
      <c r="I4875" s="1">
        <v>0</v>
      </c>
      <c r="J4875" s="1">
        <v>3.1</v>
      </c>
      <c r="K4875" s="1">
        <v>0</v>
      </c>
      <c r="L4875" s="1">
        <v>2.032</v>
      </c>
      <c r="M4875" s="1">
        <v>0.3</v>
      </c>
      <c r="O4875" s="1">
        <v>0</v>
      </c>
      <c r="P4875" s="1">
        <v>0.5</v>
      </c>
      <c r="Q4875" s="1">
        <v>1.5</v>
      </c>
      <c r="R4875" s="1">
        <v>2.2999999999999998</v>
      </c>
      <c r="S4875" s="1"/>
      <c r="T4875" s="1"/>
      <c r="U4875" s="1">
        <v>0</v>
      </c>
      <c r="X4875" s="1">
        <v>0.2</v>
      </c>
    </row>
    <row r="4876" spans="1:24" x14ac:dyDescent="0.25">
      <c r="A4876" s="22">
        <v>43227</v>
      </c>
      <c r="B4876" s="1">
        <v>0</v>
      </c>
      <c r="C4876" s="1">
        <v>1.3</v>
      </c>
      <c r="D4876" s="1">
        <v>10.1</v>
      </c>
      <c r="E4876" s="1"/>
      <c r="F4876" s="1">
        <v>0</v>
      </c>
      <c r="G4876" s="1">
        <v>0.9</v>
      </c>
      <c r="H4876" s="1">
        <v>0</v>
      </c>
      <c r="I4876" s="1">
        <v>0</v>
      </c>
      <c r="J4876" s="1">
        <v>1.9</v>
      </c>
      <c r="K4876" s="1">
        <v>3.9</v>
      </c>
      <c r="L4876" s="1">
        <v>1.5239999999999998</v>
      </c>
      <c r="M4876" s="1">
        <v>0.4</v>
      </c>
      <c r="O4876" s="1">
        <v>5.08</v>
      </c>
      <c r="P4876" s="1">
        <v>5.0999999999999996</v>
      </c>
      <c r="Q4876" s="1">
        <v>0.7</v>
      </c>
      <c r="R4876" s="1">
        <v>1</v>
      </c>
      <c r="S4876" s="1"/>
      <c r="T4876" s="1"/>
      <c r="U4876" s="1">
        <v>0</v>
      </c>
      <c r="X4876" s="1">
        <v>0</v>
      </c>
    </row>
    <row r="4877" spans="1:24" x14ac:dyDescent="0.25">
      <c r="A4877" s="22">
        <v>43228</v>
      </c>
      <c r="B4877" s="1">
        <v>0.8</v>
      </c>
      <c r="C4877" s="1">
        <v>8.1999999999999993</v>
      </c>
      <c r="D4877" s="1">
        <v>4.5</v>
      </c>
      <c r="E4877" s="1"/>
      <c r="F4877" s="1">
        <v>0</v>
      </c>
      <c r="G4877" s="1">
        <v>0.5</v>
      </c>
      <c r="H4877" s="1">
        <v>0</v>
      </c>
      <c r="I4877" s="1">
        <v>0</v>
      </c>
      <c r="J4877" s="30" t="s">
        <v>9</v>
      </c>
      <c r="K4877" s="1">
        <v>2.7</v>
      </c>
      <c r="L4877" s="1">
        <v>0</v>
      </c>
      <c r="M4877" s="1">
        <v>0.1</v>
      </c>
      <c r="O4877" s="1">
        <v>6.6040000000000001</v>
      </c>
      <c r="P4877" s="1">
        <v>0</v>
      </c>
      <c r="Q4877" s="1">
        <v>0</v>
      </c>
      <c r="R4877" s="1">
        <v>0.6</v>
      </c>
      <c r="S4877" s="1"/>
      <c r="T4877" s="1"/>
      <c r="U4877" s="1">
        <v>10</v>
      </c>
      <c r="X4877" s="1">
        <v>0</v>
      </c>
    </row>
    <row r="4878" spans="1:24" x14ac:dyDescent="0.25">
      <c r="A4878" s="22">
        <v>43229</v>
      </c>
      <c r="B4878" s="1">
        <v>0</v>
      </c>
      <c r="C4878" s="1">
        <v>0.9</v>
      </c>
      <c r="D4878" s="1">
        <v>1.5</v>
      </c>
      <c r="E4878" s="1"/>
      <c r="F4878" s="1">
        <v>0</v>
      </c>
      <c r="G4878" s="1">
        <v>0</v>
      </c>
      <c r="H4878" s="1">
        <v>0</v>
      </c>
      <c r="I4878" s="1">
        <v>0</v>
      </c>
      <c r="J4878" s="1">
        <v>3.6</v>
      </c>
      <c r="K4878" s="1">
        <v>2.1</v>
      </c>
      <c r="L4878" s="1">
        <v>0</v>
      </c>
      <c r="M4878" s="1">
        <v>0</v>
      </c>
      <c r="O4878" s="1">
        <v>6.35</v>
      </c>
      <c r="P4878" s="1">
        <v>0</v>
      </c>
      <c r="Q4878" s="1">
        <v>0</v>
      </c>
      <c r="R4878" s="1">
        <v>0</v>
      </c>
      <c r="S4878" s="1"/>
      <c r="T4878" s="1"/>
      <c r="U4878" s="1">
        <v>0</v>
      </c>
      <c r="X4878" s="1">
        <v>0</v>
      </c>
    </row>
    <row r="4879" spans="1:24" x14ac:dyDescent="0.25">
      <c r="A4879" s="22">
        <v>43230</v>
      </c>
      <c r="B4879" s="1">
        <v>8.1</v>
      </c>
      <c r="C4879" s="30" t="s">
        <v>9</v>
      </c>
      <c r="D4879" s="30" t="s">
        <v>9</v>
      </c>
      <c r="E4879" s="1"/>
      <c r="F4879" s="1">
        <v>0</v>
      </c>
      <c r="G4879" s="1">
        <v>4.2</v>
      </c>
      <c r="H4879" s="1">
        <v>4.0999999999999996</v>
      </c>
      <c r="I4879" s="1">
        <v>0</v>
      </c>
      <c r="J4879" s="1">
        <v>0.5</v>
      </c>
      <c r="K4879" s="1">
        <v>1.8</v>
      </c>
      <c r="L4879" s="1">
        <v>0.50800000000000001</v>
      </c>
      <c r="M4879" s="1">
        <v>6.7</v>
      </c>
      <c r="O4879" s="1">
        <v>1.27</v>
      </c>
      <c r="P4879" s="1">
        <v>0</v>
      </c>
      <c r="Q4879" s="1">
        <v>0</v>
      </c>
      <c r="R4879" s="1">
        <v>0</v>
      </c>
      <c r="S4879" s="1"/>
      <c r="T4879" s="1"/>
      <c r="U4879" s="1">
        <v>0</v>
      </c>
      <c r="X4879" s="1">
        <v>0</v>
      </c>
    </row>
    <row r="4880" spans="1:24" x14ac:dyDescent="0.25">
      <c r="A4880" s="22">
        <v>43231</v>
      </c>
      <c r="B4880" s="1">
        <v>0</v>
      </c>
      <c r="C4880" s="1">
        <v>0</v>
      </c>
      <c r="D4880" s="30" t="s">
        <v>9</v>
      </c>
      <c r="E4880" s="1"/>
      <c r="F4880" s="1">
        <v>0</v>
      </c>
      <c r="G4880" s="1">
        <v>0</v>
      </c>
      <c r="H4880" s="1">
        <v>0</v>
      </c>
      <c r="I4880" s="1">
        <v>0</v>
      </c>
      <c r="J4880" s="1">
        <v>0.5</v>
      </c>
      <c r="K4880" s="1">
        <v>0.5</v>
      </c>
      <c r="L4880" s="1">
        <v>9.6519999999999992</v>
      </c>
      <c r="M4880" s="1">
        <v>0</v>
      </c>
      <c r="O4880" s="1">
        <v>2.54</v>
      </c>
      <c r="P4880" s="1">
        <v>6.1</v>
      </c>
      <c r="Q4880" s="1">
        <v>0</v>
      </c>
      <c r="R4880" s="1">
        <v>0.1</v>
      </c>
      <c r="S4880" s="1"/>
      <c r="T4880" s="1"/>
      <c r="U4880" s="1">
        <v>0</v>
      </c>
      <c r="X4880" s="1">
        <v>0</v>
      </c>
    </row>
    <row r="4881" spans="1:24" x14ac:dyDescent="0.25">
      <c r="A4881" s="22">
        <v>43232</v>
      </c>
      <c r="B4881" s="1">
        <v>0</v>
      </c>
      <c r="C4881" s="30" t="s">
        <v>9</v>
      </c>
      <c r="D4881" s="30" t="s">
        <v>9</v>
      </c>
      <c r="E4881" s="1"/>
      <c r="F4881" s="1">
        <v>0</v>
      </c>
      <c r="G4881" s="1">
        <v>0</v>
      </c>
      <c r="H4881" s="1">
        <v>0</v>
      </c>
      <c r="I4881" s="1">
        <v>0</v>
      </c>
      <c r="J4881" s="1">
        <v>1.2</v>
      </c>
      <c r="K4881" s="1">
        <v>0.3</v>
      </c>
      <c r="L4881" s="1">
        <v>0</v>
      </c>
      <c r="M4881" s="1">
        <v>1.2</v>
      </c>
      <c r="O4881" s="1">
        <v>0</v>
      </c>
      <c r="P4881" s="1">
        <v>0</v>
      </c>
      <c r="Q4881" s="1">
        <v>0</v>
      </c>
      <c r="R4881" s="1">
        <v>0</v>
      </c>
      <c r="S4881" s="1"/>
      <c r="T4881" s="1"/>
      <c r="U4881" s="1">
        <v>0</v>
      </c>
      <c r="X4881" s="1">
        <v>0</v>
      </c>
    </row>
    <row r="4882" spans="1:24" x14ac:dyDescent="0.25">
      <c r="A4882" s="22">
        <v>43233</v>
      </c>
      <c r="B4882" s="1">
        <v>0</v>
      </c>
      <c r="C4882" s="1">
        <v>0.7</v>
      </c>
      <c r="D4882" s="30" t="s">
        <v>9</v>
      </c>
      <c r="E4882" s="1"/>
      <c r="F4882" s="1">
        <v>0</v>
      </c>
      <c r="G4882" s="1">
        <v>0</v>
      </c>
      <c r="H4882" s="1">
        <v>0</v>
      </c>
      <c r="I4882" s="1">
        <v>0</v>
      </c>
      <c r="J4882" s="1">
        <v>0.5</v>
      </c>
      <c r="K4882" s="1">
        <v>0</v>
      </c>
      <c r="L4882" s="1">
        <v>0</v>
      </c>
      <c r="M4882" s="1">
        <v>0</v>
      </c>
      <c r="O4882" s="1">
        <v>0</v>
      </c>
      <c r="P4882" s="1">
        <v>0</v>
      </c>
      <c r="Q4882" s="1">
        <v>1.1000000000000001</v>
      </c>
      <c r="R4882" s="1">
        <v>0</v>
      </c>
      <c r="S4882" s="1"/>
      <c r="T4882" s="1"/>
      <c r="U4882" s="1">
        <v>0</v>
      </c>
      <c r="X4882" s="1">
        <v>0</v>
      </c>
    </row>
    <row r="4883" spans="1:24" x14ac:dyDescent="0.25">
      <c r="A4883" s="22">
        <v>43234</v>
      </c>
      <c r="B4883" s="1">
        <v>0</v>
      </c>
      <c r="C4883" s="30" t="s">
        <v>9</v>
      </c>
      <c r="D4883" s="1">
        <v>4</v>
      </c>
      <c r="E4883" s="1"/>
      <c r="F4883" s="1">
        <v>0</v>
      </c>
      <c r="G4883" s="1">
        <v>0</v>
      </c>
      <c r="H4883" s="1">
        <v>0</v>
      </c>
      <c r="I4883" s="1">
        <v>0</v>
      </c>
      <c r="J4883" s="1">
        <v>0.6</v>
      </c>
      <c r="K4883" s="1">
        <v>2.1</v>
      </c>
      <c r="L4883" s="1">
        <v>0</v>
      </c>
      <c r="M4883" s="1">
        <v>3.9</v>
      </c>
      <c r="O4883" s="1">
        <v>1.27</v>
      </c>
      <c r="P4883" s="1">
        <v>0</v>
      </c>
      <c r="Q4883" s="1">
        <v>0</v>
      </c>
      <c r="R4883" s="1">
        <v>1</v>
      </c>
      <c r="S4883" s="1"/>
      <c r="T4883" s="1"/>
      <c r="U4883" s="1">
        <v>6</v>
      </c>
      <c r="X4883" s="1">
        <v>0</v>
      </c>
    </row>
    <row r="4884" spans="1:24" x14ac:dyDescent="0.25">
      <c r="A4884" s="22">
        <v>43235</v>
      </c>
      <c r="B4884" s="1">
        <v>0</v>
      </c>
      <c r="C4884" s="30" t="s">
        <v>9</v>
      </c>
      <c r="D4884" s="1">
        <v>1.6</v>
      </c>
      <c r="E4884" s="1"/>
      <c r="F4884" s="1">
        <v>0</v>
      </c>
      <c r="G4884" s="1">
        <v>0</v>
      </c>
      <c r="H4884" s="1">
        <v>0</v>
      </c>
      <c r="I4884" s="1">
        <v>0</v>
      </c>
      <c r="J4884" s="30" t="s">
        <v>9</v>
      </c>
      <c r="K4884" s="1">
        <v>0</v>
      </c>
      <c r="L4884" s="1">
        <v>1.016</v>
      </c>
      <c r="M4884" s="1">
        <v>0</v>
      </c>
      <c r="O4884" s="1">
        <v>1.27</v>
      </c>
      <c r="P4884" s="1">
        <v>0</v>
      </c>
      <c r="Q4884" s="1">
        <v>0</v>
      </c>
      <c r="R4884" s="1">
        <v>0</v>
      </c>
      <c r="S4884" s="1"/>
      <c r="T4884" s="1"/>
      <c r="U4884" s="1">
        <v>0</v>
      </c>
      <c r="X4884" s="1">
        <v>0.2</v>
      </c>
    </row>
    <row r="4885" spans="1:24" x14ac:dyDescent="0.25">
      <c r="A4885" s="22">
        <v>43236</v>
      </c>
      <c r="B4885" s="1">
        <v>0</v>
      </c>
      <c r="C4885" s="1">
        <v>2.2000000000000002</v>
      </c>
      <c r="D4885" s="30" t="s">
        <v>9</v>
      </c>
      <c r="E4885" s="1"/>
      <c r="F4885" s="1">
        <v>0</v>
      </c>
      <c r="G4885" s="1">
        <v>0.2</v>
      </c>
      <c r="H4885" s="1">
        <v>0</v>
      </c>
      <c r="I4885" s="1">
        <v>6.1</v>
      </c>
      <c r="J4885" s="1">
        <v>3.6</v>
      </c>
      <c r="K4885" s="1">
        <v>54</v>
      </c>
      <c r="L4885" s="1">
        <v>0</v>
      </c>
      <c r="M4885" s="1">
        <v>1.1000000000000001</v>
      </c>
      <c r="O4885" s="1">
        <v>0</v>
      </c>
      <c r="P4885" s="1">
        <v>0</v>
      </c>
      <c r="Q4885" s="1">
        <v>0</v>
      </c>
      <c r="R4885" s="1">
        <v>0</v>
      </c>
      <c r="S4885" s="1"/>
      <c r="T4885" s="1"/>
      <c r="U4885" s="1">
        <v>0</v>
      </c>
      <c r="X4885" s="1">
        <v>0</v>
      </c>
    </row>
    <row r="4886" spans="1:24" x14ac:dyDescent="0.25">
      <c r="A4886" s="22">
        <v>43237</v>
      </c>
      <c r="B4886" s="1">
        <v>0</v>
      </c>
      <c r="C4886" s="1">
        <v>0</v>
      </c>
      <c r="D4886" s="30" t="s">
        <v>9</v>
      </c>
      <c r="E4886" s="1"/>
      <c r="F4886" s="1">
        <v>0</v>
      </c>
      <c r="G4886" s="1">
        <v>0.3</v>
      </c>
      <c r="H4886" s="1">
        <v>0</v>
      </c>
      <c r="I4886" s="1">
        <v>0</v>
      </c>
      <c r="J4886" s="30" t="s">
        <v>9</v>
      </c>
      <c r="K4886" s="1">
        <v>0</v>
      </c>
      <c r="L4886" s="1">
        <v>0</v>
      </c>
      <c r="M4886" s="1">
        <v>0</v>
      </c>
      <c r="O4886" s="1">
        <v>1.27</v>
      </c>
      <c r="P4886" s="1">
        <v>0</v>
      </c>
      <c r="Q4886" s="1">
        <v>0</v>
      </c>
      <c r="R4886" s="1">
        <v>0</v>
      </c>
      <c r="S4886" s="1"/>
      <c r="T4886" s="1"/>
      <c r="U4886" s="1">
        <v>0</v>
      </c>
      <c r="X4886" s="1">
        <v>0</v>
      </c>
    </row>
    <row r="4887" spans="1:24" x14ac:dyDescent="0.25">
      <c r="A4887" s="22">
        <v>43238</v>
      </c>
      <c r="B4887" s="1">
        <v>0</v>
      </c>
      <c r="C4887" s="1">
        <v>0</v>
      </c>
      <c r="D4887" s="30" t="s">
        <v>9</v>
      </c>
      <c r="E4887" s="1"/>
      <c r="F4887" s="1">
        <v>0</v>
      </c>
      <c r="G4887" s="1">
        <v>0</v>
      </c>
      <c r="H4887" s="1">
        <v>0</v>
      </c>
      <c r="I4887" s="1">
        <v>0.4</v>
      </c>
      <c r="J4887" s="30" t="s">
        <v>9</v>
      </c>
      <c r="K4887" s="1">
        <v>1.8</v>
      </c>
      <c r="L4887" s="1">
        <v>0</v>
      </c>
      <c r="M4887" s="1">
        <v>0.7</v>
      </c>
      <c r="O4887" s="1">
        <v>0</v>
      </c>
      <c r="P4887" s="1">
        <v>1</v>
      </c>
      <c r="Q4887" s="1">
        <v>0</v>
      </c>
      <c r="R4887" s="1">
        <v>0.7</v>
      </c>
      <c r="S4887" s="1"/>
      <c r="T4887" s="1"/>
      <c r="U4887" s="1">
        <v>0</v>
      </c>
      <c r="X4887" s="1">
        <v>0</v>
      </c>
    </row>
    <row r="4888" spans="1:24" x14ac:dyDescent="0.25">
      <c r="A4888" s="22">
        <v>43239</v>
      </c>
      <c r="B4888" s="1">
        <v>0</v>
      </c>
      <c r="C4888" s="1">
        <v>0</v>
      </c>
      <c r="D4888" s="30" t="s">
        <v>9</v>
      </c>
      <c r="E4888" s="1"/>
      <c r="F4888" s="1">
        <v>0</v>
      </c>
      <c r="G4888" s="1">
        <v>0</v>
      </c>
      <c r="H4888" s="1">
        <v>0</v>
      </c>
      <c r="I4888" s="1">
        <v>0</v>
      </c>
      <c r="J4888" s="30" t="s">
        <v>9</v>
      </c>
      <c r="K4888" s="1">
        <v>0</v>
      </c>
      <c r="L4888" s="1">
        <v>0</v>
      </c>
      <c r="M4888" s="1">
        <v>0.2</v>
      </c>
      <c r="O4888" s="1">
        <v>0</v>
      </c>
      <c r="P4888" s="1">
        <v>0</v>
      </c>
      <c r="Q4888" s="1">
        <v>0.5</v>
      </c>
      <c r="R4888" s="1">
        <v>0</v>
      </c>
      <c r="S4888" s="1"/>
      <c r="T4888" s="1"/>
      <c r="U4888" s="1">
        <v>0</v>
      </c>
      <c r="X4888" s="1">
        <v>0</v>
      </c>
    </row>
    <row r="4889" spans="1:24" x14ac:dyDescent="0.25">
      <c r="A4889" s="22">
        <v>43240</v>
      </c>
      <c r="B4889" s="1">
        <v>7.5</v>
      </c>
      <c r="C4889" s="1">
        <v>3.4</v>
      </c>
      <c r="D4889" s="1">
        <v>9.4</v>
      </c>
      <c r="E4889" s="1"/>
      <c r="F4889" s="1">
        <v>0</v>
      </c>
      <c r="G4889" s="1">
        <v>1.6</v>
      </c>
      <c r="H4889" s="1">
        <v>2.5</v>
      </c>
      <c r="I4889" s="1">
        <v>0</v>
      </c>
      <c r="J4889" s="1">
        <v>4</v>
      </c>
      <c r="K4889" s="1">
        <v>0</v>
      </c>
      <c r="L4889" s="1">
        <v>0</v>
      </c>
      <c r="M4889" s="1">
        <v>0</v>
      </c>
      <c r="O4889" s="1">
        <v>0</v>
      </c>
      <c r="P4889" s="1">
        <v>0</v>
      </c>
      <c r="Q4889" s="1">
        <v>6</v>
      </c>
      <c r="R4889" s="1">
        <v>2</v>
      </c>
      <c r="S4889" s="1"/>
      <c r="T4889" s="1"/>
      <c r="U4889" s="1">
        <v>0</v>
      </c>
      <c r="X4889" s="1">
        <v>0.1</v>
      </c>
    </row>
    <row r="4890" spans="1:24" x14ac:dyDescent="0.25">
      <c r="A4890" s="22">
        <v>43241</v>
      </c>
      <c r="B4890" s="1">
        <v>0</v>
      </c>
      <c r="C4890" s="1">
        <v>0</v>
      </c>
      <c r="D4890" s="30" t="s">
        <v>9</v>
      </c>
      <c r="E4890" s="1"/>
      <c r="F4890" s="1">
        <v>0</v>
      </c>
      <c r="G4890" s="1">
        <v>0</v>
      </c>
      <c r="H4890" s="1">
        <v>0</v>
      </c>
      <c r="I4890" s="1">
        <v>0</v>
      </c>
      <c r="J4890" s="1">
        <v>3.9</v>
      </c>
      <c r="K4890" s="1">
        <v>0.1</v>
      </c>
      <c r="L4890" s="1">
        <v>4.8259999999999996</v>
      </c>
      <c r="M4890" s="1">
        <v>1.7</v>
      </c>
      <c r="O4890" s="1">
        <v>0</v>
      </c>
      <c r="P4890" s="1">
        <v>0.9</v>
      </c>
      <c r="Q4890" s="1">
        <v>1.2</v>
      </c>
      <c r="R4890" s="1">
        <v>0.1</v>
      </c>
      <c r="S4890" s="1"/>
      <c r="T4890" s="1"/>
      <c r="U4890" s="1">
        <v>0</v>
      </c>
      <c r="X4890" s="1">
        <v>0</v>
      </c>
    </row>
    <row r="4891" spans="1:24" x14ac:dyDescent="0.25">
      <c r="A4891" s="22">
        <v>43242</v>
      </c>
      <c r="B4891" s="1">
        <v>0</v>
      </c>
      <c r="C4891" s="1">
        <v>4.8</v>
      </c>
      <c r="D4891" s="30" t="s">
        <v>9</v>
      </c>
      <c r="E4891" s="1"/>
      <c r="F4891" s="1">
        <v>0</v>
      </c>
      <c r="G4891" s="1">
        <v>0.8</v>
      </c>
      <c r="H4891" s="1">
        <v>2</v>
      </c>
      <c r="I4891" s="1">
        <v>2.5</v>
      </c>
      <c r="J4891" s="30" t="s">
        <v>9</v>
      </c>
      <c r="K4891" s="1">
        <v>0</v>
      </c>
      <c r="L4891" s="1">
        <v>0.50800000000000001</v>
      </c>
      <c r="M4891" s="1">
        <v>0.4</v>
      </c>
      <c r="O4891" s="1">
        <v>7.6199999999999992</v>
      </c>
      <c r="P4891" s="1">
        <v>0</v>
      </c>
      <c r="Q4891" s="1">
        <v>0</v>
      </c>
      <c r="R4891" s="1">
        <v>0</v>
      </c>
      <c r="S4891" s="1"/>
      <c r="T4891" s="1"/>
      <c r="U4891" s="1">
        <v>5</v>
      </c>
      <c r="X4891" s="1">
        <v>0</v>
      </c>
    </row>
    <row r="4892" spans="1:24" x14ac:dyDescent="0.25">
      <c r="A4892" s="22">
        <v>43243</v>
      </c>
      <c r="B4892" s="1">
        <v>0</v>
      </c>
      <c r="C4892" s="1">
        <v>2.5</v>
      </c>
      <c r="D4892" s="1">
        <v>11.8</v>
      </c>
      <c r="E4892" s="1"/>
      <c r="F4892" s="1">
        <v>0</v>
      </c>
      <c r="G4892" s="1">
        <v>0</v>
      </c>
      <c r="H4892" s="1">
        <v>0</v>
      </c>
      <c r="I4892" s="1">
        <v>0</v>
      </c>
      <c r="J4892" s="30" t="s">
        <v>9</v>
      </c>
      <c r="K4892" s="1">
        <v>0</v>
      </c>
      <c r="L4892" s="1">
        <v>0</v>
      </c>
      <c r="M4892" s="1">
        <v>0.3</v>
      </c>
      <c r="O4892" s="1">
        <v>5.08</v>
      </c>
      <c r="P4892" s="1">
        <v>0.8</v>
      </c>
      <c r="Q4892" s="1">
        <v>0</v>
      </c>
      <c r="R4892" s="1">
        <v>3</v>
      </c>
      <c r="S4892" s="1"/>
      <c r="T4892" s="1"/>
      <c r="U4892" s="1">
        <v>3</v>
      </c>
      <c r="X4892" s="1">
        <v>0.3</v>
      </c>
    </row>
    <row r="4893" spans="1:24" x14ac:dyDescent="0.25">
      <c r="A4893" s="22">
        <v>43244</v>
      </c>
      <c r="B4893" s="1">
        <v>9.5</v>
      </c>
      <c r="C4893" s="1">
        <v>1.1000000000000001</v>
      </c>
      <c r="D4893" s="30" t="s">
        <v>9</v>
      </c>
      <c r="E4893" s="1"/>
      <c r="F4893" s="1">
        <v>5.0999999999999996</v>
      </c>
      <c r="G4893" s="1">
        <v>0</v>
      </c>
      <c r="H4893" s="1">
        <v>0</v>
      </c>
      <c r="I4893" s="1">
        <v>0</v>
      </c>
      <c r="J4893" s="1">
        <v>3.1</v>
      </c>
      <c r="K4893" s="1">
        <v>0</v>
      </c>
      <c r="L4893" s="1">
        <v>0</v>
      </c>
      <c r="M4893" s="1">
        <v>0.3</v>
      </c>
      <c r="O4893" s="1">
        <v>0</v>
      </c>
      <c r="P4893" s="1">
        <v>3.9</v>
      </c>
      <c r="Q4893" s="1">
        <v>3.1</v>
      </c>
      <c r="R4893" s="1">
        <v>0</v>
      </c>
      <c r="S4893" s="1"/>
      <c r="T4893" s="1"/>
      <c r="U4893" s="1">
        <v>0</v>
      </c>
      <c r="X4893" s="1">
        <v>0</v>
      </c>
    </row>
    <row r="4894" spans="1:24" x14ac:dyDescent="0.25">
      <c r="A4894" s="22">
        <v>43245</v>
      </c>
      <c r="B4894" s="1">
        <v>0</v>
      </c>
      <c r="C4894" s="1">
        <v>1.4</v>
      </c>
      <c r="D4894" s="30" t="s">
        <v>9</v>
      </c>
      <c r="E4894" s="1"/>
      <c r="F4894" s="1">
        <v>0</v>
      </c>
      <c r="G4894" s="1">
        <v>0</v>
      </c>
      <c r="H4894" s="1">
        <v>0.6</v>
      </c>
      <c r="I4894" s="1">
        <v>3.9</v>
      </c>
      <c r="J4894" s="30" t="s">
        <v>9</v>
      </c>
      <c r="K4894" s="1">
        <v>0</v>
      </c>
      <c r="L4894" s="1">
        <v>2.794</v>
      </c>
      <c r="M4894" s="1">
        <v>1.3</v>
      </c>
      <c r="O4894" s="1">
        <v>2.54</v>
      </c>
      <c r="P4894" s="1">
        <v>1.1000000000000001</v>
      </c>
      <c r="Q4894" s="1">
        <v>0</v>
      </c>
      <c r="R4894" s="1">
        <v>9.1999999999999993</v>
      </c>
      <c r="S4894" s="1"/>
      <c r="T4894" s="1"/>
      <c r="U4894" s="1">
        <v>6</v>
      </c>
      <c r="X4894" s="1">
        <v>0.1</v>
      </c>
    </row>
    <row r="4895" spans="1:24" x14ac:dyDescent="0.25">
      <c r="A4895" s="22">
        <v>43246</v>
      </c>
      <c r="B4895" s="1">
        <v>0</v>
      </c>
      <c r="C4895" s="1">
        <v>2.1</v>
      </c>
      <c r="D4895" s="1">
        <v>13.5</v>
      </c>
      <c r="E4895" s="1"/>
      <c r="F4895" s="1">
        <v>20.399999999999999</v>
      </c>
      <c r="G4895" s="1">
        <v>5.8</v>
      </c>
      <c r="H4895" s="1">
        <v>9</v>
      </c>
      <c r="I4895" s="1">
        <v>6.9</v>
      </c>
      <c r="J4895" s="1">
        <v>10.8</v>
      </c>
      <c r="K4895" s="1">
        <v>0</v>
      </c>
      <c r="L4895" s="1">
        <v>5.8419999999999996</v>
      </c>
      <c r="M4895" s="1">
        <v>16</v>
      </c>
      <c r="O4895" s="1">
        <v>0</v>
      </c>
      <c r="P4895" s="1">
        <v>7.6</v>
      </c>
      <c r="Q4895" s="1">
        <v>0.4</v>
      </c>
      <c r="R4895" s="1">
        <v>0.1</v>
      </c>
      <c r="S4895" s="1"/>
      <c r="T4895" s="1"/>
      <c r="U4895" s="1">
        <v>0</v>
      </c>
      <c r="X4895" s="1">
        <v>0</v>
      </c>
    </row>
    <row r="4896" spans="1:24" x14ac:dyDescent="0.25">
      <c r="A4896" s="22">
        <v>43247</v>
      </c>
      <c r="B4896" s="1">
        <v>15.5</v>
      </c>
      <c r="C4896" s="1">
        <v>15.2</v>
      </c>
      <c r="D4896" s="1">
        <v>1.1000000000000001</v>
      </c>
      <c r="E4896" s="1"/>
      <c r="F4896" s="1">
        <v>0</v>
      </c>
      <c r="G4896" s="1">
        <v>2.6</v>
      </c>
      <c r="H4896" s="1">
        <v>5.9</v>
      </c>
      <c r="I4896" s="1">
        <v>5.0999999999999996</v>
      </c>
      <c r="J4896" s="1">
        <v>8.6999999999999993</v>
      </c>
      <c r="K4896" s="1">
        <v>0</v>
      </c>
      <c r="L4896" s="1">
        <v>1.27</v>
      </c>
      <c r="M4896" s="1">
        <v>0</v>
      </c>
      <c r="O4896" s="1">
        <v>0</v>
      </c>
      <c r="P4896" s="1">
        <v>2.8</v>
      </c>
      <c r="Q4896" s="1">
        <v>3.1</v>
      </c>
      <c r="R4896" s="1">
        <v>0.5</v>
      </c>
      <c r="S4896" s="1"/>
      <c r="T4896" s="1"/>
      <c r="U4896" s="1">
        <v>0</v>
      </c>
      <c r="X4896" s="1">
        <v>0</v>
      </c>
    </row>
    <row r="4897" spans="1:24" x14ac:dyDescent="0.25">
      <c r="A4897" s="22">
        <v>43248</v>
      </c>
      <c r="B4897" s="1">
        <v>3.2</v>
      </c>
      <c r="C4897" s="1">
        <v>4.7</v>
      </c>
      <c r="D4897" s="1">
        <v>17</v>
      </c>
      <c r="E4897" s="1"/>
      <c r="F4897" s="1">
        <v>0</v>
      </c>
      <c r="G4897" s="1">
        <v>1.1000000000000001</v>
      </c>
      <c r="H4897" s="1">
        <v>0.5</v>
      </c>
      <c r="I4897" s="1">
        <v>0</v>
      </c>
      <c r="J4897" s="1">
        <v>8.4</v>
      </c>
      <c r="K4897" s="1">
        <v>6.1</v>
      </c>
      <c r="L4897" s="1">
        <v>3.302</v>
      </c>
      <c r="M4897" s="1">
        <v>14.4</v>
      </c>
      <c r="O4897" s="1">
        <v>0</v>
      </c>
      <c r="P4897" s="1">
        <v>0</v>
      </c>
      <c r="Q4897" s="1">
        <v>0</v>
      </c>
      <c r="R4897" s="1">
        <v>0</v>
      </c>
      <c r="S4897" s="1"/>
      <c r="T4897" s="1"/>
      <c r="U4897" s="1">
        <v>32</v>
      </c>
      <c r="X4897" s="1">
        <v>0</v>
      </c>
    </row>
    <row r="4898" spans="1:24" x14ac:dyDescent="0.25">
      <c r="A4898" s="22">
        <v>43249</v>
      </c>
      <c r="B4898" s="1">
        <v>0</v>
      </c>
      <c r="C4898" s="30" t="s">
        <v>9</v>
      </c>
      <c r="D4898" s="1">
        <v>2.6</v>
      </c>
      <c r="E4898" s="1"/>
      <c r="F4898" s="1">
        <v>0</v>
      </c>
      <c r="G4898" s="1">
        <v>0</v>
      </c>
      <c r="H4898" s="1">
        <v>0</v>
      </c>
      <c r="I4898" s="1">
        <v>0</v>
      </c>
      <c r="J4898" s="1">
        <v>1.9</v>
      </c>
      <c r="K4898" s="1">
        <v>0.4</v>
      </c>
      <c r="L4898" s="1">
        <v>0</v>
      </c>
      <c r="M4898" s="1">
        <v>0</v>
      </c>
      <c r="O4898" s="1">
        <v>17.779999999999998</v>
      </c>
      <c r="P4898" s="1">
        <v>0</v>
      </c>
      <c r="Q4898" s="1">
        <v>0</v>
      </c>
      <c r="R4898" s="1">
        <v>0</v>
      </c>
      <c r="S4898" s="1"/>
      <c r="T4898" s="1"/>
      <c r="U4898" s="1">
        <v>0</v>
      </c>
      <c r="X4898" s="1">
        <v>0</v>
      </c>
    </row>
    <row r="4899" spans="1:24" x14ac:dyDescent="0.25">
      <c r="A4899" s="22">
        <v>43250</v>
      </c>
      <c r="B4899" s="1">
        <v>0</v>
      </c>
      <c r="C4899" s="30" t="s">
        <v>9</v>
      </c>
      <c r="D4899" s="30" t="s">
        <v>9</v>
      </c>
      <c r="E4899" s="5"/>
      <c r="F4899" s="1">
        <v>0</v>
      </c>
      <c r="G4899" s="1">
        <v>0</v>
      </c>
      <c r="H4899" s="1">
        <v>0</v>
      </c>
      <c r="I4899" s="1">
        <v>0</v>
      </c>
      <c r="J4899" s="30" t="s">
        <v>9</v>
      </c>
      <c r="K4899" s="1">
        <v>0</v>
      </c>
      <c r="L4899" s="1">
        <v>0</v>
      </c>
      <c r="M4899" s="1">
        <v>0</v>
      </c>
      <c r="O4899" s="1">
        <v>0</v>
      </c>
      <c r="P4899" s="1">
        <v>0</v>
      </c>
      <c r="Q4899" s="1">
        <v>0.4</v>
      </c>
      <c r="R4899" s="1">
        <v>0.4</v>
      </c>
      <c r="S4899" s="1">
        <v>20</v>
      </c>
      <c r="T4899" s="1">
        <v>52</v>
      </c>
      <c r="U4899" s="1">
        <v>3</v>
      </c>
      <c r="X4899" s="1">
        <v>0</v>
      </c>
    </row>
    <row r="4900" spans="1:24" x14ac:dyDescent="0.25">
      <c r="A4900" s="22">
        <v>43251</v>
      </c>
      <c r="B4900" s="1">
        <v>0</v>
      </c>
      <c r="C4900" s="1">
        <v>0</v>
      </c>
      <c r="D4900" s="1">
        <v>6.1</v>
      </c>
      <c r="E4900" s="1"/>
      <c r="F4900" s="1">
        <v>0</v>
      </c>
      <c r="G4900" s="1">
        <v>1.2</v>
      </c>
      <c r="H4900" s="1">
        <v>0.2</v>
      </c>
      <c r="I4900" s="1">
        <v>0</v>
      </c>
      <c r="J4900" s="1">
        <v>5.0999999999999996</v>
      </c>
      <c r="K4900" s="1">
        <v>0</v>
      </c>
      <c r="L4900" s="1">
        <v>5.8419999999999996</v>
      </c>
      <c r="M4900" s="1">
        <v>1</v>
      </c>
      <c r="O4900" s="1">
        <v>0</v>
      </c>
      <c r="P4900" s="1">
        <v>0.5</v>
      </c>
      <c r="Q4900" s="1">
        <v>0</v>
      </c>
      <c r="R4900" s="1">
        <v>0</v>
      </c>
      <c r="S4900" s="1"/>
      <c r="T4900" s="1"/>
      <c r="U4900" s="1">
        <v>0</v>
      </c>
      <c r="X4900" s="1">
        <v>0</v>
      </c>
    </row>
    <row r="4901" spans="1:24" x14ac:dyDescent="0.25">
      <c r="A4901" s="22">
        <v>43252</v>
      </c>
      <c r="B4901" s="1">
        <v>0</v>
      </c>
      <c r="C4901" s="1">
        <v>6.9</v>
      </c>
      <c r="D4901" s="1">
        <v>5.9</v>
      </c>
      <c r="E4901" s="1"/>
      <c r="F4901" s="1">
        <v>0</v>
      </c>
      <c r="G4901" s="1">
        <v>0</v>
      </c>
      <c r="H4901" s="1">
        <v>0</v>
      </c>
      <c r="I4901" s="1">
        <v>0</v>
      </c>
      <c r="J4901" s="1"/>
      <c r="K4901" s="1">
        <v>0</v>
      </c>
      <c r="L4901" s="1">
        <v>1.5239999999999998</v>
      </c>
      <c r="M4901" s="1">
        <v>0</v>
      </c>
      <c r="O4901" s="1">
        <v>7.6199999999999992</v>
      </c>
      <c r="P4901" s="1">
        <v>0.8</v>
      </c>
      <c r="Q4901" s="1">
        <v>0.8</v>
      </c>
      <c r="R4901" s="1">
        <v>0</v>
      </c>
      <c r="S4901" s="1"/>
      <c r="T4901" s="1"/>
      <c r="U4901" s="1">
        <v>0</v>
      </c>
      <c r="X4901" s="1">
        <v>0</v>
      </c>
    </row>
    <row r="4902" spans="1:24" x14ac:dyDescent="0.25">
      <c r="A4902" s="22">
        <v>43253</v>
      </c>
      <c r="B4902" s="1">
        <v>0</v>
      </c>
      <c r="C4902" s="1">
        <v>0</v>
      </c>
      <c r="D4902" s="30" t="s">
        <v>9</v>
      </c>
      <c r="E4902" s="1"/>
      <c r="F4902" s="1">
        <v>0</v>
      </c>
      <c r="G4902" s="1">
        <v>0</v>
      </c>
      <c r="H4902" s="1">
        <v>0</v>
      </c>
      <c r="I4902" s="1">
        <v>0</v>
      </c>
      <c r="J4902" s="1"/>
      <c r="K4902" s="1">
        <v>0</v>
      </c>
      <c r="L4902" s="1">
        <v>0</v>
      </c>
      <c r="M4902" s="1">
        <v>0.3</v>
      </c>
      <c r="O4902" s="1">
        <v>0</v>
      </c>
      <c r="P4902" s="1">
        <v>0</v>
      </c>
      <c r="Q4902" s="1">
        <v>1.9</v>
      </c>
      <c r="R4902" s="1">
        <v>0</v>
      </c>
      <c r="S4902" s="1"/>
      <c r="T4902" s="1"/>
      <c r="U4902" s="1">
        <v>0</v>
      </c>
      <c r="X4902" s="1">
        <v>0.3</v>
      </c>
    </row>
    <row r="4903" spans="1:24" x14ac:dyDescent="0.25">
      <c r="A4903" s="22">
        <v>43254</v>
      </c>
      <c r="B4903" s="1">
        <v>0</v>
      </c>
      <c r="C4903" s="1">
        <v>0</v>
      </c>
      <c r="D4903" s="30" t="s">
        <v>9</v>
      </c>
      <c r="E4903" s="1"/>
      <c r="F4903" s="1">
        <v>0</v>
      </c>
      <c r="G4903" s="1">
        <v>0</v>
      </c>
      <c r="H4903" s="1">
        <v>0</v>
      </c>
      <c r="I4903" s="1">
        <v>0</v>
      </c>
      <c r="J4903" s="1"/>
      <c r="K4903" s="1">
        <v>0</v>
      </c>
      <c r="L4903" s="1">
        <v>2.794</v>
      </c>
      <c r="M4903" s="1">
        <v>0</v>
      </c>
      <c r="O4903" s="1">
        <v>0</v>
      </c>
      <c r="P4903" s="1">
        <v>1.2</v>
      </c>
      <c r="Q4903" s="1">
        <v>0</v>
      </c>
      <c r="R4903" s="1">
        <v>1.6</v>
      </c>
      <c r="S4903" s="1"/>
      <c r="T4903" s="1"/>
      <c r="U4903" s="1">
        <v>0</v>
      </c>
      <c r="X4903" s="1">
        <v>0</v>
      </c>
    </row>
    <row r="4904" spans="1:24" x14ac:dyDescent="0.25">
      <c r="A4904" s="22">
        <v>43255</v>
      </c>
      <c r="B4904" s="1">
        <v>0</v>
      </c>
      <c r="C4904" s="1">
        <v>0</v>
      </c>
      <c r="D4904" s="30" t="s">
        <v>9</v>
      </c>
      <c r="E4904" s="1"/>
      <c r="F4904" s="1">
        <v>0</v>
      </c>
      <c r="G4904" s="1">
        <v>0</v>
      </c>
      <c r="H4904" s="1">
        <v>0</v>
      </c>
      <c r="I4904" s="1">
        <v>0</v>
      </c>
      <c r="J4904" s="1"/>
      <c r="K4904" s="1">
        <v>2.1</v>
      </c>
      <c r="L4904" s="1">
        <v>0</v>
      </c>
      <c r="M4904" s="1">
        <v>0</v>
      </c>
      <c r="O4904" s="1">
        <v>1.27</v>
      </c>
      <c r="P4904" s="1">
        <v>0</v>
      </c>
      <c r="Q4904" s="1">
        <v>16.100000000000001</v>
      </c>
      <c r="R4904" s="1">
        <v>7.7</v>
      </c>
      <c r="S4904" s="1"/>
      <c r="T4904" s="1"/>
      <c r="U4904" s="1">
        <v>6</v>
      </c>
      <c r="X4904" s="1">
        <v>0.3</v>
      </c>
    </row>
    <row r="4905" spans="1:24" x14ac:dyDescent="0.25">
      <c r="A4905" s="22">
        <v>43256</v>
      </c>
      <c r="B4905" s="1">
        <v>26</v>
      </c>
      <c r="C4905" s="1">
        <v>17.5</v>
      </c>
      <c r="D4905" s="1">
        <v>24.6</v>
      </c>
      <c r="E4905" s="1"/>
      <c r="F4905" s="1">
        <v>15.6</v>
      </c>
      <c r="G4905" s="1">
        <v>6.1</v>
      </c>
      <c r="H4905" s="1">
        <v>7.9</v>
      </c>
      <c r="I4905" s="1">
        <v>5.3</v>
      </c>
      <c r="J4905" s="1"/>
      <c r="K4905" s="1">
        <v>13.6</v>
      </c>
      <c r="L4905" s="1">
        <v>7.8739999999999997</v>
      </c>
      <c r="M4905" s="1">
        <v>10.1</v>
      </c>
      <c r="O4905" s="1">
        <v>9.6519999999999992</v>
      </c>
      <c r="P4905" s="1">
        <v>8.6</v>
      </c>
      <c r="Q4905" s="1">
        <v>0</v>
      </c>
      <c r="R4905" s="1">
        <v>0</v>
      </c>
      <c r="S4905" s="1"/>
      <c r="T4905" s="1"/>
      <c r="U4905" s="1">
        <v>26</v>
      </c>
      <c r="X4905" s="1">
        <v>0.2</v>
      </c>
    </row>
    <row r="4906" spans="1:24" x14ac:dyDescent="0.25">
      <c r="A4906" s="22">
        <v>43257</v>
      </c>
      <c r="B4906" s="1">
        <v>0</v>
      </c>
      <c r="C4906" s="1">
        <v>0</v>
      </c>
      <c r="D4906" s="30" t="s">
        <v>9</v>
      </c>
      <c r="E4906" s="1"/>
      <c r="F4906" s="1">
        <v>0</v>
      </c>
      <c r="G4906" s="1">
        <v>0</v>
      </c>
      <c r="H4906" s="1">
        <v>0</v>
      </c>
      <c r="I4906" s="1">
        <v>0</v>
      </c>
      <c r="J4906" s="1"/>
      <c r="K4906" s="1">
        <v>0</v>
      </c>
      <c r="L4906" s="1">
        <v>0</v>
      </c>
      <c r="M4906" s="1">
        <v>0</v>
      </c>
      <c r="O4906" s="1">
        <v>0</v>
      </c>
      <c r="P4906" s="1">
        <v>0</v>
      </c>
      <c r="Q4906" s="1">
        <v>0</v>
      </c>
      <c r="R4906" s="1">
        <v>0.1</v>
      </c>
      <c r="S4906" s="1"/>
      <c r="T4906" s="1"/>
      <c r="U4906" s="1">
        <v>0</v>
      </c>
      <c r="X4906" s="1">
        <v>0</v>
      </c>
    </row>
    <row r="4907" spans="1:24" x14ac:dyDescent="0.25">
      <c r="A4907" s="22">
        <v>43258</v>
      </c>
      <c r="B4907" s="1">
        <v>0</v>
      </c>
      <c r="C4907" s="1">
        <v>0</v>
      </c>
      <c r="D4907" s="1">
        <v>1</v>
      </c>
      <c r="E4907" s="1"/>
      <c r="F4907" s="1">
        <v>0</v>
      </c>
      <c r="G4907" s="1">
        <v>0.8</v>
      </c>
      <c r="H4907" s="1">
        <v>0</v>
      </c>
      <c r="I4907" s="1">
        <v>0</v>
      </c>
      <c r="J4907" s="1"/>
      <c r="K4907" s="1">
        <v>2</v>
      </c>
      <c r="L4907" s="1">
        <v>0</v>
      </c>
      <c r="M4907" s="1">
        <v>0.9</v>
      </c>
      <c r="O4907" s="1">
        <v>0</v>
      </c>
      <c r="P4907" s="1">
        <v>0</v>
      </c>
      <c r="Q4907" s="1">
        <v>0</v>
      </c>
      <c r="R4907" s="1">
        <v>0</v>
      </c>
      <c r="S4907" s="1"/>
      <c r="T4907" s="1"/>
      <c r="U4907" s="1">
        <v>0</v>
      </c>
      <c r="X4907" s="1">
        <v>0.1</v>
      </c>
    </row>
    <row r="4908" spans="1:24" x14ac:dyDescent="0.25">
      <c r="A4908" s="22">
        <v>43259</v>
      </c>
      <c r="B4908" s="1">
        <v>0</v>
      </c>
      <c r="C4908" s="1">
        <v>0</v>
      </c>
      <c r="D4908" s="1">
        <v>0</v>
      </c>
      <c r="E4908" s="1"/>
      <c r="F4908" s="1">
        <v>0</v>
      </c>
      <c r="G4908" s="1">
        <v>0</v>
      </c>
      <c r="H4908" s="1">
        <v>0</v>
      </c>
      <c r="I4908" s="1">
        <v>0</v>
      </c>
      <c r="J4908" s="1"/>
      <c r="K4908" s="1">
        <v>0</v>
      </c>
      <c r="L4908" s="1">
        <v>0</v>
      </c>
      <c r="M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/>
      <c r="T4908" s="1"/>
      <c r="U4908" s="1">
        <v>0</v>
      </c>
      <c r="X4908" s="1">
        <v>0.2</v>
      </c>
    </row>
    <row r="4909" spans="1:24" x14ac:dyDescent="0.25">
      <c r="A4909" s="22">
        <v>43260</v>
      </c>
      <c r="B4909" s="1">
        <v>0</v>
      </c>
      <c r="C4909" s="1">
        <v>0</v>
      </c>
      <c r="D4909" s="1">
        <v>7.7</v>
      </c>
      <c r="E4909" s="1"/>
      <c r="F4909" s="1">
        <v>0</v>
      </c>
      <c r="G4909" s="1">
        <v>0</v>
      </c>
      <c r="H4909" s="1">
        <v>0</v>
      </c>
      <c r="I4909" s="1">
        <v>0</v>
      </c>
      <c r="J4909" s="1"/>
      <c r="K4909" s="1">
        <v>0.8</v>
      </c>
      <c r="L4909" s="1">
        <v>0</v>
      </c>
      <c r="M4909" s="1">
        <v>0</v>
      </c>
      <c r="O4909" s="1">
        <v>0</v>
      </c>
      <c r="P4909" s="1">
        <v>0</v>
      </c>
      <c r="Q4909" s="1">
        <v>0</v>
      </c>
      <c r="R4909" s="1">
        <v>0.1</v>
      </c>
      <c r="S4909" s="1"/>
      <c r="T4909" s="1"/>
      <c r="U4909" s="1">
        <v>1</v>
      </c>
      <c r="X4909" s="1">
        <v>0.3</v>
      </c>
    </row>
    <row r="4910" spans="1:24" x14ac:dyDescent="0.25">
      <c r="A4910" s="22">
        <v>43261</v>
      </c>
      <c r="B4910" s="1">
        <v>13.4</v>
      </c>
      <c r="C4910" s="1">
        <v>0</v>
      </c>
      <c r="D4910" s="1">
        <v>2.7</v>
      </c>
      <c r="E4910" s="1"/>
      <c r="F4910" s="1">
        <v>0</v>
      </c>
      <c r="G4910" s="1">
        <v>0</v>
      </c>
      <c r="H4910" s="1">
        <v>0</v>
      </c>
      <c r="I4910" s="1">
        <v>0</v>
      </c>
      <c r="J4910" s="1"/>
      <c r="K4910" s="1">
        <v>0</v>
      </c>
      <c r="L4910" s="1">
        <v>0</v>
      </c>
      <c r="M4910" s="1">
        <v>1.3</v>
      </c>
      <c r="O4910" s="1">
        <v>0</v>
      </c>
      <c r="P4910" s="1">
        <v>0</v>
      </c>
      <c r="Q4910" s="1">
        <v>1.4</v>
      </c>
      <c r="R4910" s="1">
        <v>1.3</v>
      </c>
      <c r="S4910" s="1"/>
      <c r="T4910" s="1"/>
      <c r="U4910" s="1">
        <v>20</v>
      </c>
      <c r="X4910" s="1">
        <v>0</v>
      </c>
    </row>
    <row r="4911" spans="1:24" x14ac:dyDescent="0.25">
      <c r="A4911" s="22">
        <v>43262</v>
      </c>
      <c r="B4911" s="1">
        <v>0</v>
      </c>
      <c r="C4911" s="1">
        <v>0</v>
      </c>
      <c r="D4911" s="1">
        <v>12</v>
      </c>
      <c r="E4911" s="1"/>
      <c r="F4911" s="1">
        <v>0</v>
      </c>
      <c r="G4911" s="1">
        <v>2.8</v>
      </c>
      <c r="H4911" s="1">
        <v>0</v>
      </c>
      <c r="I4911" s="1">
        <v>0</v>
      </c>
      <c r="J4911" s="1"/>
      <c r="K4911" s="1">
        <v>12.1</v>
      </c>
      <c r="L4911" s="1">
        <v>1.778</v>
      </c>
      <c r="M4911" s="1">
        <v>7.4</v>
      </c>
      <c r="O4911" s="1">
        <v>5.8419999999999996</v>
      </c>
      <c r="P4911" s="1">
        <v>8.6999999999999993</v>
      </c>
      <c r="Q4911" s="1">
        <v>1.1000000000000001</v>
      </c>
      <c r="R4911" s="1">
        <v>0</v>
      </c>
      <c r="S4911" s="1"/>
      <c r="T4911" s="1"/>
      <c r="U4911" s="1">
        <v>0</v>
      </c>
      <c r="X4911" s="1">
        <v>5.0999999999999996</v>
      </c>
    </row>
    <row r="4912" spans="1:24" x14ac:dyDescent="0.25">
      <c r="A4912" s="22">
        <v>43263</v>
      </c>
      <c r="B4912" s="1">
        <v>0</v>
      </c>
      <c r="C4912" s="1">
        <v>0</v>
      </c>
      <c r="D4912" s="1">
        <v>1.6</v>
      </c>
      <c r="E4912" s="1"/>
      <c r="F4912" s="1">
        <v>0</v>
      </c>
      <c r="G4912" s="1">
        <v>2.1</v>
      </c>
      <c r="H4912" s="1">
        <v>0</v>
      </c>
      <c r="I4912" s="1">
        <v>9</v>
      </c>
      <c r="J4912" s="1"/>
      <c r="K4912" s="1">
        <v>2.5</v>
      </c>
      <c r="L4912" s="1">
        <v>0</v>
      </c>
      <c r="M4912" s="1">
        <v>0.3</v>
      </c>
      <c r="O4912" s="1">
        <v>2.54</v>
      </c>
      <c r="P4912" s="1">
        <v>0</v>
      </c>
      <c r="Q4912" s="1">
        <v>0</v>
      </c>
      <c r="R4912" s="1">
        <v>1.4</v>
      </c>
      <c r="S4912" s="1"/>
      <c r="T4912" s="1"/>
      <c r="U4912" s="1">
        <v>5</v>
      </c>
      <c r="X4912" s="1">
        <v>0</v>
      </c>
    </row>
    <row r="4913" spans="1:24" x14ac:dyDescent="0.25">
      <c r="A4913" s="22">
        <v>43264</v>
      </c>
      <c r="B4913" s="1">
        <v>0</v>
      </c>
      <c r="C4913" s="1">
        <v>0</v>
      </c>
      <c r="D4913" s="30" t="s">
        <v>9</v>
      </c>
      <c r="E4913" s="1"/>
      <c r="F4913" s="1">
        <v>0</v>
      </c>
      <c r="G4913" s="1">
        <v>0</v>
      </c>
      <c r="H4913" s="1">
        <v>0</v>
      </c>
      <c r="I4913" s="1">
        <v>0</v>
      </c>
      <c r="J4913" s="1"/>
      <c r="K4913" s="1">
        <v>2.5</v>
      </c>
      <c r="L4913" s="1">
        <v>0</v>
      </c>
      <c r="M4913" s="1">
        <v>0</v>
      </c>
      <c r="O4913" s="1">
        <v>1.27</v>
      </c>
      <c r="P4913" s="1">
        <v>0</v>
      </c>
      <c r="Q4913" s="1">
        <v>3.7</v>
      </c>
      <c r="R4913" s="1">
        <v>4.7</v>
      </c>
      <c r="S4913" s="1"/>
      <c r="T4913" s="1"/>
      <c r="U4913" s="1">
        <v>0</v>
      </c>
      <c r="X4913" s="1">
        <v>0.9</v>
      </c>
    </row>
    <row r="4914" spans="1:24" x14ac:dyDescent="0.25">
      <c r="A4914" s="22">
        <v>43265</v>
      </c>
      <c r="B4914" s="1">
        <v>5.2</v>
      </c>
      <c r="C4914" s="1">
        <v>0</v>
      </c>
      <c r="D4914" s="1">
        <v>1.9</v>
      </c>
      <c r="E4914" s="1"/>
      <c r="F4914" s="1">
        <v>0</v>
      </c>
      <c r="G4914" s="1">
        <v>1.8</v>
      </c>
      <c r="H4914" s="1">
        <v>7.2</v>
      </c>
      <c r="I4914" s="1">
        <v>0</v>
      </c>
      <c r="J4914" s="1"/>
      <c r="K4914" s="1">
        <v>0</v>
      </c>
      <c r="L4914" s="1">
        <v>0</v>
      </c>
      <c r="M4914" s="1">
        <v>1.1000000000000001</v>
      </c>
      <c r="O4914" s="1">
        <v>1.27</v>
      </c>
      <c r="P4914" s="1">
        <v>1.2</v>
      </c>
      <c r="Q4914" s="1">
        <v>0</v>
      </c>
      <c r="R4914" s="1">
        <v>0.2</v>
      </c>
      <c r="S4914" s="1"/>
      <c r="T4914" s="1"/>
      <c r="U4914" s="1">
        <v>5</v>
      </c>
      <c r="X4914" s="1">
        <v>0.3</v>
      </c>
    </row>
    <row r="4915" spans="1:24" x14ac:dyDescent="0.25">
      <c r="A4915" s="22">
        <v>43266</v>
      </c>
      <c r="B4915" s="1">
        <v>2.6</v>
      </c>
      <c r="C4915" s="1">
        <v>0</v>
      </c>
      <c r="D4915" s="30" t="s">
        <v>9</v>
      </c>
      <c r="E4915" s="1"/>
      <c r="F4915" s="1">
        <v>0</v>
      </c>
      <c r="G4915" s="1">
        <v>0</v>
      </c>
      <c r="H4915" s="1">
        <v>0</v>
      </c>
      <c r="I4915" s="1">
        <v>0</v>
      </c>
      <c r="J4915" s="1"/>
      <c r="K4915" s="1">
        <v>0</v>
      </c>
      <c r="L4915" s="1">
        <v>1.016</v>
      </c>
      <c r="M4915" s="1">
        <v>0.3</v>
      </c>
      <c r="O4915" s="1">
        <v>0</v>
      </c>
      <c r="P4915" s="1">
        <v>0</v>
      </c>
      <c r="Q4915" s="1">
        <v>0.6</v>
      </c>
      <c r="R4915" s="1">
        <v>0</v>
      </c>
      <c r="S4915" s="1"/>
      <c r="T4915" s="1"/>
      <c r="U4915" s="1">
        <v>0</v>
      </c>
      <c r="X4915" s="1">
        <v>0.7</v>
      </c>
    </row>
    <row r="4916" spans="1:24" x14ac:dyDescent="0.25">
      <c r="A4916" s="22">
        <v>43267</v>
      </c>
      <c r="B4916" s="1">
        <v>0</v>
      </c>
      <c r="C4916" s="1">
        <v>0</v>
      </c>
      <c r="D4916" s="30" t="s">
        <v>9</v>
      </c>
      <c r="E4916" s="1"/>
      <c r="F4916" s="1">
        <v>0</v>
      </c>
      <c r="G4916" s="1">
        <v>0</v>
      </c>
      <c r="H4916" s="1">
        <v>0</v>
      </c>
      <c r="I4916" s="1">
        <v>4.3</v>
      </c>
      <c r="J4916" s="1"/>
      <c r="K4916" s="1">
        <v>0</v>
      </c>
      <c r="L4916" s="1">
        <v>0</v>
      </c>
      <c r="M4916" s="1">
        <v>0</v>
      </c>
      <c r="O4916" s="1">
        <v>0</v>
      </c>
      <c r="P4916" s="1">
        <v>0.5</v>
      </c>
      <c r="Q4916" s="1">
        <v>0.1</v>
      </c>
      <c r="R4916" s="1">
        <v>0</v>
      </c>
      <c r="S4916" s="1"/>
      <c r="T4916" s="1"/>
      <c r="U4916" s="1">
        <v>0</v>
      </c>
      <c r="X4916" s="1">
        <v>10.3</v>
      </c>
    </row>
    <row r="4917" spans="1:24" x14ac:dyDescent="0.25">
      <c r="A4917" s="22">
        <v>43268</v>
      </c>
      <c r="B4917" s="1">
        <v>10.1</v>
      </c>
      <c r="C4917" s="1">
        <v>0</v>
      </c>
      <c r="D4917" s="1">
        <v>2.2999999999999998</v>
      </c>
      <c r="E4917" s="1"/>
      <c r="F4917" s="1">
        <v>7.6</v>
      </c>
      <c r="G4917" s="1">
        <v>4.5</v>
      </c>
      <c r="H4917" s="1">
        <v>5.5</v>
      </c>
      <c r="I4917" s="1">
        <v>1.5</v>
      </c>
      <c r="J4917" s="1"/>
      <c r="K4917" s="1">
        <v>0</v>
      </c>
      <c r="L4917" s="1">
        <v>2.794</v>
      </c>
      <c r="M4917" s="1">
        <v>4.2</v>
      </c>
      <c r="O4917" s="1">
        <v>0</v>
      </c>
      <c r="P4917" s="1">
        <v>1.5</v>
      </c>
      <c r="Q4917" s="1">
        <v>11.5</v>
      </c>
      <c r="R4917" s="1">
        <v>5.8</v>
      </c>
      <c r="S4917" s="1"/>
      <c r="T4917" s="1"/>
      <c r="U4917" s="1">
        <v>0</v>
      </c>
      <c r="X4917" s="1">
        <v>0.2</v>
      </c>
    </row>
    <row r="4918" spans="1:24" x14ac:dyDescent="0.25">
      <c r="A4918" s="22">
        <v>43269</v>
      </c>
      <c r="B4918" s="1">
        <v>4.2</v>
      </c>
      <c r="C4918" s="1">
        <v>38.299999999999997</v>
      </c>
      <c r="D4918" s="1">
        <v>41</v>
      </c>
      <c r="E4918" s="1"/>
      <c r="F4918" s="1">
        <v>9</v>
      </c>
      <c r="G4918" s="1">
        <v>20.3</v>
      </c>
      <c r="H4918" s="1">
        <v>37.200000000000003</v>
      </c>
      <c r="I4918" s="1">
        <v>2.6</v>
      </c>
      <c r="J4918" s="1"/>
      <c r="K4918" s="1">
        <v>0</v>
      </c>
      <c r="L4918" s="1">
        <v>11.683999999999999</v>
      </c>
      <c r="M4918" s="1">
        <v>24.9</v>
      </c>
      <c r="O4918" s="1">
        <v>22.097999999999999</v>
      </c>
      <c r="P4918" s="1">
        <v>10.6</v>
      </c>
      <c r="Q4918" s="1">
        <v>5.4</v>
      </c>
      <c r="R4918" s="1">
        <v>5.9</v>
      </c>
      <c r="S4918" s="1"/>
      <c r="T4918" s="1"/>
      <c r="U4918" s="1">
        <v>31</v>
      </c>
      <c r="X4918" s="1">
        <v>7.4</v>
      </c>
    </row>
    <row r="4919" spans="1:24" x14ac:dyDescent="0.25">
      <c r="A4919" s="22">
        <v>43270</v>
      </c>
      <c r="B4919" s="1">
        <v>30.4</v>
      </c>
      <c r="C4919" s="1">
        <v>3.2</v>
      </c>
      <c r="D4919" s="1">
        <v>2.2000000000000002</v>
      </c>
      <c r="E4919" s="1"/>
      <c r="F4919" s="1">
        <v>0</v>
      </c>
      <c r="G4919" s="1">
        <v>11</v>
      </c>
      <c r="H4919" s="1">
        <v>0.2</v>
      </c>
      <c r="I4919" s="1">
        <v>6.3</v>
      </c>
      <c r="J4919" s="1"/>
      <c r="K4919" s="1">
        <v>0</v>
      </c>
      <c r="L4919" s="1">
        <v>11.176</v>
      </c>
      <c r="M4919" s="1">
        <v>2.7</v>
      </c>
      <c r="O4919" s="1">
        <v>6.6040000000000001</v>
      </c>
      <c r="P4919" s="1">
        <v>19.2</v>
      </c>
      <c r="Q4919" s="1">
        <v>7.5</v>
      </c>
      <c r="R4919" s="1">
        <v>6.1</v>
      </c>
      <c r="S4919" s="1"/>
      <c r="T4919" s="1"/>
      <c r="U4919" s="1">
        <v>2</v>
      </c>
      <c r="X4919" s="1">
        <v>0.3</v>
      </c>
    </row>
    <row r="4920" spans="1:24" x14ac:dyDescent="0.25">
      <c r="A4920" s="22">
        <v>43271</v>
      </c>
      <c r="B4920" s="1">
        <v>0</v>
      </c>
      <c r="C4920" s="1">
        <v>43.2</v>
      </c>
      <c r="D4920" s="1">
        <v>35.5</v>
      </c>
      <c r="E4920" s="1"/>
      <c r="F4920" s="1">
        <v>14</v>
      </c>
      <c r="G4920" s="1">
        <v>12.3</v>
      </c>
      <c r="H4920" s="1">
        <v>25.3</v>
      </c>
      <c r="I4920" s="1">
        <v>4.0999999999999996</v>
      </c>
      <c r="J4920" s="1"/>
      <c r="K4920" s="1">
        <v>67.3</v>
      </c>
      <c r="L4920" s="1">
        <v>6.0959999999999992</v>
      </c>
      <c r="M4920" s="1">
        <v>37.799999999999997</v>
      </c>
      <c r="O4920" s="1">
        <v>22.86</v>
      </c>
      <c r="P4920" s="1">
        <v>17.100000000000001</v>
      </c>
      <c r="Q4920" s="1">
        <v>8.6</v>
      </c>
      <c r="R4920" s="1">
        <v>7.3</v>
      </c>
      <c r="S4920" s="1"/>
      <c r="T4920" s="1"/>
      <c r="U4920" s="1">
        <v>25</v>
      </c>
      <c r="X4920" s="1">
        <v>7.4</v>
      </c>
    </row>
    <row r="4921" spans="1:24" x14ac:dyDescent="0.25">
      <c r="A4921" s="22">
        <v>43272</v>
      </c>
      <c r="B4921" s="1">
        <v>0</v>
      </c>
      <c r="C4921" s="1">
        <v>0</v>
      </c>
      <c r="D4921" s="1">
        <v>2.2999999999999998</v>
      </c>
      <c r="E4921" s="1"/>
      <c r="F4921" s="1">
        <v>3.3</v>
      </c>
      <c r="G4921" s="1">
        <v>4.2</v>
      </c>
      <c r="H4921" s="1">
        <v>6.5</v>
      </c>
      <c r="I4921" s="1">
        <v>2.6</v>
      </c>
      <c r="J4921" s="1"/>
      <c r="K4921" s="1">
        <v>0</v>
      </c>
      <c r="L4921" s="1">
        <v>8.8899999999999988</v>
      </c>
      <c r="M4921" s="1">
        <v>6.5</v>
      </c>
      <c r="O4921" s="1">
        <v>4.5719999999999992</v>
      </c>
      <c r="P4921" s="1">
        <v>13.2</v>
      </c>
      <c r="Q4921" s="1">
        <v>1.3</v>
      </c>
      <c r="R4921" s="1">
        <v>2</v>
      </c>
      <c r="S4921" s="1"/>
      <c r="T4921" s="1"/>
      <c r="U4921" s="1">
        <v>12</v>
      </c>
      <c r="X4921" s="1">
        <v>0</v>
      </c>
    </row>
    <row r="4922" spans="1:24" x14ac:dyDescent="0.25">
      <c r="A4922" s="22">
        <v>43273</v>
      </c>
      <c r="B4922" s="1">
        <v>0</v>
      </c>
      <c r="C4922" s="1">
        <v>14.5</v>
      </c>
      <c r="D4922" s="1">
        <v>14</v>
      </c>
      <c r="E4922" s="1"/>
      <c r="F4922" s="1">
        <v>0.7</v>
      </c>
      <c r="G4922" s="1">
        <v>0.1</v>
      </c>
      <c r="H4922" s="1">
        <v>2.2000000000000002</v>
      </c>
      <c r="I4922" s="1">
        <v>38.200000000000003</v>
      </c>
      <c r="J4922" s="1"/>
      <c r="K4922" s="1">
        <v>0</v>
      </c>
      <c r="L4922" s="1">
        <v>3.8099999999999996</v>
      </c>
      <c r="M4922" s="1">
        <v>2.4</v>
      </c>
      <c r="O4922" s="1">
        <v>4.8259999999999996</v>
      </c>
      <c r="P4922" s="1">
        <v>1.9</v>
      </c>
      <c r="Q4922" s="1">
        <v>0</v>
      </c>
      <c r="R4922" s="1">
        <v>0</v>
      </c>
      <c r="S4922" s="1"/>
      <c r="T4922" s="1"/>
      <c r="U4922" s="1">
        <v>11</v>
      </c>
      <c r="X4922" s="1">
        <v>0</v>
      </c>
    </row>
    <row r="4923" spans="1:24" x14ac:dyDescent="0.25">
      <c r="A4923" s="22">
        <v>43274</v>
      </c>
      <c r="B4923" s="1">
        <v>0</v>
      </c>
      <c r="C4923" s="1">
        <v>1.3</v>
      </c>
      <c r="D4923" s="1">
        <v>0</v>
      </c>
      <c r="E4923" s="1"/>
      <c r="F4923" s="1">
        <v>0</v>
      </c>
      <c r="G4923" s="1">
        <v>0</v>
      </c>
      <c r="H4923" s="1">
        <v>0</v>
      </c>
      <c r="I4923" s="1">
        <v>21.9</v>
      </c>
      <c r="J4923" s="1"/>
      <c r="K4923" s="1">
        <v>12.1</v>
      </c>
      <c r="L4923" s="1">
        <v>0</v>
      </c>
      <c r="M4923" s="1">
        <v>0</v>
      </c>
      <c r="O4923" s="1">
        <v>0</v>
      </c>
      <c r="P4923" s="1">
        <v>0</v>
      </c>
      <c r="Q4923" s="1">
        <v>4.4000000000000004</v>
      </c>
      <c r="R4923" s="1">
        <v>2.6</v>
      </c>
      <c r="S4923" s="1"/>
      <c r="T4923" s="1"/>
      <c r="U4923" s="1">
        <v>0</v>
      </c>
      <c r="X4923" s="1">
        <v>0</v>
      </c>
    </row>
    <row r="4924" spans="1:24" x14ac:dyDescent="0.25">
      <c r="A4924" s="22">
        <v>43275</v>
      </c>
      <c r="B4924" s="1">
        <v>0</v>
      </c>
      <c r="C4924" s="1">
        <v>8.5</v>
      </c>
      <c r="D4924" s="1">
        <v>5.5</v>
      </c>
      <c r="E4924" s="1"/>
      <c r="F4924" s="1">
        <v>0</v>
      </c>
      <c r="G4924" s="1">
        <v>3.5</v>
      </c>
      <c r="H4924" s="1">
        <v>1.2</v>
      </c>
      <c r="I4924" s="1">
        <v>5.0999999999999996</v>
      </c>
      <c r="J4924" s="1"/>
      <c r="K4924" s="1">
        <v>6.7</v>
      </c>
      <c r="L4924" s="1">
        <v>0</v>
      </c>
      <c r="M4924" s="1">
        <v>0.2</v>
      </c>
      <c r="O4924" s="1">
        <v>0</v>
      </c>
      <c r="P4924" s="1">
        <v>2.9</v>
      </c>
      <c r="Q4924" s="1">
        <v>2.2000000000000002</v>
      </c>
      <c r="R4924" s="1">
        <v>1.6</v>
      </c>
      <c r="S4924" s="1"/>
      <c r="T4924" s="1"/>
      <c r="U4924" s="1">
        <v>0</v>
      </c>
      <c r="X4924" s="1">
        <v>0.3</v>
      </c>
    </row>
    <row r="4925" spans="1:24" x14ac:dyDescent="0.25">
      <c r="A4925" s="22">
        <v>43276</v>
      </c>
      <c r="B4925" s="1">
        <v>13.9</v>
      </c>
      <c r="C4925" s="1">
        <v>6.5</v>
      </c>
      <c r="D4925" s="1">
        <v>7.6</v>
      </c>
      <c r="E4925" s="1"/>
      <c r="F4925" s="1">
        <v>7.1</v>
      </c>
      <c r="G4925" s="1">
        <v>7.4</v>
      </c>
      <c r="H4925" s="1">
        <v>3</v>
      </c>
      <c r="I4925" s="1">
        <v>9.4</v>
      </c>
      <c r="J4925" s="1"/>
      <c r="K4925" s="1">
        <v>2</v>
      </c>
      <c r="L4925" s="1">
        <v>4.0640000000000001</v>
      </c>
      <c r="M4925" s="1">
        <v>7.8</v>
      </c>
      <c r="O4925" s="1">
        <v>10.921999999999999</v>
      </c>
      <c r="P4925" s="1">
        <v>5.4</v>
      </c>
      <c r="Q4925" s="1">
        <v>3.1</v>
      </c>
      <c r="R4925" s="1">
        <v>1.4</v>
      </c>
      <c r="S4925" s="1"/>
      <c r="T4925" s="1"/>
      <c r="U4925" s="1">
        <v>12</v>
      </c>
      <c r="X4925" s="1">
        <v>0.3</v>
      </c>
    </row>
    <row r="4926" spans="1:24" x14ac:dyDescent="0.25">
      <c r="A4926" s="22">
        <v>43277</v>
      </c>
      <c r="B4926" s="1">
        <v>8.9</v>
      </c>
      <c r="C4926" s="1">
        <v>8</v>
      </c>
      <c r="D4926" s="1">
        <v>15.8</v>
      </c>
      <c r="E4926" s="1"/>
      <c r="F4926" s="1">
        <v>3.9</v>
      </c>
      <c r="G4926" s="1">
        <v>8.8000000000000007</v>
      </c>
      <c r="H4926" s="1">
        <v>6.1</v>
      </c>
      <c r="I4926" s="1">
        <v>1.7</v>
      </c>
      <c r="J4926" s="1"/>
      <c r="K4926" s="1">
        <v>0</v>
      </c>
      <c r="L4926" s="1">
        <v>7.8739999999999997</v>
      </c>
      <c r="M4926" s="1">
        <v>9.6999999999999993</v>
      </c>
      <c r="O4926" s="1">
        <v>0</v>
      </c>
      <c r="P4926" s="1">
        <v>4.5999999999999996</v>
      </c>
      <c r="Q4926" s="1">
        <v>1</v>
      </c>
      <c r="R4926" s="1">
        <v>0.6</v>
      </c>
      <c r="S4926" s="1"/>
      <c r="T4926" s="1"/>
      <c r="U4926" s="1">
        <v>13</v>
      </c>
      <c r="X4926" s="1">
        <v>0</v>
      </c>
    </row>
    <row r="4927" spans="1:24" x14ac:dyDescent="0.25">
      <c r="A4927" s="22">
        <v>43278</v>
      </c>
      <c r="B4927" s="1">
        <v>0</v>
      </c>
      <c r="C4927" s="1">
        <v>1.8</v>
      </c>
      <c r="D4927" s="1">
        <v>2</v>
      </c>
      <c r="E4927" s="1"/>
      <c r="F4927" s="1">
        <v>0</v>
      </c>
      <c r="G4927" s="1">
        <v>1.1000000000000001</v>
      </c>
      <c r="H4927" s="1">
        <v>0</v>
      </c>
      <c r="I4927" s="1">
        <v>0.8</v>
      </c>
      <c r="J4927" s="1"/>
      <c r="K4927" s="1">
        <v>1.5</v>
      </c>
      <c r="L4927" s="1">
        <v>1.27</v>
      </c>
      <c r="M4927" s="1">
        <v>3.7</v>
      </c>
      <c r="O4927" s="1">
        <v>0</v>
      </c>
      <c r="P4927" s="1">
        <v>1.3</v>
      </c>
      <c r="Q4927" s="1">
        <v>0</v>
      </c>
      <c r="R4927" s="1">
        <v>2.6</v>
      </c>
      <c r="S4927" s="1"/>
      <c r="T4927" s="1"/>
      <c r="U4927" s="1">
        <v>3</v>
      </c>
      <c r="X4927" s="1">
        <v>0.2</v>
      </c>
    </row>
    <row r="4928" spans="1:24" x14ac:dyDescent="0.25">
      <c r="A4928" s="22">
        <v>43279</v>
      </c>
      <c r="B4928" s="1">
        <v>0</v>
      </c>
      <c r="C4928" s="1">
        <v>0</v>
      </c>
      <c r="D4928" s="1">
        <v>0</v>
      </c>
      <c r="E4928" s="1"/>
      <c r="F4928" s="1">
        <v>0</v>
      </c>
      <c r="G4928" s="1">
        <v>0</v>
      </c>
      <c r="H4928" s="1">
        <v>0</v>
      </c>
      <c r="I4928" s="1">
        <v>0</v>
      </c>
      <c r="J4928" s="1"/>
      <c r="K4928" s="1">
        <v>0</v>
      </c>
      <c r="L4928" s="1">
        <v>0</v>
      </c>
      <c r="M4928" s="1">
        <v>0</v>
      </c>
      <c r="O4928" s="1">
        <v>8.3819999999999997</v>
      </c>
      <c r="P4928" s="1">
        <v>0</v>
      </c>
      <c r="Q4928" s="1">
        <v>3</v>
      </c>
      <c r="R4928" s="1">
        <v>0</v>
      </c>
      <c r="S4928" s="1"/>
      <c r="T4928" s="1"/>
      <c r="U4928" s="1">
        <v>0</v>
      </c>
      <c r="X4928" s="1">
        <v>0</v>
      </c>
    </row>
    <row r="4929" spans="1:24" x14ac:dyDescent="0.25">
      <c r="A4929" s="22">
        <v>43280</v>
      </c>
      <c r="B4929" s="1">
        <v>0</v>
      </c>
      <c r="C4929" s="1">
        <v>6</v>
      </c>
      <c r="D4929" s="1">
        <v>0</v>
      </c>
      <c r="E4929" s="1"/>
      <c r="F4929" s="1">
        <v>0</v>
      </c>
      <c r="G4929" s="1">
        <v>2.6</v>
      </c>
      <c r="H4929" s="1">
        <v>0</v>
      </c>
      <c r="I4929" s="1">
        <v>3.1</v>
      </c>
      <c r="J4929" s="1"/>
      <c r="K4929" s="1">
        <v>0</v>
      </c>
      <c r="L4929" s="1">
        <v>3.8099999999999996</v>
      </c>
      <c r="M4929" s="1">
        <v>8.6999999999999993</v>
      </c>
      <c r="O4929" s="1">
        <v>5.08</v>
      </c>
      <c r="P4929" s="1">
        <v>1.9</v>
      </c>
      <c r="Q4929" s="1">
        <v>1.4</v>
      </c>
      <c r="R4929" s="1">
        <v>0</v>
      </c>
      <c r="S4929" s="1"/>
      <c r="T4929" s="1"/>
      <c r="U4929" s="1">
        <v>8</v>
      </c>
      <c r="X4929" s="1">
        <v>0.1</v>
      </c>
    </row>
    <row r="4930" spans="1:24" x14ac:dyDescent="0.25">
      <c r="A4930" s="22">
        <v>43281</v>
      </c>
      <c r="B4930" s="1">
        <v>0</v>
      </c>
      <c r="C4930" s="1">
        <v>3.6</v>
      </c>
      <c r="D4930" s="1">
        <v>24.9</v>
      </c>
      <c r="E4930" s="5"/>
      <c r="F4930" s="1">
        <v>12.1</v>
      </c>
      <c r="G4930" s="1">
        <v>6.4</v>
      </c>
      <c r="H4930" s="1">
        <v>10.9</v>
      </c>
      <c r="I4930" s="1">
        <v>23.6</v>
      </c>
      <c r="J4930" s="1"/>
      <c r="K4930" s="1">
        <v>24.8</v>
      </c>
      <c r="L4930" s="1">
        <v>9.1439999999999984</v>
      </c>
      <c r="M4930" s="1">
        <v>5.9</v>
      </c>
      <c r="O4930" s="1">
        <v>0</v>
      </c>
      <c r="P4930" s="1">
        <v>4.2</v>
      </c>
      <c r="Q4930" s="1">
        <v>8.1</v>
      </c>
      <c r="R4930" s="1">
        <v>0</v>
      </c>
      <c r="S4930" s="1"/>
      <c r="T4930" s="1"/>
      <c r="U4930" s="1">
        <v>10</v>
      </c>
      <c r="X4930" s="1">
        <v>0</v>
      </c>
    </row>
    <row r="4931" spans="1:24" x14ac:dyDescent="0.25">
      <c r="A4931" s="22">
        <v>43282</v>
      </c>
      <c r="B4931" s="1"/>
      <c r="C4931" s="1">
        <v>6.3</v>
      </c>
      <c r="D4931" s="1">
        <v>12</v>
      </c>
      <c r="E4931" s="1"/>
      <c r="F4931" s="1">
        <v>8</v>
      </c>
      <c r="G4931" s="1">
        <v>8.6</v>
      </c>
      <c r="H4931" s="1">
        <v>6</v>
      </c>
      <c r="I4931" s="1">
        <v>23.6</v>
      </c>
      <c r="J4931" s="1">
        <v>15.4</v>
      </c>
      <c r="K4931" s="1">
        <v>0</v>
      </c>
      <c r="L4931" s="1">
        <v>8.8899999999999988</v>
      </c>
      <c r="M4931" s="1">
        <v>14.5</v>
      </c>
      <c r="O4931" s="1">
        <v>0</v>
      </c>
      <c r="P4931" s="1">
        <v>6.7</v>
      </c>
      <c r="Q4931" s="1">
        <v>3.2</v>
      </c>
      <c r="R4931" s="1">
        <v>10.7</v>
      </c>
      <c r="S4931" s="1"/>
      <c r="T4931" s="1"/>
      <c r="U4931" s="1">
        <v>0</v>
      </c>
      <c r="X4931" s="1">
        <v>0.2</v>
      </c>
    </row>
    <row r="4932" spans="1:24" x14ac:dyDescent="0.25">
      <c r="A4932" s="22">
        <v>43283</v>
      </c>
      <c r="B4932" s="1"/>
      <c r="C4932" s="1">
        <v>6.1</v>
      </c>
      <c r="D4932" s="1">
        <v>4.5999999999999996</v>
      </c>
      <c r="E4932" s="1"/>
      <c r="F4932" s="1">
        <v>0.5</v>
      </c>
      <c r="G4932" s="1">
        <v>1.5</v>
      </c>
      <c r="H4932" s="1">
        <v>0</v>
      </c>
      <c r="I4932" s="1">
        <v>0</v>
      </c>
      <c r="J4932" s="1">
        <v>2.6</v>
      </c>
      <c r="K4932" s="1">
        <v>0.8</v>
      </c>
      <c r="L4932" s="1">
        <v>3.556</v>
      </c>
      <c r="M4932" s="1">
        <v>0.3</v>
      </c>
      <c r="O4932" s="1">
        <v>22.86</v>
      </c>
      <c r="P4932" s="1">
        <v>3.6</v>
      </c>
      <c r="Q4932" s="1">
        <v>2.6</v>
      </c>
      <c r="R4932" s="1">
        <v>2.7</v>
      </c>
      <c r="S4932" s="1"/>
      <c r="T4932" s="1"/>
      <c r="U4932" s="1">
        <v>7</v>
      </c>
      <c r="X4932" s="1">
        <v>1</v>
      </c>
    </row>
    <row r="4933" spans="1:24" x14ac:dyDescent="0.25">
      <c r="A4933" s="22">
        <v>43284</v>
      </c>
      <c r="B4933" s="1">
        <v>51.4</v>
      </c>
      <c r="C4933" s="1">
        <v>3.2</v>
      </c>
      <c r="D4933" s="1">
        <v>3.5</v>
      </c>
      <c r="E4933" s="1"/>
      <c r="F4933" s="1">
        <v>0</v>
      </c>
      <c r="G4933" s="1">
        <v>1.4</v>
      </c>
      <c r="H4933" s="1">
        <v>2</v>
      </c>
      <c r="I4933" s="1">
        <v>1</v>
      </c>
      <c r="J4933" s="1">
        <v>3.3</v>
      </c>
      <c r="K4933" s="1">
        <v>2.1</v>
      </c>
      <c r="L4933" s="1">
        <v>6.35</v>
      </c>
      <c r="M4933" s="1">
        <v>1.9</v>
      </c>
      <c r="O4933" s="1">
        <v>6.8579999999999997</v>
      </c>
      <c r="P4933" s="1">
        <v>2</v>
      </c>
      <c r="Q4933" s="1">
        <v>47.2</v>
      </c>
      <c r="R4933" s="1">
        <v>36.700000000000003</v>
      </c>
      <c r="S4933" s="1"/>
      <c r="T4933" s="1"/>
      <c r="U4933" s="1">
        <v>6</v>
      </c>
      <c r="X4933" s="1">
        <v>0.2</v>
      </c>
    </row>
    <row r="4934" spans="1:24" x14ac:dyDescent="0.25">
      <c r="A4934" s="22">
        <v>43285</v>
      </c>
      <c r="B4934" s="1"/>
      <c r="C4934" s="1">
        <v>75.2</v>
      </c>
      <c r="D4934" s="1">
        <v>80.5</v>
      </c>
      <c r="E4934" s="1"/>
      <c r="F4934" s="1">
        <v>51.1</v>
      </c>
      <c r="G4934" s="1">
        <v>52.5</v>
      </c>
      <c r="H4934" s="1">
        <v>55.9</v>
      </c>
      <c r="I4934" s="1">
        <v>52.2</v>
      </c>
      <c r="J4934" s="1">
        <v>74.099999999999994</v>
      </c>
      <c r="K4934" s="1">
        <v>2</v>
      </c>
      <c r="L4934" s="1">
        <v>4.3180000000000005</v>
      </c>
      <c r="M4934" s="1">
        <v>70.099999999999994</v>
      </c>
      <c r="O4934" s="1">
        <v>50.8</v>
      </c>
      <c r="P4934" s="1">
        <v>37.200000000000003</v>
      </c>
      <c r="Q4934" s="1">
        <v>0.3</v>
      </c>
      <c r="R4934" s="1">
        <v>0.3</v>
      </c>
      <c r="S4934" s="1"/>
      <c r="T4934" s="1"/>
      <c r="U4934" s="1">
        <v>43</v>
      </c>
      <c r="X4934" s="1">
        <v>0.2</v>
      </c>
    </row>
    <row r="4935" spans="1:24" x14ac:dyDescent="0.25">
      <c r="A4935" s="22">
        <v>43286</v>
      </c>
      <c r="B4935" s="1"/>
      <c r="C4935" s="1">
        <v>1.7</v>
      </c>
      <c r="D4935" s="1">
        <v>1.1000000000000001</v>
      </c>
      <c r="E4935" s="1"/>
      <c r="F4935" s="1">
        <v>0</v>
      </c>
      <c r="G4935" s="1">
        <v>0.2</v>
      </c>
      <c r="H4935" s="1">
        <v>0</v>
      </c>
      <c r="I4935" s="1">
        <v>0</v>
      </c>
      <c r="J4935" s="1">
        <v>1.4</v>
      </c>
      <c r="K4935" s="1">
        <v>0.3</v>
      </c>
      <c r="L4935" s="1">
        <v>1.27</v>
      </c>
      <c r="M4935" s="1">
        <v>0</v>
      </c>
      <c r="O4935" s="1">
        <v>5.08</v>
      </c>
      <c r="P4935" s="1">
        <v>0.6</v>
      </c>
      <c r="Q4935" s="1">
        <v>3.6</v>
      </c>
      <c r="R4935" s="1">
        <v>3.4</v>
      </c>
      <c r="S4935" s="1"/>
      <c r="T4935" s="1"/>
      <c r="U4935" s="1">
        <v>11</v>
      </c>
      <c r="X4935" s="1">
        <v>1.4</v>
      </c>
    </row>
    <row r="4936" spans="1:24" x14ac:dyDescent="0.25">
      <c r="A4936" s="22">
        <v>43287</v>
      </c>
      <c r="B4936" s="1"/>
      <c r="C4936" s="1">
        <v>1.4</v>
      </c>
      <c r="D4936" s="1">
        <v>4.7</v>
      </c>
      <c r="E4936" s="1"/>
      <c r="F4936" s="1">
        <v>0</v>
      </c>
      <c r="G4936" s="1">
        <v>1.5</v>
      </c>
      <c r="H4936" s="1">
        <v>0</v>
      </c>
      <c r="I4936" s="1">
        <v>1.4</v>
      </c>
      <c r="J4936" s="1">
        <v>3.2</v>
      </c>
      <c r="K4936" s="1">
        <v>0</v>
      </c>
      <c r="L4936" s="1">
        <v>1.778</v>
      </c>
      <c r="M4936" s="1">
        <v>1.2</v>
      </c>
      <c r="O4936" s="1">
        <v>2.54</v>
      </c>
      <c r="P4936" s="1">
        <v>0</v>
      </c>
      <c r="Q4936" s="1">
        <v>40.1</v>
      </c>
      <c r="R4936" s="1">
        <v>56.7</v>
      </c>
      <c r="S4936" s="1"/>
      <c r="T4936" s="1"/>
      <c r="U4936" s="1">
        <v>0</v>
      </c>
      <c r="X4936" s="1"/>
    </row>
    <row r="4937" spans="1:24" x14ac:dyDescent="0.25">
      <c r="A4937" s="22">
        <v>43288</v>
      </c>
      <c r="B4937" s="1"/>
      <c r="C4937" s="1">
        <v>35.5</v>
      </c>
      <c r="D4937" s="1">
        <v>43.5</v>
      </c>
      <c r="E4937" s="1"/>
      <c r="F4937" s="1">
        <v>34</v>
      </c>
      <c r="G4937" s="1">
        <v>27.3</v>
      </c>
      <c r="H4937" s="1">
        <v>38.4</v>
      </c>
      <c r="I4937" s="1">
        <v>26.2</v>
      </c>
      <c r="J4937" s="1">
        <v>43.5</v>
      </c>
      <c r="K4937" s="1">
        <v>0</v>
      </c>
      <c r="L4937" s="1">
        <v>53.593999999999994</v>
      </c>
      <c r="M4937" s="1">
        <v>39.200000000000003</v>
      </c>
      <c r="O4937" s="1">
        <v>0</v>
      </c>
      <c r="P4937" s="1">
        <v>53.1</v>
      </c>
      <c r="Q4937" s="1">
        <v>5.6</v>
      </c>
      <c r="R4937" s="1">
        <v>3.7</v>
      </c>
      <c r="S4937" s="1"/>
      <c r="T4937" s="1"/>
      <c r="U4937" s="1">
        <v>28</v>
      </c>
      <c r="X4937" s="1">
        <v>10.7</v>
      </c>
    </row>
    <row r="4938" spans="1:24" x14ac:dyDescent="0.25">
      <c r="A4938" s="22">
        <v>43289</v>
      </c>
      <c r="B4938" s="1"/>
      <c r="C4938" s="1">
        <v>3.5</v>
      </c>
      <c r="D4938" s="1">
        <v>6.4</v>
      </c>
      <c r="E4938" s="1"/>
      <c r="F4938" s="1">
        <v>0</v>
      </c>
      <c r="G4938" s="1">
        <v>2.8</v>
      </c>
      <c r="H4938" s="1">
        <v>0.9</v>
      </c>
      <c r="I4938" s="1">
        <v>2.4</v>
      </c>
      <c r="J4938" s="1">
        <v>2.2999999999999998</v>
      </c>
      <c r="K4938" s="1">
        <v>0</v>
      </c>
      <c r="L4938" s="1">
        <v>3.302</v>
      </c>
      <c r="M4938" s="1">
        <v>0</v>
      </c>
      <c r="O4938" s="1">
        <v>0</v>
      </c>
      <c r="P4938" s="1">
        <v>3</v>
      </c>
      <c r="Q4938" s="1">
        <v>0.3</v>
      </c>
      <c r="R4938" s="1">
        <v>0</v>
      </c>
      <c r="S4938" s="1"/>
      <c r="T4938" s="1"/>
      <c r="U4938" s="1">
        <v>16</v>
      </c>
      <c r="X4938" s="1">
        <v>1.1000000000000001</v>
      </c>
    </row>
    <row r="4939" spans="1:24" x14ac:dyDescent="0.25">
      <c r="A4939" s="22">
        <v>43290</v>
      </c>
      <c r="B4939" s="1">
        <v>67.7</v>
      </c>
      <c r="C4939" s="1">
        <v>1</v>
      </c>
      <c r="D4939" s="1">
        <v>0.7</v>
      </c>
      <c r="E4939" s="1"/>
      <c r="F4939" s="1">
        <v>3</v>
      </c>
      <c r="G4939" s="1">
        <v>0</v>
      </c>
      <c r="H4939" s="1">
        <v>0</v>
      </c>
      <c r="I4939" s="1">
        <v>0</v>
      </c>
      <c r="J4939" s="1">
        <v>9.4</v>
      </c>
      <c r="K4939" s="1">
        <v>8.6</v>
      </c>
      <c r="L4939" s="1">
        <v>0</v>
      </c>
      <c r="M4939" s="1">
        <v>0</v>
      </c>
      <c r="O4939" s="1">
        <v>40.64</v>
      </c>
      <c r="P4939" s="1">
        <v>0.7</v>
      </c>
      <c r="Q4939" s="1">
        <v>4.2</v>
      </c>
      <c r="R4939" s="1">
        <v>3.4</v>
      </c>
      <c r="S4939" s="1"/>
      <c r="T4939" s="1"/>
      <c r="U4939" s="1">
        <v>8</v>
      </c>
      <c r="X4939" s="1">
        <v>11.3</v>
      </c>
    </row>
    <row r="4940" spans="1:24" x14ac:dyDescent="0.25">
      <c r="A4940" s="22">
        <v>43291</v>
      </c>
      <c r="B4940" s="1">
        <v>13.1</v>
      </c>
      <c r="C4940" s="1">
        <v>16</v>
      </c>
      <c r="D4940" s="1">
        <v>12.2</v>
      </c>
      <c r="E4940" s="1"/>
      <c r="F4940" s="1"/>
      <c r="G4940" s="1">
        <v>3.4</v>
      </c>
      <c r="H4940" s="1">
        <v>5.3</v>
      </c>
      <c r="I4940" s="1">
        <v>4</v>
      </c>
      <c r="J4940" s="1">
        <v>8.6999999999999993</v>
      </c>
      <c r="K4940" s="1">
        <v>0</v>
      </c>
      <c r="L4940" s="1">
        <v>2.032</v>
      </c>
      <c r="M4940" s="1">
        <v>12.3</v>
      </c>
      <c r="O4940" s="1">
        <v>12.7</v>
      </c>
      <c r="P4940" s="1">
        <v>4.0999999999999996</v>
      </c>
      <c r="Q4940" s="1">
        <v>0.9</v>
      </c>
      <c r="R4940" s="1">
        <v>0</v>
      </c>
      <c r="S4940" s="1"/>
      <c r="T4940" s="1"/>
      <c r="U4940" s="1">
        <v>12</v>
      </c>
      <c r="X4940" s="1">
        <v>2.7</v>
      </c>
    </row>
    <row r="4941" spans="1:24" x14ac:dyDescent="0.25">
      <c r="A4941" s="22">
        <v>43292</v>
      </c>
      <c r="B4941" s="1"/>
      <c r="C4941" s="1">
        <v>0.9</v>
      </c>
      <c r="D4941" s="1">
        <v>3.7</v>
      </c>
      <c r="E4941" s="1"/>
      <c r="F4941" s="1"/>
      <c r="G4941" s="1">
        <v>2.6</v>
      </c>
      <c r="H4941" s="1">
        <v>7.2</v>
      </c>
      <c r="I4941" s="1">
        <v>3.2</v>
      </c>
      <c r="J4941" s="1">
        <v>6.3</v>
      </c>
      <c r="K4941" s="1">
        <v>0</v>
      </c>
      <c r="L4941" s="1">
        <v>3.302</v>
      </c>
      <c r="M4941" s="1">
        <v>4.4000000000000004</v>
      </c>
      <c r="O4941" s="1">
        <v>5.08</v>
      </c>
      <c r="P4941" s="1">
        <v>3.4</v>
      </c>
      <c r="Q4941" s="1">
        <v>0.1</v>
      </c>
      <c r="R4941" s="1">
        <v>0</v>
      </c>
      <c r="S4941" s="1"/>
      <c r="T4941" s="1"/>
      <c r="U4941" s="1">
        <v>6</v>
      </c>
      <c r="X4941" s="1">
        <v>3.1</v>
      </c>
    </row>
    <row r="4942" spans="1:24" x14ac:dyDescent="0.25">
      <c r="A4942" s="22">
        <v>43293</v>
      </c>
      <c r="B4942" s="1"/>
      <c r="C4942" s="1">
        <v>0</v>
      </c>
      <c r="D4942" s="30" t="s">
        <v>9</v>
      </c>
      <c r="E4942" s="1"/>
      <c r="F4942" s="1"/>
      <c r="G4942" s="1">
        <v>0</v>
      </c>
      <c r="H4942" s="1">
        <v>0</v>
      </c>
      <c r="I4942" s="1">
        <v>0</v>
      </c>
      <c r="J4942" s="1"/>
      <c r="K4942" s="1">
        <v>22.8</v>
      </c>
      <c r="L4942" s="1">
        <v>0</v>
      </c>
      <c r="M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/>
      <c r="T4942" s="1"/>
      <c r="U4942" s="1">
        <v>0</v>
      </c>
      <c r="X4942" s="1">
        <v>0</v>
      </c>
    </row>
    <row r="4943" spans="1:24" x14ac:dyDescent="0.25">
      <c r="A4943" s="22">
        <v>43294</v>
      </c>
      <c r="B4943" s="1"/>
      <c r="C4943" s="1">
        <v>0</v>
      </c>
      <c r="D4943" s="1">
        <v>1.1000000000000001</v>
      </c>
      <c r="E4943" s="1"/>
      <c r="F4943" s="1"/>
      <c r="G4943" s="1">
        <v>4.0999999999999996</v>
      </c>
      <c r="H4943" s="1">
        <v>0</v>
      </c>
      <c r="I4943" s="1">
        <v>0</v>
      </c>
      <c r="J4943" s="1">
        <v>0.5</v>
      </c>
      <c r="K4943" s="1">
        <v>1.8</v>
      </c>
      <c r="L4943" s="1">
        <v>1.5239999999999998</v>
      </c>
      <c r="M4943" s="1">
        <v>0</v>
      </c>
      <c r="O4943" s="1">
        <v>0</v>
      </c>
      <c r="P4943" s="1">
        <v>0</v>
      </c>
      <c r="Q4943" s="1">
        <v>3.9</v>
      </c>
      <c r="R4943" s="1">
        <v>4.2</v>
      </c>
      <c r="S4943" s="1"/>
      <c r="T4943" s="1"/>
      <c r="U4943" s="1">
        <v>0</v>
      </c>
      <c r="X4943" s="1">
        <v>0</v>
      </c>
    </row>
    <row r="4944" spans="1:24" x14ac:dyDescent="0.25">
      <c r="A4944" s="22">
        <v>43295</v>
      </c>
      <c r="B4944" s="1"/>
      <c r="C4944" s="1">
        <v>4.3</v>
      </c>
      <c r="D4944" s="1">
        <v>9.5</v>
      </c>
      <c r="E4944" s="1"/>
      <c r="F4944" s="1">
        <v>12.6</v>
      </c>
      <c r="G4944" s="1">
        <v>3.9</v>
      </c>
      <c r="H4944" s="1">
        <v>4.3</v>
      </c>
      <c r="I4944" s="1">
        <v>2.5</v>
      </c>
      <c r="J4944" s="1">
        <v>3.5</v>
      </c>
      <c r="K4944" s="1">
        <v>0</v>
      </c>
      <c r="L4944" s="1">
        <v>6.35</v>
      </c>
      <c r="M4944" s="1">
        <v>0</v>
      </c>
      <c r="O4944" s="1">
        <v>0</v>
      </c>
      <c r="P4944" s="1">
        <v>0.5</v>
      </c>
      <c r="Q4944" s="1">
        <v>1.3</v>
      </c>
      <c r="R4944" s="1">
        <v>3.2</v>
      </c>
      <c r="S4944" s="1"/>
      <c r="T4944" s="1"/>
      <c r="U4944" s="1">
        <v>10</v>
      </c>
      <c r="X4944" s="1">
        <v>0.3</v>
      </c>
    </row>
    <row r="4945" spans="1:24" x14ac:dyDescent="0.25">
      <c r="A4945" s="22">
        <v>43296</v>
      </c>
      <c r="B4945" s="1"/>
      <c r="C4945" s="1">
        <v>8.1</v>
      </c>
      <c r="D4945" s="1">
        <v>6.7</v>
      </c>
      <c r="E4945" s="1"/>
      <c r="F4945" s="1">
        <v>3.2</v>
      </c>
      <c r="G4945" s="1">
        <v>2.9</v>
      </c>
      <c r="H4945" s="1">
        <v>0</v>
      </c>
      <c r="I4945" s="1">
        <v>4.4000000000000004</v>
      </c>
      <c r="J4945" s="1">
        <v>8.8000000000000007</v>
      </c>
      <c r="K4945" s="1">
        <v>0</v>
      </c>
      <c r="L4945" s="1">
        <v>5.8419999999999996</v>
      </c>
      <c r="M4945" s="1">
        <v>5.2</v>
      </c>
      <c r="O4945" s="1">
        <v>0</v>
      </c>
      <c r="P4945" s="1">
        <v>0.8</v>
      </c>
      <c r="Q4945" s="1">
        <v>6.1</v>
      </c>
      <c r="R4945" s="1">
        <v>6.9</v>
      </c>
      <c r="S4945" s="1"/>
      <c r="T4945" s="1"/>
      <c r="U4945" s="1">
        <v>7</v>
      </c>
      <c r="X4945" s="1">
        <v>0</v>
      </c>
    </row>
    <row r="4946" spans="1:24" x14ac:dyDescent="0.25">
      <c r="A4946" s="22">
        <v>43297</v>
      </c>
      <c r="B4946" s="1">
        <v>30.5</v>
      </c>
      <c r="C4946" s="1">
        <v>11.9</v>
      </c>
      <c r="D4946" s="1">
        <v>14.6</v>
      </c>
      <c r="E4946" s="1"/>
      <c r="F4946" s="1"/>
      <c r="G4946" s="1">
        <v>1</v>
      </c>
      <c r="H4946" s="1">
        <v>8.4</v>
      </c>
      <c r="I4946" s="1">
        <v>0</v>
      </c>
      <c r="J4946" s="1">
        <v>6</v>
      </c>
      <c r="K4946" s="1">
        <v>0</v>
      </c>
      <c r="L4946" s="1">
        <v>3.0479999999999996</v>
      </c>
      <c r="M4946" s="1">
        <v>2.1</v>
      </c>
      <c r="O4946" s="1">
        <v>21.59</v>
      </c>
      <c r="P4946" s="1">
        <v>3.1</v>
      </c>
      <c r="Q4946" s="1">
        <v>2.2999999999999998</v>
      </c>
      <c r="R4946" s="1">
        <v>1.1000000000000001</v>
      </c>
      <c r="S4946" s="1"/>
      <c r="T4946" s="1"/>
      <c r="U4946" s="1">
        <v>6</v>
      </c>
      <c r="X4946" s="1">
        <v>0.6</v>
      </c>
    </row>
    <row r="4947" spans="1:24" x14ac:dyDescent="0.25">
      <c r="A4947" s="22">
        <v>43298</v>
      </c>
      <c r="B4947" s="1"/>
      <c r="C4947" s="1">
        <v>10.5</v>
      </c>
      <c r="D4947" s="1">
        <v>13</v>
      </c>
      <c r="E4947" s="1"/>
      <c r="F4947" s="1"/>
      <c r="G4947" s="1">
        <v>4.5</v>
      </c>
      <c r="H4947" s="1">
        <v>3.5</v>
      </c>
      <c r="I4947" s="1">
        <v>4.4000000000000004</v>
      </c>
      <c r="J4947" s="1">
        <v>7.6</v>
      </c>
      <c r="K4947" s="1">
        <v>0</v>
      </c>
      <c r="L4947" s="1">
        <v>15.493999999999998</v>
      </c>
      <c r="M4947" s="1">
        <v>4.5999999999999996</v>
      </c>
      <c r="O4947" s="1">
        <v>8.8899999999999988</v>
      </c>
      <c r="P4947" s="1">
        <v>3.9</v>
      </c>
      <c r="Q4947" s="1">
        <v>6.2</v>
      </c>
      <c r="R4947" s="1">
        <v>3.6</v>
      </c>
      <c r="S4947" s="1"/>
      <c r="T4947" s="1"/>
      <c r="U4947" s="1">
        <v>16</v>
      </c>
      <c r="X4947" s="1">
        <v>0</v>
      </c>
    </row>
    <row r="4948" spans="1:24" x14ac:dyDescent="0.25">
      <c r="A4948" s="22">
        <v>43299</v>
      </c>
      <c r="B4948" s="1">
        <v>12.5</v>
      </c>
      <c r="C4948" s="1">
        <v>7.2</v>
      </c>
      <c r="D4948" s="1">
        <v>17.3</v>
      </c>
      <c r="E4948" s="1"/>
      <c r="F4948" s="1"/>
      <c r="G4948" s="1">
        <v>1.4</v>
      </c>
      <c r="H4948" s="1">
        <v>2.2000000000000002</v>
      </c>
      <c r="I4948" s="1">
        <v>0</v>
      </c>
      <c r="J4948" s="1">
        <v>15</v>
      </c>
      <c r="K4948" s="1">
        <v>16.100000000000001</v>
      </c>
      <c r="L4948" s="1">
        <v>9.3979999999999997</v>
      </c>
      <c r="M4948" s="1">
        <v>3.6</v>
      </c>
      <c r="O4948" s="1">
        <v>10.16</v>
      </c>
      <c r="P4948" s="1">
        <v>4.7</v>
      </c>
      <c r="Q4948" s="1">
        <v>8.9</v>
      </c>
      <c r="R4948" s="1">
        <v>5.3</v>
      </c>
      <c r="S4948" s="1"/>
      <c r="T4948" s="1"/>
      <c r="U4948" s="1">
        <v>11</v>
      </c>
      <c r="X4948" s="1">
        <v>0.5</v>
      </c>
    </row>
    <row r="4949" spans="1:24" x14ac:dyDescent="0.25">
      <c r="A4949" s="22">
        <v>43300</v>
      </c>
      <c r="B4949" s="1">
        <v>8</v>
      </c>
      <c r="C4949" s="1">
        <v>8.3000000000000007</v>
      </c>
      <c r="D4949" s="1">
        <v>11.5</v>
      </c>
      <c r="E4949" s="1"/>
      <c r="F4949" s="1"/>
      <c r="G4949" s="1">
        <v>0.5</v>
      </c>
      <c r="H4949" s="1">
        <v>0</v>
      </c>
      <c r="I4949" s="1">
        <v>0</v>
      </c>
      <c r="J4949" s="1">
        <v>4.9000000000000004</v>
      </c>
      <c r="K4949" s="1">
        <v>28</v>
      </c>
      <c r="L4949" s="1">
        <v>6.8579999999999997</v>
      </c>
      <c r="M4949" s="1">
        <v>0.5</v>
      </c>
      <c r="O4949" s="1">
        <v>11.43</v>
      </c>
      <c r="P4949" s="1">
        <v>9.3000000000000007</v>
      </c>
      <c r="Q4949" s="1">
        <v>4.5</v>
      </c>
      <c r="R4949" s="1">
        <v>1.4</v>
      </c>
      <c r="S4949" s="1"/>
      <c r="T4949" s="1"/>
      <c r="U4949" s="1">
        <v>11</v>
      </c>
      <c r="X4949" s="1">
        <v>0</v>
      </c>
    </row>
    <row r="4950" spans="1:24" x14ac:dyDescent="0.25">
      <c r="A4950" s="22">
        <v>43301</v>
      </c>
      <c r="B4950" s="1">
        <v>1.5</v>
      </c>
      <c r="C4950" s="1">
        <v>2</v>
      </c>
      <c r="D4950" s="1">
        <v>2.5</v>
      </c>
      <c r="E4950" s="1"/>
      <c r="F4950" s="1"/>
      <c r="G4950" s="1">
        <v>1.1000000000000001</v>
      </c>
      <c r="H4950" s="1">
        <v>0</v>
      </c>
      <c r="I4950" s="1">
        <v>6.2</v>
      </c>
      <c r="J4950" s="1">
        <v>4.3</v>
      </c>
      <c r="K4950" s="1">
        <v>4.4000000000000004</v>
      </c>
      <c r="L4950" s="1">
        <v>3.8099999999999996</v>
      </c>
      <c r="M4950" s="1">
        <v>1.3</v>
      </c>
      <c r="O4950" s="1">
        <v>6.8579999999999997</v>
      </c>
      <c r="P4950" s="1">
        <v>0</v>
      </c>
      <c r="Q4950" s="1">
        <v>1.8</v>
      </c>
      <c r="R4950" s="1">
        <v>3.2</v>
      </c>
      <c r="S4950" s="1"/>
      <c r="T4950" s="1"/>
      <c r="U4950" s="1">
        <v>3</v>
      </c>
      <c r="X4950" s="1">
        <v>1.4</v>
      </c>
    </row>
    <row r="4951" spans="1:24" x14ac:dyDescent="0.25">
      <c r="A4951" s="22">
        <v>43302</v>
      </c>
      <c r="B4951" s="1"/>
      <c r="C4951" s="1">
        <v>2.1</v>
      </c>
      <c r="D4951" s="1">
        <v>3.5</v>
      </c>
      <c r="E4951" s="1"/>
      <c r="F4951" s="1"/>
      <c r="G4951" s="1">
        <v>2.1</v>
      </c>
      <c r="H4951" s="1">
        <v>0</v>
      </c>
      <c r="I4951" s="1">
        <v>1.5</v>
      </c>
      <c r="J4951" s="1">
        <v>2.8</v>
      </c>
      <c r="K4951" s="1">
        <v>6.2</v>
      </c>
      <c r="L4951" s="1">
        <v>0.7619999999999999</v>
      </c>
      <c r="M4951" s="1">
        <v>3.1</v>
      </c>
      <c r="O4951" s="1">
        <v>0</v>
      </c>
      <c r="P4951" s="1">
        <v>0</v>
      </c>
      <c r="Q4951" s="1">
        <v>1.4</v>
      </c>
      <c r="R4951" s="1">
        <v>0.6</v>
      </c>
      <c r="S4951" s="1"/>
      <c r="T4951" s="1"/>
      <c r="U4951" s="1">
        <v>7</v>
      </c>
      <c r="X4951" s="1">
        <v>0.6</v>
      </c>
    </row>
    <row r="4952" spans="1:24" x14ac:dyDescent="0.25">
      <c r="A4952" s="22">
        <v>43303</v>
      </c>
      <c r="B4952" s="1"/>
      <c r="C4952" s="1">
        <v>3.4</v>
      </c>
      <c r="D4952" s="1">
        <v>0.5</v>
      </c>
      <c r="E4952" s="1"/>
      <c r="F4952" s="1"/>
      <c r="G4952" s="1">
        <v>0</v>
      </c>
      <c r="H4952" s="1">
        <v>0</v>
      </c>
      <c r="I4952" s="1">
        <v>0</v>
      </c>
      <c r="J4952" s="1">
        <v>1.6</v>
      </c>
      <c r="K4952" s="1">
        <v>1.6</v>
      </c>
      <c r="L4952" s="1">
        <v>0</v>
      </c>
      <c r="M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/>
      <c r="T4952" s="1"/>
      <c r="U4952" s="1">
        <v>0</v>
      </c>
      <c r="X4952" s="1">
        <v>0</v>
      </c>
    </row>
    <row r="4953" spans="1:24" x14ac:dyDescent="0.25">
      <c r="A4953" s="22">
        <v>43304</v>
      </c>
      <c r="B4953" s="1"/>
      <c r="C4953" s="1">
        <v>1.6</v>
      </c>
      <c r="D4953" s="30" t="s">
        <v>9</v>
      </c>
      <c r="E4953" s="1"/>
      <c r="F4953" s="1"/>
      <c r="G4953" s="1">
        <v>0</v>
      </c>
      <c r="H4953" s="1">
        <v>0</v>
      </c>
      <c r="I4953" s="1">
        <v>0</v>
      </c>
      <c r="J4953" s="1">
        <v>3.5</v>
      </c>
      <c r="K4953" s="1">
        <v>0</v>
      </c>
      <c r="L4953" s="1">
        <v>1.5239999999999998</v>
      </c>
      <c r="M4953" s="1">
        <v>0</v>
      </c>
      <c r="O4953" s="1">
        <v>6.35</v>
      </c>
      <c r="P4953" s="1">
        <v>0</v>
      </c>
      <c r="Q4953" s="1">
        <v>3.5</v>
      </c>
      <c r="R4953" s="1">
        <v>0</v>
      </c>
      <c r="S4953" s="1"/>
      <c r="T4953" s="1"/>
      <c r="U4953" s="1">
        <v>0</v>
      </c>
      <c r="X4953" s="1">
        <v>5.2</v>
      </c>
    </row>
    <row r="4954" spans="1:24" x14ac:dyDescent="0.25">
      <c r="A4954" s="22">
        <v>43305</v>
      </c>
      <c r="B4954" s="1">
        <v>14.1</v>
      </c>
      <c r="C4954" s="1">
        <v>5.3</v>
      </c>
      <c r="D4954" s="1">
        <v>2</v>
      </c>
      <c r="E4954" s="1"/>
      <c r="F4954" s="1"/>
      <c r="G4954" s="1">
        <v>1.4</v>
      </c>
      <c r="H4954" s="1">
        <v>5.4</v>
      </c>
      <c r="I4954" s="1">
        <v>0.3</v>
      </c>
      <c r="J4954" s="1">
        <v>3.5</v>
      </c>
      <c r="K4954" s="1">
        <v>0</v>
      </c>
      <c r="L4954" s="1">
        <v>5.8419999999999996</v>
      </c>
      <c r="M4954" s="1">
        <v>1.6</v>
      </c>
      <c r="O4954" s="1">
        <v>12.7</v>
      </c>
      <c r="P4954" s="1">
        <v>10.199999999999999</v>
      </c>
      <c r="Q4954" s="1">
        <v>0.5</v>
      </c>
      <c r="R4954" s="1">
        <v>1.6</v>
      </c>
      <c r="S4954" s="1"/>
      <c r="T4954" s="1"/>
      <c r="U4954" s="1">
        <v>9</v>
      </c>
      <c r="X4954" s="1">
        <v>0</v>
      </c>
    </row>
    <row r="4955" spans="1:24" x14ac:dyDescent="0.25">
      <c r="A4955" s="22">
        <v>43306</v>
      </c>
      <c r="B4955" s="1"/>
      <c r="C4955" s="1">
        <v>0</v>
      </c>
      <c r="D4955" s="30" t="s">
        <v>9</v>
      </c>
      <c r="E4955" s="1"/>
      <c r="F4955" s="1"/>
      <c r="G4955" s="1">
        <v>0.6</v>
      </c>
      <c r="H4955" s="1">
        <v>0</v>
      </c>
      <c r="I4955" s="1">
        <v>0</v>
      </c>
      <c r="J4955" s="1">
        <v>5.4</v>
      </c>
      <c r="K4955" s="1">
        <v>0</v>
      </c>
      <c r="L4955" s="1">
        <v>1.778</v>
      </c>
      <c r="M4955" s="1">
        <v>1.1000000000000001</v>
      </c>
      <c r="O4955" s="1">
        <v>8.8899999999999988</v>
      </c>
      <c r="P4955" s="1">
        <v>1.6</v>
      </c>
      <c r="Q4955" s="1">
        <v>9.8000000000000007</v>
      </c>
      <c r="R4955" s="1">
        <v>0</v>
      </c>
      <c r="S4955" s="1"/>
      <c r="T4955" s="1"/>
      <c r="U4955" s="1">
        <v>3</v>
      </c>
      <c r="X4955" s="1">
        <v>3.6</v>
      </c>
    </row>
    <row r="4956" spans="1:24" x14ac:dyDescent="0.25">
      <c r="A4956" s="22">
        <v>43307</v>
      </c>
      <c r="B4956" s="1">
        <v>29.2</v>
      </c>
      <c r="C4956" s="1">
        <v>0</v>
      </c>
      <c r="D4956" s="1">
        <v>15.1</v>
      </c>
      <c r="E4956" s="1"/>
      <c r="F4956" s="1"/>
      <c r="G4956" s="1">
        <v>0.7</v>
      </c>
      <c r="H4956" s="1">
        <v>0.9</v>
      </c>
      <c r="I4956" s="1">
        <v>1.5</v>
      </c>
      <c r="J4956" s="1">
        <v>2.2999999999999998</v>
      </c>
      <c r="K4956" s="1">
        <v>0</v>
      </c>
      <c r="L4956" s="1">
        <v>13.715999999999999</v>
      </c>
      <c r="M4956" s="1">
        <v>0.5</v>
      </c>
      <c r="O4956" s="1">
        <v>3.302</v>
      </c>
      <c r="P4956" s="1">
        <v>6.5</v>
      </c>
      <c r="Q4956" s="1">
        <v>2.5</v>
      </c>
      <c r="R4956" s="1">
        <v>5.7</v>
      </c>
      <c r="S4956" s="1"/>
      <c r="T4956" s="1"/>
      <c r="U4956" s="1">
        <v>5</v>
      </c>
      <c r="X4956" s="1">
        <v>1.3</v>
      </c>
    </row>
    <row r="4957" spans="1:24" x14ac:dyDescent="0.25">
      <c r="A4957" s="22">
        <v>43308</v>
      </c>
      <c r="B4957" s="1"/>
      <c r="C4957" s="1">
        <v>15.1</v>
      </c>
      <c r="D4957" s="1">
        <v>15.5</v>
      </c>
      <c r="E4957" s="1"/>
      <c r="F4957" s="1"/>
      <c r="G4957" s="1">
        <v>2.5</v>
      </c>
      <c r="H4957" s="1">
        <v>2.1</v>
      </c>
      <c r="I4957" s="1">
        <v>2.2999999999999998</v>
      </c>
      <c r="J4957" s="1">
        <v>10.5</v>
      </c>
      <c r="K4957" s="1">
        <v>36.299999999999997</v>
      </c>
      <c r="L4957" s="1">
        <v>3.8099999999999996</v>
      </c>
      <c r="M4957" s="1">
        <v>1.3</v>
      </c>
      <c r="O4957" s="1">
        <v>11.937999999999999</v>
      </c>
      <c r="P4957" s="1">
        <v>3.4</v>
      </c>
      <c r="Q4957" s="1">
        <v>3.6</v>
      </c>
      <c r="R4957" s="1">
        <v>1.5</v>
      </c>
      <c r="S4957" s="1"/>
      <c r="T4957" s="1"/>
      <c r="U4957" s="1">
        <v>10</v>
      </c>
      <c r="X4957" s="1">
        <v>2.2000000000000002</v>
      </c>
    </row>
    <row r="4958" spans="1:24" x14ac:dyDescent="0.25">
      <c r="A4958" s="22">
        <v>43309</v>
      </c>
      <c r="B4958" s="1"/>
      <c r="C4958" s="1">
        <v>13.2</v>
      </c>
      <c r="D4958" s="30" t="s">
        <v>9</v>
      </c>
      <c r="E4958" s="1"/>
      <c r="F4958" s="1"/>
      <c r="G4958" s="1">
        <v>2.2999999999999998</v>
      </c>
      <c r="H4958" s="1">
        <v>2.2000000000000002</v>
      </c>
      <c r="I4958" s="1">
        <v>4.8</v>
      </c>
      <c r="J4958" s="1">
        <v>22.1</v>
      </c>
      <c r="K4958" s="1">
        <v>4.5999999999999996</v>
      </c>
      <c r="L4958" s="1">
        <v>0</v>
      </c>
      <c r="M4958" s="1">
        <v>5.7</v>
      </c>
      <c r="O4958" s="1">
        <v>0</v>
      </c>
      <c r="P4958" s="1">
        <v>3.1</v>
      </c>
      <c r="Q4958" s="1">
        <v>1.6</v>
      </c>
      <c r="R4958" s="1">
        <v>1.8</v>
      </c>
      <c r="S4958" s="1"/>
      <c r="T4958" s="1"/>
      <c r="U4958" s="1">
        <v>0</v>
      </c>
      <c r="X4958" s="1">
        <v>1.7</v>
      </c>
    </row>
    <row r="4959" spans="1:24" x14ac:dyDescent="0.25">
      <c r="A4959" s="22">
        <v>43310</v>
      </c>
      <c r="B4959" s="1">
        <v>32</v>
      </c>
      <c r="C4959" s="1">
        <v>14.4</v>
      </c>
      <c r="D4959" s="1">
        <v>21.7</v>
      </c>
      <c r="E4959" s="1"/>
      <c r="F4959" s="1"/>
      <c r="G4959" s="1">
        <v>7.9</v>
      </c>
      <c r="H4959" s="1">
        <v>5.4</v>
      </c>
      <c r="I4959" s="1">
        <v>0</v>
      </c>
      <c r="J4959" s="1">
        <v>3.2</v>
      </c>
      <c r="K4959" s="1">
        <v>0</v>
      </c>
      <c r="L4959" s="1">
        <v>6.35</v>
      </c>
      <c r="M4959" s="1">
        <v>7.2</v>
      </c>
      <c r="O4959" s="1">
        <v>0</v>
      </c>
      <c r="P4959" s="1">
        <v>2</v>
      </c>
      <c r="Q4959" s="1">
        <v>6.2</v>
      </c>
      <c r="R4959" s="1">
        <v>0</v>
      </c>
      <c r="S4959" s="1"/>
      <c r="T4959" s="1"/>
      <c r="U4959" s="1">
        <v>0</v>
      </c>
      <c r="X4959" s="1">
        <v>0.3</v>
      </c>
    </row>
    <row r="4960" spans="1:24" x14ac:dyDescent="0.25">
      <c r="A4960" s="22">
        <v>43311</v>
      </c>
      <c r="B4960" s="1">
        <v>35</v>
      </c>
      <c r="C4960" s="1">
        <v>8.5</v>
      </c>
      <c r="D4960" s="30" t="s">
        <v>9</v>
      </c>
      <c r="E4960" s="5"/>
      <c r="F4960" s="1"/>
      <c r="G4960" s="1">
        <v>3.5</v>
      </c>
      <c r="H4960" s="1">
        <v>5</v>
      </c>
      <c r="I4960" s="1"/>
      <c r="J4960" s="1">
        <v>17</v>
      </c>
      <c r="K4960" s="1">
        <v>0</v>
      </c>
      <c r="L4960" s="1">
        <v>3.302</v>
      </c>
      <c r="M4960" s="1">
        <v>5.2</v>
      </c>
      <c r="O4960" s="1">
        <v>25.4</v>
      </c>
      <c r="P4960" s="1">
        <v>2.9</v>
      </c>
      <c r="Q4960" s="1">
        <v>16.899999999999999</v>
      </c>
      <c r="R4960" s="1">
        <v>6.3</v>
      </c>
      <c r="S4960" s="1"/>
      <c r="T4960" s="1"/>
      <c r="U4960" s="1">
        <v>13</v>
      </c>
      <c r="X4960" s="1">
        <v>0.7</v>
      </c>
    </row>
    <row r="4961" spans="1:24" x14ac:dyDescent="0.25">
      <c r="A4961" s="22">
        <v>43312</v>
      </c>
      <c r="B4961" s="1"/>
      <c r="C4961" s="1">
        <v>36.700000000000003</v>
      </c>
      <c r="D4961" s="1">
        <v>45</v>
      </c>
      <c r="E4961" s="5"/>
      <c r="F4961" s="1">
        <v>31</v>
      </c>
      <c r="G4961" s="1">
        <v>51.4</v>
      </c>
      <c r="H4961" s="1">
        <v>41.5</v>
      </c>
      <c r="I4961" s="1">
        <v>71.599999999999994</v>
      </c>
      <c r="J4961" s="1">
        <v>51.9</v>
      </c>
      <c r="K4961" s="1">
        <v>0</v>
      </c>
      <c r="L4961" s="1">
        <v>17.018000000000001</v>
      </c>
      <c r="M4961" s="1">
        <v>53.6</v>
      </c>
      <c r="O4961" s="1">
        <v>21.081999999999997</v>
      </c>
      <c r="P4961" s="1">
        <v>34.299999999999997</v>
      </c>
      <c r="Q4961" s="1">
        <v>0.5</v>
      </c>
      <c r="R4961" s="1">
        <v>10.3</v>
      </c>
      <c r="S4961" s="1"/>
      <c r="T4961" s="1"/>
      <c r="U4961" s="1">
        <v>44</v>
      </c>
      <c r="X4961" s="1">
        <v>1.9</v>
      </c>
    </row>
    <row r="4962" spans="1:24" x14ac:dyDescent="0.25">
      <c r="A4962" s="22">
        <v>43313</v>
      </c>
      <c r="B4962" s="1">
        <v>0</v>
      </c>
      <c r="C4962" s="1">
        <v>8</v>
      </c>
      <c r="D4962" s="1">
        <v>12</v>
      </c>
      <c r="E4962" s="1">
        <v>0</v>
      </c>
      <c r="F4962" s="1">
        <v>0</v>
      </c>
      <c r="G4962" s="1">
        <v>88.8</v>
      </c>
      <c r="H4962" s="1"/>
      <c r="I4962" s="1">
        <v>0</v>
      </c>
      <c r="J4962" s="1">
        <v>13.2</v>
      </c>
      <c r="K4962" s="1">
        <v>0</v>
      </c>
      <c r="L4962" s="1">
        <v>3.0479999999999996</v>
      </c>
      <c r="M4962" s="1">
        <v>78.8</v>
      </c>
      <c r="O4962" s="1"/>
      <c r="P4962" s="1">
        <v>0</v>
      </c>
      <c r="Q4962" s="1">
        <v>117.5</v>
      </c>
      <c r="R4962" s="1">
        <v>77.3</v>
      </c>
      <c r="S4962" s="1"/>
      <c r="T4962" s="1"/>
      <c r="U4962" s="1">
        <v>135</v>
      </c>
      <c r="X4962" s="1">
        <v>144.1</v>
      </c>
    </row>
    <row r="4963" spans="1:24" x14ac:dyDescent="0.25">
      <c r="A4963" s="22">
        <v>43314</v>
      </c>
      <c r="B4963" s="1">
        <v>64</v>
      </c>
      <c r="C4963" s="1">
        <v>110.7</v>
      </c>
      <c r="D4963" s="1">
        <v>154</v>
      </c>
      <c r="E4963" s="1">
        <v>0</v>
      </c>
      <c r="F4963" s="1">
        <v>0</v>
      </c>
      <c r="G4963" s="1">
        <v>8.5</v>
      </c>
      <c r="H4963" s="1"/>
      <c r="I4963" s="1">
        <v>144.1</v>
      </c>
      <c r="J4963" s="1">
        <v>173</v>
      </c>
      <c r="K4963" s="1">
        <v>55.3</v>
      </c>
      <c r="L4963" s="1">
        <v>105.15599999999999</v>
      </c>
      <c r="M4963" s="1">
        <v>151.30000000000001</v>
      </c>
      <c r="O4963" s="1"/>
      <c r="P4963" s="1">
        <v>94.3</v>
      </c>
      <c r="Q4963" s="1">
        <v>2.8</v>
      </c>
      <c r="R4963" s="1">
        <v>10.4</v>
      </c>
      <c r="S4963" s="1"/>
      <c r="T4963" s="1"/>
      <c r="U4963" s="1">
        <v>24</v>
      </c>
      <c r="X4963" s="1">
        <v>63.6</v>
      </c>
    </row>
    <row r="4964" spans="1:24" x14ac:dyDescent="0.25">
      <c r="A4964" s="22">
        <v>43315</v>
      </c>
      <c r="B4964" s="1">
        <v>2.9</v>
      </c>
      <c r="C4964" s="1">
        <v>6.2</v>
      </c>
      <c r="D4964" s="1">
        <v>3.7</v>
      </c>
      <c r="E4964" s="1">
        <v>0</v>
      </c>
      <c r="F4964" s="1">
        <v>107</v>
      </c>
      <c r="G4964" s="1">
        <v>7.8</v>
      </c>
      <c r="H4964" s="1"/>
      <c r="I4964" s="1">
        <v>3.2</v>
      </c>
      <c r="J4964" s="1">
        <v>5.2</v>
      </c>
      <c r="K4964" s="1">
        <v>11.5</v>
      </c>
      <c r="L4964" s="1">
        <v>1.27</v>
      </c>
      <c r="M4964" s="1">
        <v>0</v>
      </c>
      <c r="O4964" s="1"/>
      <c r="P4964" s="1">
        <v>0.5</v>
      </c>
      <c r="Q4964" s="1">
        <v>10.8</v>
      </c>
      <c r="R4964" s="1">
        <v>3.2</v>
      </c>
      <c r="S4964" s="1"/>
      <c r="T4964" s="1"/>
      <c r="U4964" s="1">
        <v>8</v>
      </c>
      <c r="X4964" s="1">
        <v>3.2</v>
      </c>
    </row>
    <row r="4965" spans="1:24" x14ac:dyDescent="0.25">
      <c r="A4965" s="22">
        <v>43316</v>
      </c>
      <c r="B4965" s="1">
        <v>17</v>
      </c>
      <c r="C4965" s="1">
        <v>8.5</v>
      </c>
      <c r="D4965" s="1">
        <v>13.4</v>
      </c>
      <c r="E4965" s="1">
        <v>0</v>
      </c>
      <c r="F4965" s="1">
        <v>0</v>
      </c>
      <c r="G4965" s="1">
        <v>24.8</v>
      </c>
      <c r="H4965" s="1"/>
      <c r="I4965" s="1">
        <v>6.6</v>
      </c>
      <c r="J4965" s="1">
        <v>12.9</v>
      </c>
      <c r="K4965" s="1">
        <v>9.9</v>
      </c>
      <c r="L4965" s="1">
        <v>13.715999999999999</v>
      </c>
      <c r="M4965" s="1">
        <v>12.2</v>
      </c>
      <c r="O4965" s="1"/>
      <c r="P4965" s="1">
        <v>16.3</v>
      </c>
      <c r="Q4965" s="1">
        <v>13.5</v>
      </c>
      <c r="R4965" s="1">
        <v>10.6</v>
      </c>
      <c r="S4965" s="1"/>
      <c r="T4965" s="1"/>
      <c r="U4965" s="1">
        <v>30</v>
      </c>
      <c r="X4965" s="1">
        <v>0</v>
      </c>
    </row>
    <row r="4966" spans="1:24" x14ac:dyDescent="0.25">
      <c r="A4966" s="22">
        <v>43317</v>
      </c>
      <c r="B4966" s="1">
        <v>7.4</v>
      </c>
      <c r="C4966" s="1">
        <v>11.4</v>
      </c>
      <c r="D4966" s="1">
        <v>17</v>
      </c>
      <c r="E4966" s="1">
        <v>0</v>
      </c>
      <c r="F4966" s="1">
        <v>12</v>
      </c>
      <c r="G4966" s="1">
        <v>1</v>
      </c>
      <c r="H4966" s="1"/>
      <c r="I4966" s="1">
        <v>36.6</v>
      </c>
      <c r="J4966" s="1">
        <v>27.8</v>
      </c>
      <c r="K4966" s="1">
        <v>22.2</v>
      </c>
      <c r="L4966" s="1">
        <v>7.1120000000000001</v>
      </c>
      <c r="M4966" s="1">
        <v>23.2</v>
      </c>
      <c r="O4966" s="1"/>
      <c r="P4966" s="1">
        <v>8.9</v>
      </c>
      <c r="Q4966" s="1">
        <v>1.7</v>
      </c>
      <c r="R4966" s="1">
        <v>14.3</v>
      </c>
      <c r="S4966" s="1"/>
      <c r="T4966" s="1"/>
      <c r="U4966" s="1">
        <v>10</v>
      </c>
      <c r="X4966" s="1">
        <v>0</v>
      </c>
    </row>
    <row r="4967" spans="1:24" x14ac:dyDescent="0.25">
      <c r="A4967" s="22">
        <v>43318</v>
      </c>
      <c r="B4967" s="1">
        <v>0</v>
      </c>
      <c r="C4967" s="1">
        <v>3.6</v>
      </c>
      <c r="D4967" s="1">
        <v>2</v>
      </c>
      <c r="E4967" s="1">
        <v>174</v>
      </c>
      <c r="F4967" s="1">
        <v>20.5</v>
      </c>
      <c r="G4967" s="1">
        <v>0</v>
      </c>
      <c r="H4967" s="1"/>
      <c r="I4967" s="1">
        <v>0</v>
      </c>
      <c r="J4967" s="1">
        <v>0.7</v>
      </c>
      <c r="K4967" s="1">
        <v>1.2</v>
      </c>
      <c r="L4967" s="1">
        <v>1.016</v>
      </c>
      <c r="M4967" s="1">
        <v>5.2</v>
      </c>
      <c r="O4967" s="1"/>
      <c r="P4967" s="1">
        <v>0</v>
      </c>
      <c r="Q4967" s="1">
        <v>0</v>
      </c>
      <c r="R4967" s="1">
        <v>0.5</v>
      </c>
      <c r="S4967" s="1"/>
      <c r="T4967" s="1"/>
      <c r="U4967" s="1">
        <v>7</v>
      </c>
      <c r="X4967" s="1">
        <v>0</v>
      </c>
    </row>
    <row r="4968" spans="1:24" x14ac:dyDescent="0.25">
      <c r="A4968" s="22">
        <v>43319</v>
      </c>
      <c r="B4968" s="1">
        <v>0</v>
      </c>
      <c r="C4968" s="30" t="s">
        <v>9</v>
      </c>
      <c r="D4968" s="1">
        <v>2.9</v>
      </c>
      <c r="E4968" s="1">
        <v>0</v>
      </c>
      <c r="F4968" s="1">
        <v>0</v>
      </c>
      <c r="G4968" s="1">
        <v>0.4</v>
      </c>
      <c r="H4968" s="1"/>
      <c r="I4968" s="1">
        <v>4.5999999999999996</v>
      </c>
      <c r="J4968" s="1">
        <v>0.5</v>
      </c>
      <c r="K4968" s="1">
        <v>1.1000000000000001</v>
      </c>
      <c r="L4968" s="1">
        <v>1.016</v>
      </c>
      <c r="M4968" s="1">
        <v>0</v>
      </c>
      <c r="O4968" s="1"/>
      <c r="P4968" s="1">
        <v>0.7</v>
      </c>
      <c r="Q4968" s="1">
        <v>0</v>
      </c>
      <c r="R4968" s="1">
        <v>0</v>
      </c>
      <c r="S4968" s="1"/>
      <c r="T4968" s="1"/>
      <c r="U4968" s="1">
        <v>0</v>
      </c>
      <c r="X4968" s="1">
        <v>0</v>
      </c>
    </row>
    <row r="4969" spans="1:24" x14ac:dyDescent="0.25">
      <c r="A4969" s="22">
        <v>43320</v>
      </c>
      <c r="B4969" s="1">
        <v>0</v>
      </c>
      <c r="C4969" s="1">
        <v>0</v>
      </c>
      <c r="D4969" s="30" t="s">
        <v>9</v>
      </c>
      <c r="E4969" s="1">
        <v>0</v>
      </c>
      <c r="F4969" s="1">
        <v>0</v>
      </c>
      <c r="G4969" s="1">
        <v>0</v>
      </c>
      <c r="H4969" s="1"/>
      <c r="I4969" s="1">
        <v>0</v>
      </c>
      <c r="J4969" s="30" t="s">
        <v>9</v>
      </c>
      <c r="K4969" s="1">
        <v>0</v>
      </c>
      <c r="L4969" s="1">
        <v>0</v>
      </c>
      <c r="M4969" s="1">
        <v>0</v>
      </c>
      <c r="O4969" s="1"/>
      <c r="P4969" s="1">
        <v>0</v>
      </c>
      <c r="Q4969" s="1">
        <v>0</v>
      </c>
      <c r="R4969" s="1">
        <v>0</v>
      </c>
      <c r="S4969" s="1"/>
      <c r="T4969" s="1"/>
      <c r="U4969" s="1">
        <v>1</v>
      </c>
      <c r="X4969" s="1">
        <v>0.4</v>
      </c>
    </row>
    <row r="4970" spans="1:24" x14ac:dyDescent="0.25">
      <c r="A4970" s="22">
        <v>43321</v>
      </c>
      <c r="B4970" s="1">
        <v>0</v>
      </c>
      <c r="C4970" s="1">
        <v>0</v>
      </c>
      <c r="D4970" s="30" t="s">
        <v>9</v>
      </c>
      <c r="E4970" s="1">
        <v>13</v>
      </c>
      <c r="F4970" s="1">
        <v>0</v>
      </c>
      <c r="G4970" s="1">
        <v>0</v>
      </c>
      <c r="H4970" s="1"/>
      <c r="I4970" s="1">
        <v>0</v>
      </c>
      <c r="J4970" s="30" t="s">
        <v>9</v>
      </c>
      <c r="K4970" s="1">
        <v>0</v>
      </c>
      <c r="L4970" s="1">
        <v>0</v>
      </c>
      <c r="M4970" s="1">
        <v>0</v>
      </c>
      <c r="O4970" s="1"/>
      <c r="P4970" s="1">
        <v>0</v>
      </c>
      <c r="Q4970" s="1">
        <v>2.4</v>
      </c>
      <c r="R4970" s="1">
        <v>0</v>
      </c>
      <c r="S4970" s="1"/>
      <c r="T4970" s="1"/>
      <c r="U4970" s="1">
        <v>0</v>
      </c>
      <c r="X4970" s="1">
        <v>0</v>
      </c>
    </row>
    <row r="4971" spans="1:24" x14ac:dyDescent="0.25">
      <c r="A4971" s="22">
        <v>43322</v>
      </c>
      <c r="B4971" s="1">
        <v>5</v>
      </c>
      <c r="C4971" s="1">
        <v>0</v>
      </c>
      <c r="D4971" s="30" t="s">
        <v>9</v>
      </c>
      <c r="E4971" s="1">
        <v>0</v>
      </c>
      <c r="F4971" s="1">
        <v>0</v>
      </c>
      <c r="G4971" s="1">
        <v>0.6</v>
      </c>
      <c r="H4971" s="1"/>
      <c r="I4971" s="1">
        <v>1</v>
      </c>
      <c r="J4971" s="1">
        <v>1.2</v>
      </c>
      <c r="K4971" s="1">
        <v>0.1</v>
      </c>
      <c r="L4971" s="1">
        <v>2.2859999999999996</v>
      </c>
      <c r="M4971" s="1">
        <v>1.1000000000000001</v>
      </c>
      <c r="O4971" s="1"/>
      <c r="P4971" s="1">
        <v>1</v>
      </c>
      <c r="Q4971" s="1">
        <v>4.0999999999999996</v>
      </c>
      <c r="R4971" s="1">
        <v>2.4</v>
      </c>
      <c r="S4971" s="1"/>
      <c r="T4971" s="1"/>
      <c r="U4971" s="1">
        <v>5</v>
      </c>
      <c r="X4971" s="1">
        <v>0</v>
      </c>
    </row>
    <row r="4972" spans="1:24" x14ac:dyDescent="0.25">
      <c r="A4972" s="22">
        <v>43323</v>
      </c>
      <c r="B4972" s="1">
        <v>0</v>
      </c>
      <c r="C4972" s="1">
        <v>6.5</v>
      </c>
      <c r="D4972" s="1">
        <v>7.9</v>
      </c>
      <c r="E4972" s="1">
        <v>0</v>
      </c>
      <c r="F4972" s="1">
        <v>0</v>
      </c>
      <c r="G4972" s="1">
        <v>3.2</v>
      </c>
      <c r="H4972" s="1"/>
      <c r="I4972" s="1">
        <v>0</v>
      </c>
      <c r="J4972" s="1">
        <v>4.5</v>
      </c>
      <c r="K4972" s="1">
        <v>3.4</v>
      </c>
      <c r="L4972" s="1">
        <v>2.794</v>
      </c>
      <c r="M4972" s="1">
        <v>1.2</v>
      </c>
      <c r="O4972" s="1"/>
      <c r="P4972" s="1">
        <v>1.3</v>
      </c>
      <c r="Q4972" s="1">
        <v>0.4</v>
      </c>
      <c r="R4972" s="1">
        <v>2.9</v>
      </c>
      <c r="S4972" s="1"/>
      <c r="T4972" s="1"/>
      <c r="U4972" s="1">
        <v>1</v>
      </c>
      <c r="X4972" s="1">
        <v>0</v>
      </c>
    </row>
    <row r="4973" spans="1:24" x14ac:dyDescent="0.25">
      <c r="A4973" s="22">
        <v>43324</v>
      </c>
      <c r="B4973" s="1">
        <v>0</v>
      </c>
      <c r="C4973" s="1">
        <v>0</v>
      </c>
      <c r="D4973" s="30" t="s">
        <v>9</v>
      </c>
      <c r="E4973" s="1">
        <v>13</v>
      </c>
      <c r="F4973" s="1">
        <v>0</v>
      </c>
      <c r="G4973" s="1">
        <v>0</v>
      </c>
      <c r="H4973" s="1"/>
      <c r="I4973" s="1">
        <v>2</v>
      </c>
      <c r="J4973" s="1">
        <v>1.4</v>
      </c>
      <c r="K4973" s="1">
        <v>0</v>
      </c>
      <c r="L4973" s="1">
        <v>0</v>
      </c>
      <c r="M4973" s="1">
        <v>0</v>
      </c>
      <c r="O4973" s="1"/>
      <c r="P4973" s="1">
        <v>1.3</v>
      </c>
      <c r="Q4973" s="1">
        <v>0.5</v>
      </c>
      <c r="R4973" s="1">
        <v>0.4</v>
      </c>
      <c r="S4973" s="1"/>
      <c r="T4973" s="1"/>
      <c r="U4973" s="1">
        <v>1</v>
      </c>
      <c r="X4973" s="1">
        <v>0</v>
      </c>
    </row>
    <row r="4974" spans="1:24" x14ac:dyDescent="0.25">
      <c r="A4974" s="22">
        <v>43325</v>
      </c>
      <c r="B4974" s="1">
        <v>0</v>
      </c>
      <c r="C4974" s="1">
        <v>0</v>
      </c>
      <c r="D4974" s="1">
        <v>3.2</v>
      </c>
      <c r="E4974" s="1">
        <v>0</v>
      </c>
      <c r="F4974" s="1">
        <v>0</v>
      </c>
      <c r="G4974" s="1">
        <v>0</v>
      </c>
      <c r="H4974" s="1"/>
      <c r="I4974" s="1">
        <v>0.7</v>
      </c>
      <c r="J4974" s="1">
        <v>0.5</v>
      </c>
      <c r="K4974" s="1">
        <v>0</v>
      </c>
      <c r="L4974" s="1">
        <v>0</v>
      </c>
      <c r="M4974" s="1">
        <v>1.9</v>
      </c>
      <c r="O4974" s="1"/>
      <c r="P4974" s="1">
        <v>2.9</v>
      </c>
      <c r="Q4974" s="1">
        <v>1</v>
      </c>
      <c r="R4974" s="1">
        <v>0</v>
      </c>
      <c r="S4974" s="1"/>
      <c r="T4974" s="1"/>
      <c r="U4974" s="1">
        <v>1</v>
      </c>
      <c r="X4974" s="1">
        <v>0</v>
      </c>
    </row>
    <row r="4975" spans="1:24" x14ac:dyDescent="0.25">
      <c r="A4975" s="22">
        <v>43326</v>
      </c>
      <c r="B4975" s="1">
        <v>0</v>
      </c>
      <c r="C4975" s="1">
        <v>3.5</v>
      </c>
      <c r="D4975" s="1">
        <v>3.2</v>
      </c>
      <c r="E4975" s="1">
        <v>0</v>
      </c>
      <c r="F4975" s="1">
        <v>4.5</v>
      </c>
      <c r="G4975" s="1">
        <v>3.1</v>
      </c>
      <c r="H4975" s="1"/>
      <c r="I4975" s="1">
        <v>0</v>
      </c>
      <c r="J4975" s="1">
        <v>2.4</v>
      </c>
      <c r="K4975" s="1">
        <v>0</v>
      </c>
      <c r="L4975" s="1">
        <v>1.27</v>
      </c>
      <c r="M4975" s="1">
        <v>0</v>
      </c>
      <c r="O4975" s="1"/>
      <c r="P4975" s="1">
        <v>1</v>
      </c>
      <c r="Q4975" s="1">
        <v>0.9</v>
      </c>
      <c r="R4975" s="1">
        <v>1.2</v>
      </c>
      <c r="S4975" s="1"/>
      <c r="T4975" s="1"/>
      <c r="U4975" s="1">
        <v>3</v>
      </c>
      <c r="X4975" s="1">
        <v>1</v>
      </c>
    </row>
    <row r="4976" spans="1:24" x14ac:dyDescent="0.25">
      <c r="A4976" s="22">
        <v>43327</v>
      </c>
      <c r="B4976" s="1">
        <v>0</v>
      </c>
      <c r="C4976" s="1">
        <v>0.7</v>
      </c>
      <c r="D4976" s="30" t="s">
        <v>9</v>
      </c>
      <c r="E4976" s="1">
        <v>0</v>
      </c>
      <c r="F4976" s="1">
        <v>0</v>
      </c>
      <c r="G4976" s="1">
        <v>0.3</v>
      </c>
      <c r="H4976" s="1"/>
      <c r="I4976" s="1">
        <v>0</v>
      </c>
      <c r="J4976" s="30" t="s">
        <v>9</v>
      </c>
      <c r="K4976" s="1">
        <v>0</v>
      </c>
      <c r="L4976" s="1">
        <v>0</v>
      </c>
      <c r="M4976" s="1">
        <v>0</v>
      </c>
      <c r="O4976" s="1"/>
      <c r="P4976" s="1">
        <v>0</v>
      </c>
      <c r="Q4976" s="1">
        <v>0</v>
      </c>
      <c r="R4976" s="1">
        <v>0</v>
      </c>
      <c r="S4976" s="1"/>
      <c r="T4976" s="1"/>
      <c r="U4976" s="1">
        <v>0</v>
      </c>
      <c r="X4976" s="1">
        <v>0</v>
      </c>
    </row>
    <row r="4977" spans="1:24" x14ac:dyDescent="0.25">
      <c r="A4977" s="22">
        <v>43328</v>
      </c>
      <c r="B4977" s="1">
        <v>6</v>
      </c>
      <c r="C4977" s="1">
        <v>0</v>
      </c>
      <c r="D4977" s="1">
        <v>4</v>
      </c>
      <c r="E4977" s="1">
        <v>7</v>
      </c>
      <c r="F4977" s="1">
        <v>0</v>
      </c>
      <c r="G4977" s="1">
        <v>0</v>
      </c>
      <c r="H4977" s="1"/>
      <c r="I4977" s="1">
        <v>0</v>
      </c>
      <c r="J4977" s="1">
        <v>0.6</v>
      </c>
      <c r="K4977" s="1">
        <v>0</v>
      </c>
      <c r="L4977" s="1">
        <v>0.7619999999999999</v>
      </c>
      <c r="M4977" s="1">
        <v>0</v>
      </c>
      <c r="O4977" s="1"/>
      <c r="P4977" s="1">
        <v>1.1000000000000001</v>
      </c>
      <c r="Q4977" s="1">
        <v>7.9</v>
      </c>
      <c r="R4977" s="1">
        <v>0</v>
      </c>
      <c r="S4977" s="1"/>
      <c r="T4977" s="1"/>
      <c r="U4977" s="1">
        <v>0</v>
      </c>
      <c r="X4977" s="1">
        <v>0</v>
      </c>
    </row>
    <row r="4978" spans="1:24" x14ac:dyDescent="0.25">
      <c r="A4978" s="22">
        <v>43329</v>
      </c>
      <c r="B4978" s="1">
        <v>12.1</v>
      </c>
      <c r="C4978" s="1">
        <v>9.5</v>
      </c>
      <c r="D4978" s="1">
        <v>6.5</v>
      </c>
      <c r="E4978" s="1">
        <v>15</v>
      </c>
      <c r="F4978" s="1">
        <v>4</v>
      </c>
      <c r="G4978" s="1">
        <v>7.1</v>
      </c>
      <c r="H4978" s="1"/>
      <c r="I4978" s="1">
        <v>3.6</v>
      </c>
      <c r="J4978" s="1">
        <v>11.9</v>
      </c>
      <c r="K4978" s="1">
        <v>9.5</v>
      </c>
      <c r="L4978" s="1">
        <v>6.8579999999999997</v>
      </c>
      <c r="M4978" s="1">
        <v>5.8</v>
      </c>
      <c r="O4978" s="1"/>
      <c r="P4978" s="1">
        <v>3.1</v>
      </c>
      <c r="Q4978" s="1">
        <v>17.2</v>
      </c>
      <c r="R4978" s="1">
        <v>6.1</v>
      </c>
      <c r="S4978" s="1"/>
      <c r="T4978" s="1"/>
      <c r="U4978" s="1">
        <v>11</v>
      </c>
      <c r="X4978" s="1">
        <v>0.6</v>
      </c>
    </row>
    <row r="4979" spans="1:24" x14ac:dyDescent="0.25">
      <c r="A4979" s="22">
        <v>43330</v>
      </c>
      <c r="B4979" s="1">
        <v>0</v>
      </c>
      <c r="C4979" s="1">
        <v>9.9</v>
      </c>
      <c r="D4979" s="1">
        <v>4.2</v>
      </c>
      <c r="E4979" s="1">
        <v>0</v>
      </c>
      <c r="F4979" s="1">
        <v>19</v>
      </c>
      <c r="G4979" s="1">
        <v>5.5</v>
      </c>
      <c r="H4979" s="1"/>
      <c r="I4979" s="1">
        <v>4.8</v>
      </c>
      <c r="J4979" s="1">
        <v>10</v>
      </c>
      <c r="K4979" s="1">
        <v>0</v>
      </c>
      <c r="L4979" s="1">
        <v>27.94</v>
      </c>
      <c r="M4979" s="1">
        <v>12.5</v>
      </c>
      <c r="O4979" s="1"/>
      <c r="P4979" s="1">
        <v>17.399999999999999</v>
      </c>
      <c r="Q4979" s="1">
        <v>2.6</v>
      </c>
      <c r="R4979" s="1">
        <v>15.7</v>
      </c>
      <c r="S4979" s="1"/>
      <c r="T4979" s="1"/>
      <c r="U4979" s="1">
        <v>22</v>
      </c>
      <c r="X4979" s="1">
        <v>0</v>
      </c>
    </row>
    <row r="4980" spans="1:24" x14ac:dyDescent="0.25">
      <c r="A4980" s="22">
        <v>43331</v>
      </c>
      <c r="B4980" s="1">
        <v>0</v>
      </c>
      <c r="C4980" s="1">
        <v>15.3</v>
      </c>
      <c r="D4980" s="1">
        <v>0</v>
      </c>
      <c r="E4980" s="1">
        <v>0</v>
      </c>
      <c r="F4980" s="1">
        <v>4.5999999999999996</v>
      </c>
      <c r="G4980" s="1">
        <v>2.8</v>
      </c>
      <c r="H4980" s="1"/>
      <c r="I4980" s="1">
        <v>0</v>
      </c>
      <c r="J4980" s="1">
        <v>12.2</v>
      </c>
      <c r="K4980" s="1">
        <v>2.7</v>
      </c>
      <c r="L4980" s="1">
        <v>3.302</v>
      </c>
      <c r="M4980" s="1">
        <v>8.8000000000000007</v>
      </c>
      <c r="O4980" s="1"/>
      <c r="P4980" s="1">
        <v>2.2000000000000002</v>
      </c>
      <c r="Q4980" s="1">
        <v>9.3000000000000007</v>
      </c>
      <c r="R4980" s="1">
        <v>3.2</v>
      </c>
      <c r="S4980" s="1"/>
      <c r="T4980" s="1"/>
      <c r="U4980" s="1">
        <v>12</v>
      </c>
      <c r="X4980" s="1">
        <v>0</v>
      </c>
    </row>
    <row r="4981" spans="1:24" x14ac:dyDescent="0.25">
      <c r="A4981" s="22">
        <v>43332</v>
      </c>
      <c r="B4981" s="1">
        <v>0</v>
      </c>
      <c r="C4981" s="1">
        <v>23.3</v>
      </c>
      <c r="D4981" s="1">
        <v>56.6</v>
      </c>
      <c r="E4981" s="1">
        <v>20</v>
      </c>
      <c r="F4981" s="1">
        <v>24.6</v>
      </c>
      <c r="G4981" s="1">
        <v>7.5</v>
      </c>
      <c r="H4981" s="1"/>
      <c r="I4981" s="1">
        <v>0</v>
      </c>
      <c r="J4981" s="1">
        <v>0.5</v>
      </c>
      <c r="K4981" s="1">
        <v>0</v>
      </c>
      <c r="L4981" s="1">
        <v>43.18</v>
      </c>
      <c r="M4981" s="1">
        <v>3.3</v>
      </c>
      <c r="O4981" s="1"/>
      <c r="P4981" s="1">
        <v>7.1</v>
      </c>
      <c r="Q4981" s="1">
        <v>15.5</v>
      </c>
      <c r="R4981" s="1">
        <v>9.1999999999999993</v>
      </c>
      <c r="S4981" s="1"/>
      <c r="T4981" s="1"/>
      <c r="U4981" s="1">
        <v>28</v>
      </c>
      <c r="X4981" s="1">
        <v>1.1000000000000001</v>
      </c>
    </row>
    <row r="4982" spans="1:24" x14ac:dyDescent="0.25">
      <c r="A4982" s="22">
        <v>43333</v>
      </c>
      <c r="B4982" s="1">
        <v>56.2</v>
      </c>
      <c r="C4982" s="1">
        <v>11.2</v>
      </c>
      <c r="D4982" s="1">
        <v>6.6</v>
      </c>
      <c r="E4982" s="1">
        <v>36</v>
      </c>
      <c r="F4982" s="1">
        <v>6.1</v>
      </c>
      <c r="G4982" s="1">
        <v>1.1000000000000001</v>
      </c>
      <c r="H4982" s="1"/>
      <c r="I4982" s="1">
        <v>26.2</v>
      </c>
      <c r="J4982" s="1">
        <v>14.5</v>
      </c>
      <c r="K4982" s="1">
        <v>53.5</v>
      </c>
      <c r="L4982" s="1">
        <v>24.13</v>
      </c>
      <c r="M4982" s="1">
        <v>12.1</v>
      </c>
      <c r="O4982" s="1"/>
      <c r="P4982" s="1">
        <v>29.8</v>
      </c>
      <c r="Q4982" s="1">
        <v>13.8</v>
      </c>
      <c r="R4982" s="1">
        <v>14.2</v>
      </c>
      <c r="S4982" s="1"/>
      <c r="T4982" s="1"/>
      <c r="U4982" s="1">
        <v>14</v>
      </c>
      <c r="X4982" s="1">
        <v>0.7</v>
      </c>
    </row>
    <row r="4983" spans="1:24" x14ac:dyDescent="0.25">
      <c r="A4983" s="22">
        <v>43334</v>
      </c>
      <c r="B4983" s="1">
        <v>11.5</v>
      </c>
      <c r="C4983" s="1">
        <v>34.1</v>
      </c>
      <c r="D4983" s="1">
        <v>45.4</v>
      </c>
      <c r="E4983" s="1">
        <v>0</v>
      </c>
      <c r="F4983" s="1">
        <v>49.9</v>
      </c>
      <c r="G4983" s="1">
        <v>14.7</v>
      </c>
      <c r="H4983" s="1"/>
      <c r="I4983" s="1">
        <v>25.2</v>
      </c>
      <c r="J4983" s="1">
        <v>32.1</v>
      </c>
      <c r="K4983" s="1">
        <v>0</v>
      </c>
      <c r="L4983" s="1">
        <v>16.509999999999998</v>
      </c>
      <c r="M4983" s="1">
        <v>27.4</v>
      </c>
      <c r="O4983" s="1"/>
      <c r="P4983" s="1">
        <v>17.899999999999999</v>
      </c>
      <c r="Q4983" s="1">
        <v>4.5</v>
      </c>
      <c r="R4983" s="1">
        <v>15.6</v>
      </c>
      <c r="S4983" s="1"/>
      <c r="T4983" s="1"/>
      <c r="U4983" s="1">
        <v>50</v>
      </c>
      <c r="X4983" s="1">
        <v>1.2</v>
      </c>
    </row>
    <row r="4984" spans="1:24" x14ac:dyDescent="0.25">
      <c r="A4984" s="22">
        <v>43335</v>
      </c>
      <c r="B4984" s="1">
        <v>12</v>
      </c>
      <c r="C4984" s="1">
        <v>27.3</v>
      </c>
      <c r="D4984" s="1">
        <v>13.1</v>
      </c>
      <c r="E4984" s="1">
        <v>23</v>
      </c>
      <c r="F4984" s="1">
        <v>8.3000000000000007</v>
      </c>
      <c r="G4984" s="1">
        <v>9.4</v>
      </c>
      <c r="H4984" s="1"/>
      <c r="I4984" s="1">
        <v>2.1</v>
      </c>
      <c r="J4984" s="1">
        <v>33.1</v>
      </c>
      <c r="K4984" s="1">
        <v>0</v>
      </c>
      <c r="L4984" s="1">
        <v>7.1120000000000001</v>
      </c>
      <c r="M4984" s="1">
        <v>11.2</v>
      </c>
      <c r="O4984" s="1"/>
      <c r="P4984" s="1">
        <v>4.0999999999999996</v>
      </c>
      <c r="Q4984" s="1">
        <v>2.8</v>
      </c>
      <c r="R4984" s="1">
        <v>3.8</v>
      </c>
      <c r="S4984" s="1"/>
      <c r="T4984" s="1"/>
      <c r="U4984" s="1">
        <v>16</v>
      </c>
      <c r="X4984" s="1">
        <v>0</v>
      </c>
    </row>
    <row r="4985" spans="1:24" x14ac:dyDescent="0.25">
      <c r="A4985" s="22">
        <v>43336</v>
      </c>
      <c r="B4985" s="1">
        <v>0</v>
      </c>
      <c r="C4985" s="30" t="s">
        <v>9</v>
      </c>
      <c r="D4985" s="1">
        <v>12.8</v>
      </c>
      <c r="E4985" s="1">
        <v>0</v>
      </c>
      <c r="F4985" s="1">
        <v>0</v>
      </c>
      <c r="G4985" s="1">
        <v>0</v>
      </c>
      <c r="H4985" s="1"/>
      <c r="I4985" s="1">
        <v>12.3</v>
      </c>
      <c r="J4985" s="1">
        <v>23</v>
      </c>
      <c r="K4985" s="1">
        <v>0</v>
      </c>
      <c r="L4985" s="1">
        <v>1.016</v>
      </c>
      <c r="M4985" s="1">
        <v>0</v>
      </c>
      <c r="O4985" s="1"/>
      <c r="P4985" s="1">
        <v>1.2</v>
      </c>
      <c r="Q4985" s="1">
        <v>0</v>
      </c>
      <c r="R4985" s="1">
        <v>0</v>
      </c>
      <c r="S4985" s="1"/>
      <c r="T4985" s="1"/>
      <c r="U4985" s="1">
        <v>2</v>
      </c>
      <c r="X4985" s="1">
        <v>0</v>
      </c>
    </row>
    <row r="4986" spans="1:24" x14ac:dyDescent="0.25">
      <c r="A4986" s="22">
        <v>43337</v>
      </c>
      <c r="B4986" s="1">
        <v>0</v>
      </c>
      <c r="C4986" s="1">
        <v>0</v>
      </c>
      <c r="D4986" s="1">
        <v>0.8</v>
      </c>
      <c r="E4986" s="1">
        <v>0</v>
      </c>
      <c r="F4986" s="1">
        <v>0</v>
      </c>
      <c r="G4986" s="1">
        <v>3.6</v>
      </c>
      <c r="H4986" s="1"/>
      <c r="I4986" s="1">
        <v>0</v>
      </c>
      <c r="J4986" s="30" t="s">
        <v>9</v>
      </c>
      <c r="K4986" s="1">
        <v>0</v>
      </c>
      <c r="L4986" s="1">
        <v>0</v>
      </c>
      <c r="M4986" s="1">
        <v>0</v>
      </c>
      <c r="O4986" s="1"/>
      <c r="P4986" s="1">
        <v>0</v>
      </c>
      <c r="Q4986" s="1">
        <v>0</v>
      </c>
      <c r="R4986" s="1">
        <v>0</v>
      </c>
      <c r="S4986" s="1"/>
      <c r="T4986" s="1"/>
      <c r="U4986" s="1">
        <v>0</v>
      </c>
      <c r="X4986" s="1">
        <v>0</v>
      </c>
    </row>
    <row r="4987" spans="1:24" x14ac:dyDescent="0.25">
      <c r="A4987" s="22">
        <v>43338</v>
      </c>
      <c r="B4987" s="1">
        <v>0</v>
      </c>
      <c r="C4987" s="1">
        <v>0</v>
      </c>
      <c r="D4987" s="1">
        <v>1</v>
      </c>
      <c r="E4987" s="1">
        <v>0</v>
      </c>
      <c r="F4987" s="1">
        <v>0</v>
      </c>
      <c r="G4987" s="1">
        <v>0</v>
      </c>
      <c r="H4987" s="1"/>
      <c r="I4987" s="1">
        <v>6.1</v>
      </c>
      <c r="J4987" s="1">
        <v>7.7</v>
      </c>
      <c r="K4987" s="1">
        <v>6.1</v>
      </c>
      <c r="L4987" s="1">
        <v>2.794</v>
      </c>
      <c r="M4987" s="1">
        <v>0</v>
      </c>
      <c r="O4987" s="1"/>
      <c r="P4987" s="1">
        <v>0</v>
      </c>
      <c r="Q4987" s="1">
        <v>0</v>
      </c>
      <c r="R4987" s="1">
        <v>0</v>
      </c>
      <c r="S4987" s="1"/>
      <c r="T4987" s="1"/>
      <c r="U4987" s="1">
        <v>0</v>
      </c>
      <c r="X4987" s="1">
        <v>0</v>
      </c>
    </row>
    <row r="4988" spans="1:24" x14ac:dyDescent="0.25">
      <c r="A4988" s="22">
        <v>43339</v>
      </c>
      <c r="B4988" s="1">
        <v>0</v>
      </c>
      <c r="C4988" s="30" t="s">
        <v>9</v>
      </c>
      <c r="D4988" s="30" t="s">
        <v>9</v>
      </c>
      <c r="E4988" s="1">
        <v>0</v>
      </c>
      <c r="F4988" s="1">
        <v>0</v>
      </c>
      <c r="G4988" s="1">
        <v>0.6</v>
      </c>
      <c r="H4988" s="1"/>
      <c r="I4988" s="1">
        <v>0</v>
      </c>
      <c r="J4988" s="30" t="s">
        <v>9</v>
      </c>
      <c r="K4988" s="1">
        <v>0</v>
      </c>
      <c r="L4988" s="1">
        <v>2.2859999999999996</v>
      </c>
      <c r="M4988" s="1">
        <v>5.4</v>
      </c>
      <c r="O4988" s="1"/>
      <c r="P4988" s="1">
        <v>0</v>
      </c>
      <c r="Q4988" s="1">
        <v>12.2</v>
      </c>
      <c r="R4988" s="1">
        <v>0</v>
      </c>
      <c r="S4988" s="1"/>
      <c r="T4988" s="1"/>
      <c r="U4988" s="1">
        <v>0</v>
      </c>
      <c r="X4988" s="1">
        <v>0</v>
      </c>
    </row>
    <row r="4989" spans="1:24" x14ac:dyDescent="0.25">
      <c r="A4989" s="22">
        <v>43340</v>
      </c>
      <c r="B4989" s="1">
        <v>16</v>
      </c>
      <c r="C4989" s="1">
        <v>14.1</v>
      </c>
      <c r="D4989" s="1">
        <v>21.8</v>
      </c>
      <c r="E4989" s="1">
        <v>7</v>
      </c>
      <c r="F4989" s="1">
        <v>0</v>
      </c>
      <c r="G4989" s="1">
        <v>4.0999999999999996</v>
      </c>
      <c r="H4989" s="1"/>
      <c r="I4989" s="1">
        <v>2.6</v>
      </c>
      <c r="J4989" s="1">
        <v>5</v>
      </c>
      <c r="K4989" s="1">
        <v>0</v>
      </c>
      <c r="L4989" s="1">
        <v>15.493999999999998</v>
      </c>
      <c r="M4989" s="1">
        <v>1.3</v>
      </c>
      <c r="O4989" s="1"/>
      <c r="P4989" s="1">
        <v>5.7</v>
      </c>
      <c r="Q4989" s="1">
        <v>22.8</v>
      </c>
      <c r="R4989" s="1">
        <v>6.5</v>
      </c>
      <c r="S4989" s="1"/>
      <c r="T4989" s="1"/>
      <c r="U4989" s="1">
        <v>14</v>
      </c>
      <c r="X4989" s="1">
        <v>1.3</v>
      </c>
    </row>
    <row r="4990" spans="1:24" x14ac:dyDescent="0.25">
      <c r="A4990" s="22">
        <v>43341</v>
      </c>
      <c r="B4990" s="1">
        <v>0</v>
      </c>
      <c r="C4990" s="1">
        <v>30.2</v>
      </c>
      <c r="D4990" s="1">
        <v>38.700000000000003</v>
      </c>
      <c r="E4990" s="1">
        <v>27</v>
      </c>
      <c r="F4990" s="1">
        <v>0</v>
      </c>
      <c r="G4990" s="1">
        <v>2.8</v>
      </c>
      <c r="H4990" s="1"/>
      <c r="I4990" s="1">
        <v>4.5999999999999996</v>
      </c>
      <c r="J4990" s="1">
        <v>10.6</v>
      </c>
      <c r="K4990" s="1">
        <v>24.5</v>
      </c>
      <c r="L4990" s="1">
        <v>0</v>
      </c>
      <c r="M4990" s="1">
        <v>12</v>
      </c>
      <c r="O4990" s="1"/>
      <c r="P4990" s="1">
        <v>10.9</v>
      </c>
      <c r="Q4990" s="1">
        <v>0</v>
      </c>
      <c r="R4990" s="1">
        <v>20.2</v>
      </c>
      <c r="S4990" s="1"/>
      <c r="T4990" s="1"/>
      <c r="U4990" s="1">
        <v>41</v>
      </c>
      <c r="X4990" s="1">
        <v>0</v>
      </c>
    </row>
    <row r="4991" spans="1:24" x14ac:dyDescent="0.25">
      <c r="A4991" s="22">
        <v>43342</v>
      </c>
      <c r="B4991" s="1">
        <v>0</v>
      </c>
      <c r="C4991" s="1">
        <v>0</v>
      </c>
      <c r="D4991" s="1">
        <v>3.1</v>
      </c>
      <c r="E4991" s="5">
        <v>0</v>
      </c>
      <c r="F4991" s="1">
        <v>5.5</v>
      </c>
      <c r="G4991" s="1">
        <v>0</v>
      </c>
      <c r="H4991" s="1"/>
      <c r="I4991" s="1">
        <v>0</v>
      </c>
      <c r="J4991" s="1">
        <v>0.7</v>
      </c>
      <c r="K4991" s="1">
        <v>0</v>
      </c>
      <c r="L4991" s="1">
        <v>0</v>
      </c>
      <c r="M4991" s="1">
        <v>0</v>
      </c>
      <c r="O4991" s="1"/>
      <c r="P4991" s="1">
        <v>0</v>
      </c>
      <c r="Q4991" s="1">
        <v>4.3</v>
      </c>
      <c r="R4991" s="1">
        <v>11.1</v>
      </c>
      <c r="S4991" s="1"/>
      <c r="T4991" s="1"/>
      <c r="U4991" s="1">
        <v>3</v>
      </c>
      <c r="X4991" s="1">
        <v>0.2</v>
      </c>
    </row>
    <row r="4992" spans="1:24" x14ac:dyDescent="0.25">
      <c r="A4992" s="22">
        <v>43343</v>
      </c>
      <c r="B4992" s="1">
        <v>48</v>
      </c>
      <c r="C4992" s="1">
        <v>12</v>
      </c>
      <c r="D4992" s="1">
        <v>15.1</v>
      </c>
      <c r="E4992" s="5">
        <v>27</v>
      </c>
      <c r="F4992" s="1">
        <v>13.4</v>
      </c>
      <c r="G4992" s="1">
        <v>4.5</v>
      </c>
      <c r="H4992" s="1"/>
      <c r="I4992" s="1">
        <v>12.5</v>
      </c>
      <c r="J4992" s="1">
        <v>13</v>
      </c>
      <c r="K4992" s="1">
        <v>0</v>
      </c>
      <c r="L4992" s="1">
        <v>10.667999999999999</v>
      </c>
      <c r="M4992" s="1">
        <v>13.2</v>
      </c>
      <c r="O4992" s="1"/>
      <c r="P4992" s="1">
        <v>8.5</v>
      </c>
      <c r="Q4992" s="1">
        <v>0.4</v>
      </c>
      <c r="R4992" s="1"/>
      <c r="S4992" s="1"/>
      <c r="T4992" s="1"/>
      <c r="U4992" s="1">
        <v>15</v>
      </c>
      <c r="X4992" s="1">
        <v>0</v>
      </c>
    </row>
    <row r="4993" spans="1:24" x14ac:dyDescent="0.25">
      <c r="A4993" s="22">
        <v>43344</v>
      </c>
      <c r="B4993" s="1">
        <v>0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30" t="s">
        <v>9</v>
      </c>
      <c r="K4993" s="1">
        <v>0</v>
      </c>
      <c r="L4993" s="1">
        <v>0</v>
      </c>
      <c r="M4993" s="1">
        <v>0</v>
      </c>
      <c r="O4993" s="1"/>
      <c r="P4993" s="1">
        <v>0</v>
      </c>
      <c r="Q4993" s="1">
        <v>0</v>
      </c>
      <c r="R4993" s="1">
        <v>0</v>
      </c>
      <c r="S4993" s="1"/>
      <c r="T4993" s="1"/>
      <c r="U4993" s="1">
        <v>0</v>
      </c>
      <c r="X4993" s="1">
        <v>0</v>
      </c>
    </row>
    <row r="4994" spans="1:24" x14ac:dyDescent="0.25">
      <c r="A4994" s="22">
        <v>43345</v>
      </c>
      <c r="B4994" s="1">
        <v>0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6.2</v>
      </c>
      <c r="K4994" s="1">
        <v>0</v>
      </c>
      <c r="L4994" s="1">
        <v>0</v>
      </c>
      <c r="M4994" s="1">
        <v>0</v>
      </c>
      <c r="O4994" s="1"/>
      <c r="P4994" s="1">
        <v>0</v>
      </c>
      <c r="Q4994" s="1">
        <v>0</v>
      </c>
      <c r="R4994" s="1">
        <v>0</v>
      </c>
      <c r="S4994" s="1"/>
      <c r="T4994" s="1"/>
      <c r="U4994" s="1">
        <v>0</v>
      </c>
      <c r="X4994" s="1">
        <v>0</v>
      </c>
    </row>
    <row r="4995" spans="1:24" x14ac:dyDescent="0.25">
      <c r="A4995" s="22">
        <v>43346</v>
      </c>
      <c r="B4995" s="1">
        <v>0</v>
      </c>
      <c r="C4995" s="1">
        <v>0</v>
      </c>
      <c r="D4995" s="1">
        <v>0</v>
      </c>
      <c r="E4995" s="1">
        <v>7</v>
      </c>
      <c r="F4995" s="1">
        <v>0</v>
      </c>
      <c r="G4995" s="1">
        <v>0</v>
      </c>
      <c r="H4995" s="1">
        <v>0</v>
      </c>
      <c r="I4995" s="1">
        <v>0</v>
      </c>
      <c r="J4995" s="30" t="s">
        <v>9</v>
      </c>
      <c r="K4995" s="1">
        <v>1.2</v>
      </c>
      <c r="L4995" s="1">
        <v>0</v>
      </c>
      <c r="M4995" s="1">
        <v>0</v>
      </c>
      <c r="O4995" s="1"/>
      <c r="P4995" s="1">
        <v>0</v>
      </c>
      <c r="Q4995" s="1">
        <v>3.3</v>
      </c>
      <c r="R4995" s="1">
        <v>3.1</v>
      </c>
      <c r="S4995" s="1"/>
      <c r="T4995" s="1"/>
      <c r="U4995" s="1">
        <v>0</v>
      </c>
      <c r="X4995" s="1">
        <v>0</v>
      </c>
    </row>
    <row r="4996" spans="1:24" x14ac:dyDescent="0.25">
      <c r="A4996" s="22">
        <v>43347</v>
      </c>
      <c r="B4996" s="1">
        <v>0</v>
      </c>
      <c r="C4996" s="1">
        <v>13.1</v>
      </c>
      <c r="D4996" s="1">
        <v>16.3</v>
      </c>
      <c r="E4996" s="1">
        <v>0</v>
      </c>
      <c r="F4996" s="1">
        <v>8.6</v>
      </c>
      <c r="G4996" s="1">
        <v>5</v>
      </c>
      <c r="H4996" s="1">
        <v>0</v>
      </c>
      <c r="I4996" s="1">
        <v>6.1</v>
      </c>
      <c r="J4996" s="1">
        <v>11</v>
      </c>
      <c r="K4996" s="1">
        <v>8.8000000000000007</v>
      </c>
      <c r="L4996" s="1">
        <v>2.2859999999999996</v>
      </c>
      <c r="M4996" s="1">
        <v>17.3</v>
      </c>
      <c r="O4996" s="1"/>
      <c r="P4996" s="1">
        <v>2.1</v>
      </c>
      <c r="Q4996" s="1">
        <v>5.2</v>
      </c>
      <c r="R4996" s="1">
        <v>4.5</v>
      </c>
      <c r="S4996" s="1"/>
      <c r="T4996" s="1"/>
      <c r="U4996" s="1">
        <v>15</v>
      </c>
      <c r="X4996" s="1">
        <v>0</v>
      </c>
    </row>
    <row r="4997" spans="1:24" x14ac:dyDescent="0.25">
      <c r="A4997" s="22">
        <v>43348</v>
      </c>
      <c r="B4997" s="1">
        <v>0</v>
      </c>
      <c r="C4997" s="1">
        <v>1.5</v>
      </c>
      <c r="D4997" s="1">
        <v>0.7</v>
      </c>
      <c r="E4997" s="1">
        <v>11</v>
      </c>
      <c r="F4997" s="1">
        <v>0</v>
      </c>
      <c r="G4997" s="1">
        <v>0</v>
      </c>
      <c r="H4997" s="1">
        <v>15</v>
      </c>
      <c r="I4997" s="1">
        <v>0</v>
      </c>
      <c r="J4997" s="1">
        <v>2</v>
      </c>
      <c r="K4997" s="1">
        <v>4.3</v>
      </c>
      <c r="L4997" s="1">
        <v>0</v>
      </c>
      <c r="M4997" s="1">
        <v>0</v>
      </c>
      <c r="O4997" s="1"/>
      <c r="P4997" s="1">
        <v>0</v>
      </c>
      <c r="Q4997" s="1">
        <v>1.1000000000000001</v>
      </c>
      <c r="R4997" s="1">
        <v>0</v>
      </c>
      <c r="S4997" s="1"/>
      <c r="T4997" s="1"/>
      <c r="U4997" s="1">
        <v>3</v>
      </c>
      <c r="X4997" s="1">
        <v>0</v>
      </c>
    </row>
    <row r="4998" spans="1:24" x14ac:dyDescent="0.25">
      <c r="A4998" s="22">
        <v>43349</v>
      </c>
      <c r="B4998" s="1">
        <v>19.100000000000001</v>
      </c>
      <c r="C4998" s="1">
        <v>3.5</v>
      </c>
      <c r="D4998" s="1">
        <v>2.2000000000000002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30" t="s">
        <v>9</v>
      </c>
      <c r="K4998" s="1">
        <v>2.6</v>
      </c>
      <c r="L4998" s="1">
        <v>5.3339999999999996</v>
      </c>
      <c r="M4998" s="1">
        <v>0</v>
      </c>
      <c r="O4998" s="1"/>
      <c r="P4998" s="1">
        <v>3.3</v>
      </c>
      <c r="Q4998" s="1">
        <v>1.5</v>
      </c>
      <c r="R4998" s="1">
        <v>0.5</v>
      </c>
      <c r="S4998" s="1"/>
      <c r="T4998" s="1"/>
      <c r="U4998" s="1">
        <v>3</v>
      </c>
      <c r="X4998" s="1">
        <v>0</v>
      </c>
    </row>
    <row r="4999" spans="1:24" x14ac:dyDescent="0.25">
      <c r="A4999" s="22">
        <v>43350</v>
      </c>
      <c r="B4999" s="1">
        <v>0</v>
      </c>
      <c r="C4999" s="1">
        <v>4</v>
      </c>
      <c r="D4999" s="1">
        <v>2.1</v>
      </c>
      <c r="E4999" s="1">
        <v>8</v>
      </c>
      <c r="F4999" s="1">
        <v>0</v>
      </c>
      <c r="G4999" s="1">
        <v>4.4000000000000004</v>
      </c>
      <c r="H4999" s="1">
        <v>3</v>
      </c>
      <c r="I4999" s="1">
        <v>0</v>
      </c>
      <c r="J4999" s="1">
        <v>7</v>
      </c>
      <c r="K4999" s="1">
        <v>10.8</v>
      </c>
      <c r="L4999" s="1">
        <v>2.2859999999999996</v>
      </c>
      <c r="M4999" s="1">
        <v>6.5</v>
      </c>
      <c r="O4999" s="1"/>
      <c r="P4999" s="1">
        <v>4</v>
      </c>
      <c r="Q4999" s="1">
        <v>14.8</v>
      </c>
      <c r="R4999" s="1">
        <v>0.8</v>
      </c>
      <c r="S4999" s="1"/>
      <c r="T4999" s="1"/>
      <c r="U4999" s="1">
        <v>3</v>
      </c>
      <c r="X4999" s="1">
        <v>0</v>
      </c>
    </row>
    <row r="5000" spans="1:24" x14ac:dyDescent="0.25">
      <c r="A5000" s="22">
        <v>43351</v>
      </c>
      <c r="B5000" s="1">
        <v>0</v>
      </c>
      <c r="C5000" s="1">
        <v>15.8</v>
      </c>
      <c r="D5000" s="1">
        <v>4.0999999999999996</v>
      </c>
      <c r="E5000" s="1">
        <v>0</v>
      </c>
      <c r="F5000" s="1">
        <v>112.6</v>
      </c>
      <c r="G5000" s="1">
        <v>9.8000000000000007</v>
      </c>
      <c r="H5000" s="1">
        <v>12.4</v>
      </c>
      <c r="I5000" s="1">
        <v>0</v>
      </c>
      <c r="J5000" s="1">
        <v>20.3</v>
      </c>
      <c r="K5000" s="1">
        <v>79.8</v>
      </c>
      <c r="L5000" s="1">
        <v>7.3659999999999988</v>
      </c>
      <c r="M5000" s="1">
        <v>16.7</v>
      </c>
      <c r="O5000" s="1"/>
      <c r="P5000" s="1">
        <v>3.5</v>
      </c>
      <c r="Q5000" s="1">
        <v>6.3</v>
      </c>
      <c r="R5000" s="1">
        <v>0</v>
      </c>
      <c r="S5000" s="1"/>
      <c r="T5000" s="1"/>
      <c r="U5000" s="1">
        <v>12</v>
      </c>
      <c r="X5000" s="1">
        <v>0.6</v>
      </c>
    </row>
    <row r="5001" spans="1:24" x14ac:dyDescent="0.25">
      <c r="A5001" s="22">
        <v>43352</v>
      </c>
      <c r="B5001" s="1">
        <v>28.2</v>
      </c>
      <c r="C5001" s="1">
        <v>0</v>
      </c>
      <c r="D5001" s="1">
        <v>88.3</v>
      </c>
      <c r="E5001" s="1">
        <v>0</v>
      </c>
      <c r="F5001" s="1">
        <v>0</v>
      </c>
      <c r="G5001" s="1">
        <v>4</v>
      </c>
      <c r="H5001" s="1">
        <v>0</v>
      </c>
      <c r="I5001" s="1">
        <v>41</v>
      </c>
      <c r="J5001" s="1">
        <v>45.8</v>
      </c>
      <c r="K5001" s="1">
        <v>1.4</v>
      </c>
      <c r="L5001" s="1">
        <v>0</v>
      </c>
      <c r="M5001" s="1">
        <v>6.7</v>
      </c>
      <c r="O5001" s="1"/>
      <c r="P5001" s="1">
        <v>0</v>
      </c>
      <c r="Q5001" s="1">
        <v>0</v>
      </c>
      <c r="R5001" s="1">
        <v>0</v>
      </c>
      <c r="S5001" s="1"/>
      <c r="T5001" s="1"/>
      <c r="U5001" s="1">
        <v>35</v>
      </c>
      <c r="X5001" s="1">
        <v>0</v>
      </c>
    </row>
    <row r="5002" spans="1:24" x14ac:dyDescent="0.25">
      <c r="A5002" s="22">
        <v>43353</v>
      </c>
      <c r="B5002" s="1">
        <v>0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1">
        <v>18.8</v>
      </c>
      <c r="I5002" s="1">
        <v>2.6</v>
      </c>
      <c r="J5002" s="30" t="s">
        <v>9</v>
      </c>
      <c r="K5002" s="1">
        <v>0.9</v>
      </c>
      <c r="L5002" s="1">
        <v>17.272000000000002</v>
      </c>
      <c r="M5002" s="1">
        <v>1.4</v>
      </c>
      <c r="O5002" s="1"/>
      <c r="P5002" s="1">
        <v>5.5</v>
      </c>
      <c r="Q5002" s="1">
        <v>4.2</v>
      </c>
      <c r="R5002" s="1">
        <v>5.8</v>
      </c>
      <c r="S5002" s="1"/>
      <c r="T5002" s="1"/>
      <c r="U5002" s="1">
        <v>16</v>
      </c>
      <c r="X5002" s="1">
        <v>0</v>
      </c>
    </row>
    <row r="5003" spans="1:24" x14ac:dyDescent="0.25">
      <c r="A5003" s="22">
        <v>43354</v>
      </c>
      <c r="B5003" s="1">
        <v>2.2999999999999998</v>
      </c>
      <c r="C5003" s="1">
        <v>6.5</v>
      </c>
      <c r="D5003" s="1">
        <v>0</v>
      </c>
      <c r="E5003" s="1">
        <v>14</v>
      </c>
      <c r="F5003" s="1">
        <v>0</v>
      </c>
      <c r="G5003" s="1">
        <v>1.9</v>
      </c>
      <c r="H5003" s="1">
        <v>0</v>
      </c>
      <c r="I5003" s="1">
        <v>0.6</v>
      </c>
      <c r="J5003" s="1">
        <v>2.5</v>
      </c>
      <c r="K5003" s="1">
        <v>0</v>
      </c>
      <c r="L5003" s="1">
        <v>0</v>
      </c>
      <c r="M5003" s="1">
        <v>0.4</v>
      </c>
      <c r="O5003" s="1"/>
      <c r="P5003" s="1">
        <v>0</v>
      </c>
      <c r="Q5003" s="1">
        <v>0</v>
      </c>
      <c r="R5003" s="1">
        <v>0.5</v>
      </c>
      <c r="S5003" s="1"/>
      <c r="T5003" s="1"/>
      <c r="U5003" s="1">
        <v>3</v>
      </c>
      <c r="X5003" s="1">
        <v>1.9</v>
      </c>
    </row>
    <row r="5004" spans="1:24" x14ac:dyDescent="0.25">
      <c r="A5004" s="22">
        <v>43355</v>
      </c>
      <c r="B5004" s="1">
        <v>0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30" t="s">
        <v>9</v>
      </c>
      <c r="K5004" s="1">
        <v>0</v>
      </c>
      <c r="L5004" s="1">
        <v>0</v>
      </c>
      <c r="M5004" s="1">
        <v>0</v>
      </c>
      <c r="O5004" s="1"/>
      <c r="P5004" s="1">
        <v>0</v>
      </c>
      <c r="Q5004" s="1">
        <v>1.1000000000000001</v>
      </c>
      <c r="R5004" s="1">
        <v>0</v>
      </c>
      <c r="S5004" s="1"/>
      <c r="T5004" s="1"/>
      <c r="U5004" s="1">
        <v>0</v>
      </c>
      <c r="X5004" s="1">
        <v>0</v>
      </c>
    </row>
    <row r="5005" spans="1:24" x14ac:dyDescent="0.25">
      <c r="A5005" s="22">
        <v>43356</v>
      </c>
      <c r="B5005" s="1">
        <v>0</v>
      </c>
      <c r="C5005" s="1">
        <v>25.2</v>
      </c>
      <c r="D5005" s="1">
        <v>2</v>
      </c>
      <c r="E5005" s="1">
        <v>0</v>
      </c>
      <c r="F5005" s="1">
        <v>0</v>
      </c>
      <c r="G5005" s="1">
        <v>2.2000000000000002</v>
      </c>
      <c r="H5005" s="1">
        <v>0</v>
      </c>
      <c r="I5005" s="1">
        <v>4.2</v>
      </c>
      <c r="J5005" s="30" t="s">
        <v>9</v>
      </c>
      <c r="K5005" s="1">
        <v>0</v>
      </c>
      <c r="L5005" s="1">
        <v>0</v>
      </c>
      <c r="M5005" s="1">
        <v>0.2</v>
      </c>
      <c r="O5005" s="1"/>
      <c r="P5005" s="1">
        <v>0.9</v>
      </c>
      <c r="Q5005" s="1">
        <v>11.8</v>
      </c>
      <c r="R5005" s="1">
        <v>4.0999999999999996</v>
      </c>
      <c r="S5005" s="1"/>
      <c r="T5005" s="1"/>
      <c r="U5005" s="1">
        <v>0</v>
      </c>
      <c r="X5005" s="1">
        <v>0.9</v>
      </c>
    </row>
    <row r="5006" spans="1:24" x14ac:dyDescent="0.25">
      <c r="A5006" s="22">
        <v>43357</v>
      </c>
      <c r="B5006" s="1">
        <v>0</v>
      </c>
      <c r="C5006" s="1">
        <v>6</v>
      </c>
      <c r="D5006" s="1">
        <v>21.5</v>
      </c>
      <c r="E5006" s="1">
        <v>0</v>
      </c>
      <c r="F5006" s="1">
        <v>23.1</v>
      </c>
      <c r="G5006" s="1">
        <v>2.6</v>
      </c>
      <c r="H5006" s="1">
        <v>0</v>
      </c>
      <c r="I5006" s="1">
        <v>1.2</v>
      </c>
      <c r="J5006" s="1">
        <v>5</v>
      </c>
      <c r="K5006" s="1">
        <v>0</v>
      </c>
      <c r="L5006" s="1">
        <v>21.335999999999999</v>
      </c>
      <c r="M5006" s="1">
        <v>1.3</v>
      </c>
      <c r="O5006" s="1"/>
      <c r="P5006" s="1">
        <v>9.8000000000000007</v>
      </c>
      <c r="Q5006" s="1">
        <v>2.8</v>
      </c>
      <c r="R5006" s="1">
        <v>13.5</v>
      </c>
      <c r="S5006" s="1"/>
      <c r="T5006" s="1"/>
      <c r="U5006" s="1">
        <v>5</v>
      </c>
      <c r="X5006" s="1">
        <v>0.3</v>
      </c>
    </row>
    <row r="5007" spans="1:24" x14ac:dyDescent="0.25">
      <c r="A5007" s="22">
        <v>43358</v>
      </c>
      <c r="B5007" s="1">
        <v>0</v>
      </c>
      <c r="C5007" s="1">
        <v>12.6</v>
      </c>
      <c r="D5007" s="1">
        <v>15.6</v>
      </c>
      <c r="E5007" s="1">
        <v>0</v>
      </c>
      <c r="F5007" s="1">
        <v>0</v>
      </c>
      <c r="G5007" s="1">
        <v>8.5</v>
      </c>
      <c r="H5007" s="1">
        <v>4.5</v>
      </c>
      <c r="I5007" s="1">
        <v>10.4</v>
      </c>
      <c r="J5007" s="1">
        <v>10.9</v>
      </c>
      <c r="K5007" s="1">
        <v>24.6</v>
      </c>
      <c r="L5007" s="1">
        <v>2.2859999999999996</v>
      </c>
      <c r="M5007" s="1">
        <v>6.7</v>
      </c>
      <c r="O5007" s="1"/>
      <c r="P5007" s="1">
        <v>0</v>
      </c>
      <c r="Q5007" s="1">
        <v>1.6</v>
      </c>
      <c r="R5007" s="1">
        <v>1.5</v>
      </c>
      <c r="S5007" s="1"/>
      <c r="T5007" s="1"/>
      <c r="U5007" s="1">
        <v>8</v>
      </c>
      <c r="X5007" s="1">
        <v>0</v>
      </c>
    </row>
    <row r="5008" spans="1:24" x14ac:dyDescent="0.25">
      <c r="A5008" s="22">
        <v>43359</v>
      </c>
      <c r="B5008" s="1">
        <v>0</v>
      </c>
      <c r="C5008" s="1">
        <v>0</v>
      </c>
      <c r="D5008" s="1">
        <v>6.1</v>
      </c>
      <c r="E5008" s="1">
        <v>27</v>
      </c>
      <c r="F5008" s="1">
        <v>0</v>
      </c>
      <c r="G5008" s="1">
        <v>13.5</v>
      </c>
      <c r="H5008" s="1">
        <v>5.5</v>
      </c>
      <c r="I5008" s="1">
        <v>7.6</v>
      </c>
      <c r="J5008" s="1">
        <v>10.8</v>
      </c>
      <c r="K5008" s="1">
        <v>0</v>
      </c>
      <c r="L5008" s="1">
        <v>0</v>
      </c>
      <c r="M5008" s="1">
        <v>0</v>
      </c>
      <c r="O5008" s="1"/>
      <c r="P5008" s="1">
        <v>2.7</v>
      </c>
      <c r="Q5008" s="1">
        <v>0</v>
      </c>
      <c r="R5008" s="1">
        <v>1.2</v>
      </c>
      <c r="S5008" s="1"/>
      <c r="T5008" s="1"/>
      <c r="U5008" s="1">
        <v>7</v>
      </c>
      <c r="X5008" s="1">
        <v>0.1</v>
      </c>
    </row>
    <row r="5009" spans="1:24" x14ac:dyDescent="0.25">
      <c r="A5009" s="22">
        <v>43360</v>
      </c>
      <c r="B5009" s="1">
        <v>0</v>
      </c>
      <c r="C5009" s="1">
        <v>0</v>
      </c>
      <c r="D5009" s="1">
        <v>0</v>
      </c>
      <c r="E5009" s="1">
        <v>0</v>
      </c>
      <c r="F5009" s="1">
        <v>0</v>
      </c>
      <c r="G5009" s="1">
        <v>13.4</v>
      </c>
      <c r="H5009" s="1">
        <v>0</v>
      </c>
      <c r="I5009" s="1">
        <v>8.8000000000000007</v>
      </c>
      <c r="J5009" s="30" t="s">
        <v>9</v>
      </c>
      <c r="K5009" s="1">
        <v>0</v>
      </c>
      <c r="L5009" s="1">
        <v>0</v>
      </c>
      <c r="M5009" s="1">
        <v>0</v>
      </c>
      <c r="O5009" s="1"/>
      <c r="P5009" s="1">
        <v>0</v>
      </c>
      <c r="Q5009" s="1">
        <v>0.9</v>
      </c>
      <c r="R5009" s="1">
        <v>0.9</v>
      </c>
      <c r="S5009" s="1"/>
      <c r="T5009" s="1"/>
      <c r="U5009" s="1">
        <v>0</v>
      </c>
      <c r="X5009" s="1">
        <v>0.3</v>
      </c>
    </row>
    <row r="5010" spans="1:24" x14ac:dyDescent="0.25">
      <c r="A5010" s="22">
        <v>43361</v>
      </c>
      <c r="B5010" s="1">
        <v>96.6</v>
      </c>
      <c r="C5010" s="1">
        <v>13</v>
      </c>
      <c r="D5010" s="1">
        <v>11</v>
      </c>
      <c r="E5010" s="1">
        <v>0</v>
      </c>
      <c r="F5010" s="1">
        <v>1.8</v>
      </c>
      <c r="G5010" s="1">
        <v>10.3</v>
      </c>
      <c r="H5010" s="1">
        <v>5.9</v>
      </c>
      <c r="I5010" s="1">
        <v>19</v>
      </c>
      <c r="J5010" s="1">
        <v>9.5</v>
      </c>
      <c r="K5010" s="1">
        <v>17.5</v>
      </c>
      <c r="L5010" s="1">
        <v>3.8099999999999996</v>
      </c>
      <c r="M5010" s="1">
        <v>24.8</v>
      </c>
      <c r="O5010" s="1"/>
      <c r="P5010" s="1">
        <v>5.3</v>
      </c>
      <c r="Q5010" s="1">
        <v>40.299999999999997</v>
      </c>
      <c r="R5010" s="1">
        <v>0</v>
      </c>
      <c r="S5010" s="1"/>
      <c r="T5010" s="1"/>
      <c r="U5010" s="1">
        <v>11</v>
      </c>
      <c r="X5010" s="1">
        <v>1.1000000000000001</v>
      </c>
    </row>
    <row r="5011" spans="1:24" x14ac:dyDescent="0.25">
      <c r="A5011" s="22">
        <v>43362</v>
      </c>
      <c r="B5011" s="1">
        <v>0</v>
      </c>
      <c r="C5011" s="1">
        <v>28</v>
      </c>
      <c r="D5011" s="1">
        <v>23.7</v>
      </c>
      <c r="E5011" s="1">
        <v>0</v>
      </c>
      <c r="F5011" s="1">
        <v>9.8000000000000007</v>
      </c>
      <c r="G5011" s="1">
        <v>6.3</v>
      </c>
      <c r="H5011" s="1">
        <v>11.2</v>
      </c>
      <c r="I5011" s="1">
        <v>7.3</v>
      </c>
      <c r="J5011" s="1">
        <v>8.6</v>
      </c>
      <c r="K5011" s="1">
        <v>11.2</v>
      </c>
      <c r="L5011" s="1">
        <v>31.75</v>
      </c>
      <c r="M5011" s="1">
        <v>8.1</v>
      </c>
      <c r="O5011" s="1"/>
      <c r="P5011" s="1">
        <v>32.1</v>
      </c>
      <c r="Q5011" s="1">
        <v>17.100000000000001</v>
      </c>
      <c r="R5011" s="1">
        <v>42.3</v>
      </c>
      <c r="S5011" s="1"/>
      <c r="T5011" s="1"/>
      <c r="U5011" s="1">
        <v>24</v>
      </c>
      <c r="X5011" s="1">
        <v>0.3</v>
      </c>
    </row>
    <row r="5012" spans="1:24" x14ac:dyDescent="0.25">
      <c r="A5012" s="22">
        <v>43363</v>
      </c>
      <c r="B5012" s="1">
        <v>9.3000000000000007</v>
      </c>
      <c r="C5012" s="1">
        <v>9.5</v>
      </c>
      <c r="D5012" s="1">
        <v>13.1</v>
      </c>
      <c r="E5012" s="1">
        <v>0</v>
      </c>
      <c r="F5012" s="1">
        <v>0</v>
      </c>
      <c r="G5012" s="1">
        <v>10.5</v>
      </c>
      <c r="H5012" s="1">
        <v>8.9</v>
      </c>
      <c r="I5012" s="1">
        <v>3.5</v>
      </c>
      <c r="J5012" s="1">
        <v>16.7</v>
      </c>
      <c r="K5012" s="1">
        <v>0</v>
      </c>
      <c r="L5012" s="1">
        <v>16.001999999999999</v>
      </c>
      <c r="M5012" s="1">
        <v>10.8</v>
      </c>
      <c r="O5012" s="1"/>
      <c r="P5012" s="1">
        <v>10.6</v>
      </c>
      <c r="Q5012" s="1">
        <v>1.3</v>
      </c>
      <c r="R5012" s="1">
        <v>19.8</v>
      </c>
      <c r="S5012" s="1"/>
      <c r="T5012" s="1"/>
      <c r="U5012" s="1">
        <v>15</v>
      </c>
      <c r="X5012" s="1">
        <v>0</v>
      </c>
    </row>
    <row r="5013" spans="1:24" x14ac:dyDescent="0.25">
      <c r="A5013" s="22">
        <v>43364</v>
      </c>
      <c r="B5013" s="1">
        <v>0</v>
      </c>
      <c r="C5013" s="1">
        <v>1.8</v>
      </c>
      <c r="D5013" s="1">
        <v>5.7</v>
      </c>
      <c r="E5013" s="1">
        <v>70</v>
      </c>
      <c r="F5013" s="1">
        <v>0</v>
      </c>
      <c r="G5013" s="1">
        <v>1.7</v>
      </c>
      <c r="H5013" s="1">
        <v>0</v>
      </c>
      <c r="I5013" s="1">
        <v>4.7</v>
      </c>
      <c r="J5013" s="1">
        <v>0.3</v>
      </c>
      <c r="K5013" s="1">
        <v>14.2</v>
      </c>
      <c r="L5013" s="1">
        <v>16.509999999999998</v>
      </c>
      <c r="M5013" s="1">
        <v>2.4</v>
      </c>
      <c r="O5013" s="1"/>
      <c r="P5013" s="1">
        <v>0</v>
      </c>
      <c r="Q5013" s="1">
        <v>9.6</v>
      </c>
      <c r="R5013" s="1">
        <v>0.5</v>
      </c>
      <c r="S5013" s="1"/>
      <c r="T5013" s="1"/>
      <c r="U5013" s="1">
        <v>3</v>
      </c>
      <c r="X5013" s="1">
        <v>0.1</v>
      </c>
    </row>
    <row r="5014" spans="1:24" x14ac:dyDescent="0.25">
      <c r="A5014" s="22">
        <v>43365</v>
      </c>
      <c r="B5014" s="1">
        <v>34.299999999999997</v>
      </c>
      <c r="C5014" s="1">
        <v>13.7</v>
      </c>
      <c r="D5014" s="1">
        <v>8.1</v>
      </c>
      <c r="E5014" s="1">
        <v>0</v>
      </c>
      <c r="F5014" s="1">
        <v>6.4</v>
      </c>
      <c r="G5014" s="1">
        <v>6.3</v>
      </c>
      <c r="H5014" s="1">
        <v>7.3</v>
      </c>
      <c r="I5014" s="1">
        <v>2.1</v>
      </c>
      <c r="J5014" s="1">
        <v>10.5</v>
      </c>
      <c r="K5014" s="1">
        <v>0</v>
      </c>
      <c r="L5014" s="1">
        <v>1.778</v>
      </c>
      <c r="M5014" s="1">
        <v>5.5</v>
      </c>
      <c r="O5014" s="1"/>
      <c r="P5014" s="1">
        <v>0.5</v>
      </c>
      <c r="Q5014" s="1">
        <v>27.4</v>
      </c>
      <c r="R5014" s="1">
        <v>6.5</v>
      </c>
      <c r="S5014" s="1"/>
      <c r="T5014" s="1"/>
      <c r="U5014" s="1">
        <v>4</v>
      </c>
      <c r="X5014" s="1">
        <v>0.4</v>
      </c>
    </row>
    <row r="5015" spans="1:24" x14ac:dyDescent="0.25">
      <c r="A5015" s="22">
        <v>43366</v>
      </c>
      <c r="B5015" s="1">
        <v>0</v>
      </c>
      <c r="C5015" s="1">
        <v>72</v>
      </c>
      <c r="D5015" s="1">
        <v>95</v>
      </c>
      <c r="E5015" s="1">
        <v>23</v>
      </c>
      <c r="F5015" s="1">
        <v>36.700000000000003</v>
      </c>
      <c r="G5015" s="1">
        <v>22.6</v>
      </c>
      <c r="H5015" s="1">
        <v>53.8</v>
      </c>
      <c r="I5015" s="1">
        <v>23.8</v>
      </c>
      <c r="J5015" s="1">
        <v>20.6</v>
      </c>
      <c r="K5015" s="1">
        <v>67.099999999999994</v>
      </c>
      <c r="L5015" s="1">
        <v>12.953999999999999</v>
      </c>
      <c r="M5015" s="1">
        <v>0</v>
      </c>
      <c r="O5015" s="1"/>
      <c r="P5015" s="1">
        <v>12.3</v>
      </c>
      <c r="Q5015" s="1">
        <v>2.4</v>
      </c>
      <c r="R5015" s="1">
        <v>0</v>
      </c>
      <c r="S5015" s="1"/>
      <c r="T5015" s="1"/>
      <c r="U5015" s="1">
        <v>80</v>
      </c>
      <c r="X5015" s="1">
        <v>0</v>
      </c>
    </row>
    <row r="5016" spans="1:24" x14ac:dyDescent="0.25">
      <c r="A5016" s="22">
        <v>43367</v>
      </c>
      <c r="B5016" s="1">
        <v>36.5</v>
      </c>
      <c r="C5016" s="1">
        <v>0</v>
      </c>
      <c r="D5016" s="1">
        <v>5.6</v>
      </c>
      <c r="E5016" s="1">
        <v>20</v>
      </c>
      <c r="F5016" s="1">
        <v>6.4</v>
      </c>
      <c r="G5016" s="1">
        <v>9.5</v>
      </c>
      <c r="H5016" s="1">
        <v>10</v>
      </c>
      <c r="I5016" s="1">
        <v>14.2</v>
      </c>
      <c r="J5016" s="1">
        <v>8.1999999999999993</v>
      </c>
      <c r="K5016" s="1">
        <v>8.9</v>
      </c>
      <c r="L5016" s="1">
        <v>0</v>
      </c>
      <c r="M5016" s="1">
        <v>47.4</v>
      </c>
      <c r="O5016" s="1"/>
      <c r="P5016" s="1">
        <v>1.6</v>
      </c>
      <c r="Q5016" s="1">
        <v>12.2</v>
      </c>
      <c r="R5016" s="1">
        <v>2.2999999999999998</v>
      </c>
      <c r="S5016" s="1"/>
      <c r="T5016" s="1"/>
      <c r="U5016" s="1">
        <v>5</v>
      </c>
      <c r="X5016" s="1">
        <v>1.1000000000000001</v>
      </c>
    </row>
    <row r="5017" spans="1:24" x14ac:dyDescent="0.25">
      <c r="A5017" s="22">
        <v>43368</v>
      </c>
      <c r="B5017" s="1">
        <v>0</v>
      </c>
      <c r="C5017" s="1">
        <v>11</v>
      </c>
      <c r="D5017" s="1">
        <v>7.5</v>
      </c>
      <c r="E5017" s="1">
        <v>0</v>
      </c>
      <c r="F5017" s="1">
        <v>4.4000000000000004</v>
      </c>
      <c r="G5017" s="1">
        <v>10.9</v>
      </c>
      <c r="H5017" s="1">
        <v>6.2</v>
      </c>
      <c r="I5017" s="1">
        <v>3.6</v>
      </c>
      <c r="J5017" s="1">
        <v>15.3</v>
      </c>
      <c r="K5017" s="1">
        <v>14.9</v>
      </c>
      <c r="L5017" s="1">
        <v>6.0959999999999992</v>
      </c>
      <c r="M5017" s="1">
        <v>7.6</v>
      </c>
      <c r="O5017" s="1"/>
      <c r="P5017" s="1">
        <v>10.199999999999999</v>
      </c>
      <c r="Q5017" s="1">
        <v>0</v>
      </c>
      <c r="R5017" s="1">
        <v>12.7</v>
      </c>
      <c r="S5017" s="1"/>
      <c r="T5017" s="1"/>
      <c r="U5017" s="1">
        <v>6</v>
      </c>
      <c r="X5017" s="1">
        <v>0.2</v>
      </c>
    </row>
    <row r="5018" spans="1:24" x14ac:dyDescent="0.25">
      <c r="A5018" s="22">
        <v>43369</v>
      </c>
      <c r="B5018" s="1">
        <v>32.4</v>
      </c>
      <c r="C5018" s="1">
        <v>1.1000000000000001</v>
      </c>
      <c r="D5018" s="1">
        <v>2.2999999999999998</v>
      </c>
      <c r="E5018" s="1">
        <v>0</v>
      </c>
      <c r="F5018" s="1">
        <v>0</v>
      </c>
      <c r="G5018" s="1">
        <v>0.8</v>
      </c>
      <c r="H5018" s="1">
        <v>1.5</v>
      </c>
      <c r="I5018" s="1">
        <v>0</v>
      </c>
      <c r="J5018" s="1">
        <v>0.7</v>
      </c>
      <c r="K5018" s="1">
        <v>0</v>
      </c>
      <c r="L5018" s="1">
        <v>0</v>
      </c>
      <c r="M5018" s="1">
        <v>0.9</v>
      </c>
      <c r="O5018" s="1"/>
      <c r="P5018" s="1">
        <v>1.2</v>
      </c>
      <c r="Q5018" s="1">
        <v>11.9</v>
      </c>
      <c r="R5018" s="1">
        <v>1.1000000000000001</v>
      </c>
      <c r="S5018" s="1"/>
      <c r="T5018" s="1"/>
      <c r="U5018" s="1">
        <v>0</v>
      </c>
      <c r="X5018" s="1">
        <v>0</v>
      </c>
    </row>
    <row r="5019" spans="1:24" x14ac:dyDescent="0.25">
      <c r="A5019" s="22">
        <v>43370</v>
      </c>
      <c r="B5019" s="1">
        <v>0</v>
      </c>
      <c r="C5019" s="1">
        <v>10.4</v>
      </c>
      <c r="D5019" s="1">
        <v>15.5</v>
      </c>
      <c r="E5019" s="1">
        <v>0</v>
      </c>
      <c r="F5019" s="1">
        <v>0</v>
      </c>
      <c r="G5019" s="1">
        <v>20</v>
      </c>
      <c r="H5019" s="1">
        <v>24.6</v>
      </c>
      <c r="I5019" s="1">
        <v>19.5</v>
      </c>
      <c r="J5019" s="1">
        <v>10.9</v>
      </c>
      <c r="K5019" s="1">
        <v>0</v>
      </c>
      <c r="L5019" s="1">
        <v>13.208</v>
      </c>
      <c r="M5019" s="1">
        <v>22.3</v>
      </c>
      <c r="O5019" s="1"/>
      <c r="P5019" s="1">
        <v>10.199999999999999</v>
      </c>
      <c r="Q5019" s="1">
        <v>6.5</v>
      </c>
      <c r="R5019" s="1">
        <v>9.1999999999999993</v>
      </c>
      <c r="S5019" s="1"/>
      <c r="T5019" s="1"/>
      <c r="U5019" s="1">
        <v>14</v>
      </c>
      <c r="X5019" s="1">
        <v>1.3</v>
      </c>
    </row>
    <row r="5020" spans="1:24" x14ac:dyDescent="0.25">
      <c r="A5020" s="22">
        <v>43371</v>
      </c>
      <c r="B5020" s="1">
        <v>24.9</v>
      </c>
      <c r="C5020" s="1">
        <v>11.5</v>
      </c>
      <c r="D5020" s="1">
        <v>8.9</v>
      </c>
      <c r="E5020" s="1">
        <v>0</v>
      </c>
      <c r="F5020" s="1">
        <v>17</v>
      </c>
      <c r="G5020" s="1">
        <v>17</v>
      </c>
      <c r="H5020" s="1">
        <v>24.8</v>
      </c>
      <c r="I5020" s="1">
        <v>8.3000000000000007</v>
      </c>
      <c r="J5020" s="1">
        <v>18.399999999999999</v>
      </c>
      <c r="K5020" s="1">
        <v>30.1</v>
      </c>
      <c r="L5020" s="1">
        <v>13.462</v>
      </c>
      <c r="M5020" s="1">
        <v>28</v>
      </c>
      <c r="O5020" s="1"/>
      <c r="P5020" s="1">
        <v>3</v>
      </c>
      <c r="Q5020" s="1">
        <v>43.6</v>
      </c>
      <c r="R5020" s="1">
        <v>6.5</v>
      </c>
      <c r="S5020" s="1"/>
      <c r="T5020" s="1"/>
      <c r="U5020" s="1">
        <v>10</v>
      </c>
      <c r="X5020" s="1">
        <v>0.3</v>
      </c>
    </row>
    <row r="5021" spans="1:24" x14ac:dyDescent="0.25">
      <c r="A5021" s="22">
        <v>43372</v>
      </c>
      <c r="B5021" s="1">
        <v>0</v>
      </c>
      <c r="C5021" s="1">
        <v>63.6</v>
      </c>
      <c r="D5021" s="1">
        <v>69</v>
      </c>
      <c r="E5021" s="1">
        <v>0</v>
      </c>
      <c r="F5021" s="1">
        <v>32</v>
      </c>
      <c r="G5021" s="1">
        <v>46.5</v>
      </c>
      <c r="H5021" s="1">
        <v>36.200000000000003</v>
      </c>
      <c r="I5021" s="1">
        <v>48</v>
      </c>
      <c r="J5021" s="1">
        <v>51.3</v>
      </c>
      <c r="K5021" s="1">
        <v>0</v>
      </c>
      <c r="L5021" s="1">
        <v>9.9060000000000006</v>
      </c>
      <c r="M5021" s="1">
        <v>0</v>
      </c>
      <c r="O5021" s="1"/>
      <c r="P5021" s="1">
        <v>14.5</v>
      </c>
      <c r="Q5021" s="1">
        <v>0</v>
      </c>
      <c r="R5021" s="1">
        <v>20.3</v>
      </c>
      <c r="S5021" s="1"/>
      <c r="T5021" s="1"/>
      <c r="U5021" s="1">
        <v>35</v>
      </c>
      <c r="X5021" s="1">
        <v>0</v>
      </c>
    </row>
    <row r="5022" spans="1:24" x14ac:dyDescent="0.25">
      <c r="A5022" s="22">
        <v>43373</v>
      </c>
      <c r="B5022" s="1">
        <v>0</v>
      </c>
      <c r="C5022" s="1">
        <v>0</v>
      </c>
      <c r="D5022" s="1">
        <v>3</v>
      </c>
      <c r="E5022" s="5">
        <v>35</v>
      </c>
      <c r="F5022" s="1">
        <v>0</v>
      </c>
      <c r="G5022" s="1">
        <v>0</v>
      </c>
      <c r="H5022" s="1">
        <v>0</v>
      </c>
      <c r="I5022" s="1">
        <v>0</v>
      </c>
      <c r="J5022" s="30" t="s">
        <v>9</v>
      </c>
      <c r="K5022" s="1">
        <v>1.6</v>
      </c>
      <c r="L5022" s="1">
        <v>0</v>
      </c>
      <c r="M5022" s="1">
        <v>3.9</v>
      </c>
      <c r="O5022" s="1"/>
      <c r="P5022" s="1">
        <v>0</v>
      </c>
      <c r="Q5022" s="1">
        <v>0.9</v>
      </c>
      <c r="R5022" s="1">
        <v>0</v>
      </c>
      <c r="S5022" s="1"/>
      <c r="T5022" s="1"/>
      <c r="U5022" s="1">
        <v>0</v>
      </c>
      <c r="X5022" s="1">
        <v>0</v>
      </c>
    </row>
    <row r="5023" spans="1:24" x14ac:dyDescent="0.25">
      <c r="A5023" s="22">
        <v>43374</v>
      </c>
      <c r="B5023" s="1">
        <v>9.5</v>
      </c>
      <c r="C5023" s="1">
        <v>3.8</v>
      </c>
      <c r="D5023" s="1">
        <v>4.0999999999999996</v>
      </c>
      <c r="E5023" s="1">
        <v>0</v>
      </c>
      <c r="F5023" s="1">
        <v>0</v>
      </c>
      <c r="G5023" s="1">
        <v>3</v>
      </c>
      <c r="H5023" s="1">
        <v>1.2</v>
      </c>
      <c r="I5023" s="1">
        <v>10.199999999999999</v>
      </c>
      <c r="J5023" s="1">
        <v>0</v>
      </c>
      <c r="K5023" s="1">
        <v>1.6</v>
      </c>
      <c r="L5023" s="1">
        <v>0</v>
      </c>
      <c r="M5023" s="1">
        <v>3.9</v>
      </c>
      <c r="O5023" s="1"/>
      <c r="P5023" s="1"/>
      <c r="Q5023" s="1">
        <v>0.6</v>
      </c>
      <c r="R5023" s="1">
        <v>0</v>
      </c>
      <c r="S5023" s="1"/>
      <c r="T5023" s="1"/>
      <c r="U5023" s="1"/>
      <c r="X5023" s="1">
        <v>20.32</v>
      </c>
    </row>
    <row r="5024" spans="1:24" x14ac:dyDescent="0.25">
      <c r="A5024" s="22">
        <v>43375</v>
      </c>
      <c r="B5024" s="1">
        <v>15.2</v>
      </c>
      <c r="C5024" s="1">
        <v>0</v>
      </c>
      <c r="D5024" s="1">
        <v>3.8</v>
      </c>
      <c r="E5024" s="1">
        <v>0</v>
      </c>
      <c r="F5024" s="1">
        <v>0</v>
      </c>
      <c r="G5024" s="1">
        <v>3.2</v>
      </c>
      <c r="H5024" s="1">
        <v>0</v>
      </c>
      <c r="I5024" s="1">
        <v>3.1</v>
      </c>
      <c r="J5024" s="1">
        <v>2</v>
      </c>
      <c r="K5024" s="1">
        <v>0</v>
      </c>
      <c r="L5024" s="1">
        <v>0</v>
      </c>
      <c r="M5024" s="1">
        <v>3.7</v>
      </c>
      <c r="O5024" s="1"/>
      <c r="P5024" s="1"/>
      <c r="Q5024" s="1">
        <v>1.8</v>
      </c>
      <c r="R5024" s="1">
        <v>0</v>
      </c>
      <c r="S5024" s="1"/>
      <c r="T5024" s="1"/>
      <c r="U5024" s="1"/>
      <c r="X5024" s="1">
        <v>33.020000000000003</v>
      </c>
    </row>
    <row r="5025" spans="1:24" x14ac:dyDescent="0.25">
      <c r="A5025" s="22">
        <v>43376</v>
      </c>
      <c r="B5025" s="1">
        <v>0</v>
      </c>
      <c r="C5025" s="1">
        <v>0.6</v>
      </c>
      <c r="D5025" s="1">
        <v>20.8</v>
      </c>
      <c r="E5025" s="1">
        <v>0</v>
      </c>
      <c r="F5025" s="1">
        <v>0</v>
      </c>
      <c r="G5025" s="1">
        <v>0.4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  <c r="M5025" s="1">
        <v>0.2</v>
      </c>
      <c r="O5025" s="1"/>
      <c r="P5025" s="1"/>
      <c r="Q5025" s="1">
        <v>20.6</v>
      </c>
      <c r="R5025" s="1">
        <v>0.7</v>
      </c>
      <c r="S5025" s="1"/>
      <c r="T5025" s="1"/>
      <c r="U5025" s="1"/>
      <c r="X5025" s="1">
        <v>20.32</v>
      </c>
    </row>
    <row r="5026" spans="1:24" x14ac:dyDescent="0.25">
      <c r="A5026" s="22">
        <v>43377</v>
      </c>
      <c r="B5026" s="1">
        <v>20.3</v>
      </c>
      <c r="C5026" s="1">
        <v>4.4000000000000004</v>
      </c>
      <c r="D5026" s="1">
        <v>6.6</v>
      </c>
      <c r="E5026" s="1">
        <v>0</v>
      </c>
      <c r="F5026" s="1">
        <v>0</v>
      </c>
      <c r="G5026" s="1">
        <v>18.100000000000001</v>
      </c>
      <c r="H5026" s="1">
        <v>12.6</v>
      </c>
      <c r="I5026" s="1">
        <v>3.2</v>
      </c>
      <c r="J5026" s="1">
        <v>34</v>
      </c>
      <c r="K5026" s="1">
        <v>32.700000000000003</v>
      </c>
      <c r="L5026" s="1">
        <v>5.8419999999999996</v>
      </c>
      <c r="M5026" s="1">
        <v>9.1999999999999993</v>
      </c>
      <c r="O5026" s="1"/>
      <c r="P5026" s="1"/>
      <c r="Q5026" s="1">
        <v>10.8</v>
      </c>
      <c r="R5026" s="1">
        <v>10.1</v>
      </c>
      <c r="S5026" s="1"/>
      <c r="T5026" s="1"/>
      <c r="U5026" s="1"/>
      <c r="X5026" s="1">
        <v>17.78</v>
      </c>
    </row>
    <row r="5027" spans="1:24" x14ac:dyDescent="0.25">
      <c r="A5027" s="22">
        <v>43378</v>
      </c>
      <c r="B5027" s="1">
        <v>8.4</v>
      </c>
      <c r="C5027" s="1">
        <v>31</v>
      </c>
      <c r="D5027" s="1">
        <v>32.4</v>
      </c>
      <c r="E5027" s="1">
        <v>16</v>
      </c>
      <c r="F5027" s="1">
        <v>0</v>
      </c>
      <c r="G5027" s="1">
        <v>43.1</v>
      </c>
      <c r="H5027" s="1">
        <v>38.5</v>
      </c>
      <c r="I5027" s="1">
        <v>34.9</v>
      </c>
      <c r="J5027" s="1">
        <v>0</v>
      </c>
      <c r="K5027" s="1">
        <v>52.7</v>
      </c>
      <c r="L5027" s="1">
        <v>16.509999999999998</v>
      </c>
      <c r="M5027" s="1">
        <v>45.7</v>
      </c>
      <c r="O5027" s="1"/>
      <c r="P5027" s="1"/>
      <c r="Q5027" s="1">
        <v>3.2</v>
      </c>
      <c r="R5027" s="1">
        <v>11.2</v>
      </c>
      <c r="S5027" s="1"/>
      <c r="T5027" s="1"/>
      <c r="U5027" s="1"/>
      <c r="X5027" s="1">
        <v>44</v>
      </c>
    </row>
    <row r="5028" spans="1:24" x14ac:dyDescent="0.25">
      <c r="A5028" s="22">
        <v>43379</v>
      </c>
      <c r="B5028" s="1">
        <v>89.6</v>
      </c>
      <c r="C5028" s="1">
        <v>1.2</v>
      </c>
      <c r="D5028" s="1">
        <v>0.6</v>
      </c>
      <c r="E5028" s="1">
        <v>0</v>
      </c>
      <c r="F5028" s="1">
        <v>0</v>
      </c>
      <c r="G5028" s="1">
        <v>2.4</v>
      </c>
      <c r="H5028" s="1">
        <v>5</v>
      </c>
      <c r="I5028" s="1">
        <v>0</v>
      </c>
      <c r="J5028" s="1">
        <v>11.4</v>
      </c>
      <c r="K5028" s="1">
        <v>0.9</v>
      </c>
      <c r="L5028" s="1">
        <v>0</v>
      </c>
      <c r="M5028" s="1">
        <v>0</v>
      </c>
      <c r="O5028" s="1"/>
      <c r="P5028" s="1"/>
      <c r="Q5028" s="1">
        <v>4.9000000000000004</v>
      </c>
      <c r="R5028" s="1">
        <v>1.7</v>
      </c>
      <c r="S5028" s="1"/>
      <c r="T5028" s="1"/>
      <c r="U5028" s="1"/>
      <c r="X5028" s="1">
        <v>0.8</v>
      </c>
    </row>
    <row r="5029" spans="1:24" x14ac:dyDescent="0.25">
      <c r="A5029" s="22">
        <v>43380</v>
      </c>
      <c r="B5029" s="1">
        <v>0</v>
      </c>
      <c r="C5029" s="1">
        <v>6.4</v>
      </c>
      <c r="D5029" s="1">
        <v>5.6</v>
      </c>
      <c r="E5029" s="1">
        <v>0</v>
      </c>
      <c r="F5029" s="1">
        <v>13</v>
      </c>
      <c r="G5029" s="1">
        <v>9</v>
      </c>
      <c r="H5029" s="1">
        <v>5.0999999999999996</v>
      </c>
      <c r="I5029" s="1">
        <v>19.5</v>
      </c>
      <c r="J5029" s="1">
        <v>20.2</v>
      </c>
      <c r="K5029" s="1">
        <v>12.5</v>
      </c>
      <c r="L5029" s="1">
        <v>8.636000000000001</v>
      </c>
      <c r="M5029" s="1">
        <v>0</v>
      </c>
      <c r="O5029" s="1"/>
      <c r="P5029" s="1"/>
      <c r="Q5029" s="1">
        <v>72.900000000000006</v>
      </c>
      <c r="R5029" s="1">
        <v>0</v>
      </c>
      <c r="S5029" s="1"/>
      <c r="T5029" s="1"/>
      <c r="U5029" s="1"/>
      <c r="X5029" s="1">
        <v>1.2</v>
      </c>
    </row>
    <row r="5030" spans="1:24" x14ac:dyDescent="0.25">
      <c r="A5030" s="22">
        <v>43381</v>
      </c>
      <c r="B5030" s="1">
        <v>48.3</v>
      </c>
      <c r="C5030" s="1">
        <v>57.4</v>
      </c>
      <c r="D5030" s="1">
        <v>71.900000000000006</v>
      </c>
      <c r="E5030" s="1">
        <v>78</v>
      </c>
      <c r="F5030" s="1">
        <v>39</v>
      </c>
      <c r="G5030" s="1">
        <v>51.4</v>
      </c>
      <c r="H5030" s="1">
        <v>35.700000000000003</v>
      </c>
      <c r="I5030" s="1">
        <v>44.4</v>
      </c>
      <c r="J5030" s="1">
        <v>15.7</v>
      </c>
      <c r="K5030" s="1">
        <v>53</v>
      </c>
      <c r="L5030" s="1">
        <v>43.942</v>
      </c>
      <c r="M5030" s="1">
        <v>58.7</v>
      </c>
      <c r="O5030" s="1"/>
      <c r="P5030" s="1"/>
      <c r="Q5030" s="1">
        <v>4.2</v>
      </c>
      <c r="R5030" s="1">
        <v>65.3</v>
      </c>
      <c r="S5030" s="1"/>
      <c r="T5030" s="1"/>
      <c r="U5030" s="1"/>
      <c r="X5030" s="1">
        <v>0.4</v>
      </c>
    </row>
    <row r="5031" spans="1:24" x14ac:dyDescent="0.25">
      <c r="A5031" s="22">
        <v>43382</v>
      </c>
      <c r="B5031" s="1">
        <v>11.4</v>
      </c>
      <c r="C5031" s="1">
        <v>6.2</v>
      </c>
      <c r="D5031" s="1">
        <v>9.1999999999999993</v>
      </c>
      <c r="E5031" s="1">
        <v>0</v>
      </c>
      <c r="F5031" s="1">
        <v>0.9</v>
      </c>
      <c r="G5031" s="1">
        <v>7.5</v>
      </c>
      <c r="H5031" s="1">
        <v>6.3</v>
      </c>
      <c r="I5031" s="1">
        <v>7</v>
      </c>
      <c r="J5031" s="1">
        <v>5.5</v>
      </c>
      <c r="K5031" s="1">
        <v>0</v>
      </c>
      <c r="L5031" s="1">
        <v>3.556</v>
      </c>
      <c r="M5031" s="1">
        <v>8.5</v>
      </c>
      <c r="O5031" s="1"/>
      <c r="P5031" s="1"/>
      <c r="Q5031" s="1">
        <v>0</v>
      </c>
      <c r="R5031" s="1">
        <v>4.2</v>
      </c>
      <c r="S5031" s="1"/>
      <c r="T5031" s="1"/>
      <c r="U5031" s="1"/>
      <c r="X5031" s="1">
        <v>0</v>
      </c>
    </row>
    <row r="5032" spans="1:24" x14ac:dyDescent="0.25">
      <c r="A5032" s="22">
        <v>43383</v>
      </c>
      <c r="B5032" s="1">
        <v>0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O5032" s="1"/>
      <c r="P5032" s="1"/>
      <c r="Q5032" s="1">
        <v>6.5</v>
      </c>
      <c r="R5032" s="1">
        <v>0</v>
      </c>
      <c r="S5032" s="1"/>
      <c r="T5032" s="1"/>
      <c r="U5032" s="1"/>
      <c r="X5032" s="1">
        <v>3.5</v>
      </c>
    </row>
    <row r="5033" spans="1:24" x14ac:dyDescent="0.25">
      <c r="A5033" s="22">
        <v>43384</v>
      </c>
      <c r="B5033" s="1">
        <v>11.2</v>
      </c>
      <c r="C5033" s="1">
        <v>5.5</v>
      </c>
      <c r="D5033" s="1">
        <v>13.4</v>
      </c>
      <c r="E5033" s="1">
        <v>0</v>
      </c>
      <c r="F5033" s="1">
        <v>5.6</v>
      </c>
      <c r="G5033" s="1">
        <v>7.9</v>
      </c>
      <c r="H5033" s="1">
        <v>12.7</v>
      </c>
      <c r="I5033" s="1">
        <v>5.5</v>
      </c>
      <c r="J5033" s="1">
        <v>14.1</v>
      </c>
      <c r="K5033" s="1">
        <v>12.1</v>
      </c>
      <c r="L5033" s="1">
        <v>3.302</v>
      </c>
      <c r="M5033" s="1">
        <v>9.8000000000000007</v>
      </c>
      <c r="O5033" s="1"/>
      <c r="P5033" s="1"/>
      <c r="Q5033" s="1">
        <v>0</v>
      </c>
      <c r="R5033" s="1">
        <v>5.2</v>
      </c>
      <c r="S5033" s="1"/>
      <c r="T5033" s="1"/>
      <c r="U5033" s="1"/>
      <c r="X5033" s="1">
        <v>0</v>
      </c>
    </row>
    <row r="5034" spans="1:24" x14ac:dyDescent="0.25">
      <c r="A5034" s="22">
        <v>43385</v>
      </c>
      <c r="B5034" s="1">
        <v>0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O5034" s="1"/>
      <c r="P5034" s="1"/>
      <c r="Q5034" s="1">
        <v>0</v>
      </c>
      <c r="R5034" s="1">
        <v>0</v>
      </c>
      <c r="S5034" s="1"/>
      <c r="T5034" s="1"/>
      <c r="U5034" s="1"/>
      <c r="X5034" s="1">
        <v>0</v>
      </c>
    </row>
    <row r="5035" spans="1:24" x14ac:dyDescent="0.25">
      <c r="A5035" s="22">
        <v>43386</v>
      </c>
      <c r="B5035" s="1">
        <v>0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O5035" s="1"/>
      <c r="P5035" s="1"/>
      <c r="Q5035" s="1">
        <v>0</v>
      </c>
      <c r="R5035" s="1">
        <v>0</v>
      </c>
      <c r="S5035" s="1"/>
      <c r="T5035" s="1"/>
      <c r="U5035" s="1"/>
      <c r="X5035" s="1">
        <v>0</v>
      </c>
    </row>
    <row r="5036" spans="1:24" x14ac:dyDescent="0.25">
      <c r="A5036" s="22">
        <v>43387</v>
      </c>
      <c r="B5036" s="1">
        <v>15.3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O5036" s="1"/>
      <c r="P5036" s="1"/>
      <c r="Q5036" s="1">
        <v>3.3</v>
      </c>
      <c r="R5036" s="1">
        <v>0</v>
      </c>
      <c r="S5036" s="1"/>
      <c r="T5036" s="1"/>
      <c r="U5036" s="1"/>
      <c r="X5036" s="1">
        <v>0</v>
      </c>
    </row>
    <row r="5037" spans="1:24" x14ac:dyDescent="0.25">
      <c r="A5037" s="22">
        <v>43388</v>
      </c>
      <c r="B5037" s="1">
        <v>0</v>
      </c>
      <c r="C5037" s="1">
        <v>0</v>
      </c>
      <c r="D5037" s="1">
        <v>2.1</v>
      </c>
      <c r="E5037" s="1">
        <v>15</v>
      </c>
      <c r="F5037" s="1">
        <v>0</v>
      </c>
      <c r="G5037" s="1">
        <v>4.8</v>
      </c>
      <c r="H5037" s="1">
        <v>7</v>
      </c>
      <c r="I5037" s="1">
        <v>0</v>
      </c>
      <c r="J5037" s="1">
        <v>0.6</v>
      </c>
      <c r="K5037" s="1">
        <v>0</v>
      </c>
      <c r="L5037" s="1">
        <v>1.27</v>
      </c>
      <c r="M5037" s="1">
        <v>3.8</v>
      </c>
      <c r="O5037" s="1"/>
      <c r="P5037" s="1"/>
      <c r="Q5037" s="1">
        <v>3.5</v>
      </c>
      <c r="R5037" s="1">
        <v>2.4</v>
      </c>
      <c r="S5037" s="1"/>
      <c r="T5037" s="1"/>
      <c r="U5037" s="1"/>
      <c r="X5037" s="1">
        <v>5</v>
      </c>
    </row>
    <row r="5038" spans="1:24" x14ac:dyDescent="0.25">
      <c r="A5038" s="22">
        <v>43389</v>
      </c>
      <c r="B5038" s="1">
        <v>84</v>
      </c>
      <c r="C5038" s="1">
        <v>1.7</v>
      </c>
      <c r="D5038" s="1">
        <v>5.5</v>
      </c>
      <c r="E5038" s="1">
        <v>0</v>
      </c>
      <c r="F5038" s="1">
        <v>0</v>
      </c>
      <c r="G5038" s="1">
        <v>1.8</v>
      </c>
      <c r="H5038" s="1">
        <v>0</v>
      </c>
      <c r="I5038" s="1">
        <v>2.8</v>
      </c>
      <c r="J5038" s="1">
        <v>3.9</v>
      </c>
      <c r="K5038" s="1">
        <v>0</v>
      </c>
      <c r="L5038" s="1">
        <v>4.8259999999999996</v>
      </c>
      <c r="M5038" s="1">
        <v>1.7</v>
      </c>
      <c r="O5038" s="1"/>
      <c r="P5038" s="1"/>
      <c r="Q5038" s="1">
        <v>8.4</v>
      </c>
      <c r="R5038" s="1">
        <v>2.2000000000000002</v>
      </c>
      <c r="S5038" s="1"/>
      <c r="T5038" s="1"/>
      <c r="U5038" s="1"/>
      <c r="X5038" s="1">
        <v>15</v>
      </c>
    </row>
    <row r="5039" spans="1:24" x14ac:dyDescent="0.25">
      <c r="A5039" s="22">
        <v>43390</v>
      </c>
      <c r="B5039" s="1">
        <v>8.5</v>
      </c>
      <c r="C5039" s="1">
        <v>22.9</v>
      </c>
      <c r="D5039" s="1">
        <v>45.4</v>
      </c>
      <c r="E5039" s="1">
        <v>0</v>
      </c>
      <c r="F5039" s="1">
        <v>23.7</v>
      </c>
      <c r="G5039" s="1">
        <v>23.1</v>
      </c>
      <c r="H5039" s="1">
        <v>17.8</v>
      </c>
      <c r="I5039" s="1">
        <v>8.1999999999999993</v>
      </c>
      <c r="J5039" s="1">
        <v>37</v>
      </c>
      <c r="K5039" s="1">
        <v>0</v>
      </c>
      <c r="L5039" s="1">
        <v>7.8739999999999997</v>
      </c>
      <c r="M5039" s="1">
        <v>20</v>
      </c>
      <c r="O5039" s="1"/>
      <c r="P5039" s="1"/>
      <c r="Q5039" s="1">
        <v>17.100000000000001</v>
      </c>
      <c r="R5039" s="1">
        <v>3.5</v>
      </c>
      <c r="S5039" s="1"/>
      <c r="T5039" s="1"/>
      <c r="U5039" s="1"/>
      <c r="X5039" s="1">
        <v>15</v>
      </c>
    </row>
    <row r="5040" spans="1:24" x14ac:dyDescent="0.25">
      <c r="A5040" s="22">
        <v>43391</v>
      </c>
      <c r="B5040" s="1">
        <v>0</v>
      </c>
      <c r="C5040" s="1">
        <v>16.7</v>
      </c>
      <c r="D5040" s="1">
        <v>15</v>
      </c>
      <c r="E5040" s="1">
        <v>0</v>
      </c>
      <c r="F5040" s="1">
        <v>15.5</v>
      </c>
      <c r="G5040" s="1">
        <v>48.4</v>
      </c>
      <c r="H5040" s="1">
        <v>17.3</v>
      </c>
      <c r="I5040" s="1">
        <v>48</v>
      </c>
      <c r="J5040" s="1">
        <v>30.3</v>
      </c>
      <c r="K5040" s="1">
        <v>0</v>
      </c>
      <c r="L5040" s="1">
        <v>28.448</v>
      </c>
      <c r="M5040" s="1">
        <v>31.2</v>
      </c>
      <c r="O5040" s="1"/>
      <c r="P5040" s="1"/>
      <c r="Q5040" s="1">
        <v>30.8</v>
      </c>
      <c r="R5040" s="1">
        <v>13</v>
      </c>
      <c r="S5040" s="1"/>
      <c r="T5040" s="1"/>
      <c r="U5040" s="1"/>
      <c r="X5040" s="1">
        <v>0</v>
      </c>
    </row>
    <row r="5041" spans="1:24" x14ac:dyDescent="0.25">
      <c r="A5041" s="22">
        <v>43392</v>
      </c>
      <c r="B5041" s="1">
        <v>23.3</v>
      </c>
      <c r="C5041" s="1">
        <v>64.599999999999994</v>
      </c>
      <c r="D5041" s="1">
        <v>104.5</v>
      </c>
      <c r="E5041" s="1">
        <v>0</v>
      </c>
      <c r="F5041" s="1">
        <v>47.4</v>
      </c>
      <c r="G5041" s="1">
        <v>34.1</v>
      </c>
      <c r="H5041" s="1">
        <v>35.6</v>
      </c>
      <c r="I5041" s="1">
        <v>28</v>
      </c>
      <c r="J5041" s="1">
        <v>66.3</v>
      </c>
      <c r="K5041" s="1">
        <v>143.5</v>
      </c>
      <c r="L5041" s="1">
        <v>23.622</v>
      </c>
      <c r="M5041" s="1">
        <v>55</v>
      </c>
      <c r="O5041" s="1"/>
      <c r="P5041" s="1"/>
      <c r="Q5041" s="1">
        <v>27.5</v>
      </c>
      <c r="R5041" s="1">
        <v>32.4</v>
      </c>
      <c r="S5041" s="1"/>
      <c r="T5041" s="1"/>
      <c r="U5041" s="1"/>
      <c r="X5041" s="1">
        <v>25</v>
      </c>
    </row>
    <row r="5042" spans="1:24" x14ac:dyDescent="0.25">
      <c r="A5042" s="22">
        <v>43393</v>
      </c>
      <c r="B5042" s="1">
        <v>88.4</v>
      </c>
      <c r="C5042" s="1">
        <v>19.7</v>
      </c>
      <c r="D5042" s="1">
        <v>11.4</v>
      </c>
      <c r="E5042" s="1">
        <v>0</v>
      </c>
      <c r="F5042" s="1">
        <v>48.2</v>
      </c>
      <c r="G5042" s="1">
        <v>33.6</v>
      </c>
      <c r="H5042" s="1">
        <v>40.799999999999997</v>
      </c>
      <c r="I5042" s="1">
        <v>22.1</v>
      </c>
      <c r="J5042" s="1">
        <v>33</v>
      </c>
      <c r="K5042" s="1">
        <v>43.5</v>
      </c>
      <c r="L5042" s="1">
        <v>7.8739999999999997</v>
      </c>
      <c r="M5042" s="1">
        <v>40.700000000000003</v>
      </c>
      <c r="O5042" s="1"/>
      <c r="P5042" s="1"/>
      <c r="Q5042" s="1">
        <v>41.5</v>
      </c>
      <c r="R5042" s="1">
        <v>60</v>
      </c>
      <c r="S5042" s="1"/>
      <c r="T5042" s="1"/>
      <c r="U5042" s="1"/>
      <c r="X5042" s="1">
        <v>33</v>
      </c>
    </row>
    <row r="5043" spans="1:24" x14ac:dyDescent="0.25">
      <c r="A5043" s="22">
        <v>43394</v>
      </c>
      <c r="B5043" s="1">
        <v>0</v>
      </c>
      <c r="C5043" s="1">
        <v>52.2</v>
      </c>
      <c r="D5043" s="1">
        <v>76.2</v>
      </c>
      <c r="E5043" s="1">
        <v>0</v>
      </c>
      <c r="F5043" s="1">
        <v>21.7</v>
      </c>
      <c r="G5043" s="1">
        <v>36.1</v>
      </c>
      <c r="H5043" s="1">
        <v>25.3</v>
      </c>
      <c r="I5043" s="1">
        <v>19</v>
      </c>
      <c r="J5043" s="1">
        <v>34.200000000000003</v>
      </c>
      <c r="K5043" s="1">
        <v>0</v>
      </c>
      <c r="L5043" s="1">
        <v>80.772000000000006</v>
      </c>
      <c r="M5043" s="1">
        <v>31.5</v>
      </c>
      <c r="O5043" s="1"/>
      <c r="P5043" s="1"/>
      <c r="Q5043" s="1">
        <v>3.3</v>
      </c>
      <c r="R5043" s="1">
        <v>45.2</v>
      </c>
      <c r="S5043" s="1"/>
      <c r="T5043" s="1"/>
      <c r="U5043" s="1"/>
      <c r="X5043" s="1">
        <v>15</v>
      </c>
    </row>
    <row r="5044" spans="1:24" x14ac:dyDescent="0.25">
      <c r="A5044" s="22">
        <v>43395</v>
      </c>
      <c r="B5044" s="1">
        <v>10.3</v>
      </c>
      <c r="C5044" s="1">
        <v>14.9</v>
      </c>
      <c r="D5044" s="1">
        <v>23.9</v>
      </c>
      <c r="E5044" s="1">
        <v>228</v>
      </c>
      <c r="F5044" s="1">
        <v>0</v>
      </c>
      <c r="G5044" s="1">
        <v>17.600000000000001</v>
      </c>
      <c r="H5044" s="1">
        <v>2.2999999999999998</v>
      </c>
      <c r="I5044" s="1">
        <v>3.1</v>
      </c>
      <c r="J5044" s="1">
        <v>22.1</v>
      </c>
      <c r="K5044" s="1">
        <v>0</v>
      </c>
      <c r="L5044" s="1">
        <v>10.921999999999999</v>
      </c>
      <c r="M5044" s="1">
        <v>31.9</v>
      </c>
      <c r="O5044" s="1"/>
      <c r="P5044" s="1"/>
      <c r="Q5044" s="1">
        <v>0.2</v>
      </c>
      <c r="R5044" s="1">
        <v>26.3</v>
      </c>
      <c r="S5044" s="1"/>
      <c r="T5044" s="1"/>
      <c r="U5044" s="1"/>
      <c r="X5044" s="1">
        <v>0</v>
      </c>
    </row>
    <row r="5045" spans="1:24" x14ac:dyDescent="0.25">
      <c r="A5045" s="22">
        <v>43396</v>
      </c>
      <c r="B5045" s="1">
        <v>0</v>
      </c>
      <c r="C5045" s="1">
        <v>6.7</v>
      </c>
      <c r="D5045" s="1">
        <v>7.4</v>
      </c>
      <c r="E5045" s="1">
        <v>0</v>
      </c>
      <c r="F5045" s="1">
        <v>0</v>
      </c>
      <c r="G5045" s="1">
        <v>2.1</v>
      </c>
      <c r="H5045" s="1">
        <v>2.4</v>
      </c>
      <c r="I5045" s="1">
        <v>4.3</v>
      </c>
      <c r="J5045" s="1">
        <v>8</v>
      </c>
      <c r="K5045" s="1">
        <v>0</v>
      </c>
      <c r="L5045" s="1">
        <v>11.43</v>
      </c>
      <c r="M5045" s="1">
        <v>10.9</v>
      </c>
      <c r="O5045" s="1"/>
      <c r="P5045" s="1"/>
      <c r="Q5045" s="1">
        <v>3.9</v>
      </c>
      <c r="R5045" s="1">
        <v>0.2</v>
      </c>
      <c r="S5045" s="1"/>
      <c r="T5045" s="1"/>
      <c r="U5045" s="1"/>
      <c r="X5045" s="1">
        <v>0</v>
      </c>
    </row>
    <row r="5046" spans="1:24" x14ac:dyDescent="0.25">
      <c r="A5046" s="22">
        <v>43397</v>
      </c>
      <c r="B5046" s="1">
        <v>0</v>
      </c>
      <c r="C5046" s="1">
        <v>1.1000000000000001</v>
      </c>
      <c r="D5046" s="1">
        <v>1.6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3.4</v>
      </c>
      <c r="K5046" s="1">
        <v>0</v>
      </c>
      <c r="L5046" s="1">
        <v>0.7619999999999999</v>
      </c>
      <c r="M5046" s="1">
        <v>2.6</v>
      </c>
      <c r="O5046" s="1"/>
      <c r="P5046" s="1"/>
      <c r="Q5046" s="1">
        <v>0</v>
      </c>
      <c r="R5046" s="1">
        <v>0</v>
      </c>
      <c r="S5046" s="1"/>
      <c r="T5046" s="1"/>
      <c r="U5046" s="1"/>
      <c r="X5046" s="1">
        <v>0</v>
      </c>
    </row>
    <row r="5047" spans="1:24" x14ac:dyDescent="0.25">
      <c r="A5047" s="22">
        <v>43398</v>
      </c>
      <c r="B5047" s="1">
        <v>14.5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0.1</v>
      </c>
      <c r="K5047" s="1">
        <v>0</v>
      </c>
      <c r="L5047" s="1">
        <v>0</v>
      </c>
      <c r="M5047" s="1">
        <v>0</v>
      </c>
      <c r="O5047" s="1"/>
      <c r="P5047" s="1"/>
      <c r="Q5047" s="1">
        <v>0</v>
      </c>
      <c r="R5047" s="1">
        <v>0</v>
      </c>
      <c r="S5047" s="1"/>
      <c r="T5047" s="1"/>
      <c r="U5047" s="1"/>
      <c r="X5047" s="1">
        <v>0</v>
      </c>
    </row>
    <row r="5048" spans="1:24" x14ac:dyDescent="0.25">
      <c r="A5048" s="22">
        <v>43399</v>
      </c>
      <c r="B5048" s="1">
        <v>0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23.4</v>
      </c>
      <c r="L5048" s="1">
        <v>0</v>
      </c>
      <c r="M5048" s="1">
        <v>0</v>
      </c>
      <c r="O5048" s="1"/>
      <c r="P5048" s="1"/>
      <c r="Q5048" s="1">
        <v>0</v>
      </c>
      <c r="R5048" s="1">
        <v>0</v>
      </c>
      <c r="S5048" s="1"/>
      <c r="T5048" s="1"/>
      <c r="U5048" s="1"/>
      <c r="X5048" s="1">
        <v>0</v>
      </c>
    </row>
    <row r="5049" spans="1:24" x14ac:dyDescent="0.25">
      <c r="A5049" s="22">
        <v>43400</v>
      </c>
      <c r="B5049" s="1">
        <v>0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O5049" s="1"/>
      <c r="P5049" s="1"/>
      <c r="Q5049" s="1">
        <v>0</v>
      </c>
      <c r="R5049" s="1">
        <v>0</v>
      </c>
      <c r="S5049" s="1"/>
      <c r="T5049" s="1"/>
      <c r="U5049" s="1"/>
      <c r="X5049" s="1">
        <v>0</v>
      </c>
    </row>
    <row r="5050" spans="1:24" x14ac:dyDescent="0.25">
      <c r="A5050" s="22">
        <v>43401</v>
      </c>
      <c r="B5050" s="1">
        <v>0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O5050" s="1"/>
      <c r="P5050" s="1"/>
      <c r="Q5050" s="1">
        <v>0</v>
      </c>
      <c r="R5050" s="1">
        <v>0</v>
      </c>
      <c r="S5050" s="1"/>
      <c r="T5050" s="1"/>
      <c r="U5050" s="1"/>
      <c r="X5050" s="1">
        <v>0</v>
      </c>
    </row>
    <row r="5051" spans="1:24" x14ac:dyDescent="0.25">
      <c r="A5051" s="22">
        <v>43402</v>
      </c>
      <c r="B5051" s="1">
        <v>0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O5051" s="1"/>
      <c r="P5051" s="1"/>
      <c r="Q5051" s="1">
        <v>0</v>
      </c>
      <c r="R5051" s="1">
        <v>0</v>
      </c>
      <c r="S5051" s="1"/>
      <c r="T5051" s="1"/>
      <c r="U5051" s="1"/>
      <c r="X5051" s="1">
        <v>0</v>
      </c>
    </row>
    <row r="5052" spans="1:24" x14ac:dyDescent="0.25">
      <c r="A5052" s="22">
        <v>43403</v>
      </c>
      <c r="B5052" s="1">
        <v>0</v>
      </c>
      <c r="C5052" s="1">
        <v>0</v>
      </c>
      <c r="D5052" s="1">
        <v>0</v>
      </c>
      <c r="E5052" s="5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O5052" s="1"/>
      <c r="P5052" s="1"/>
      <c r="Q5052" s="1">
        <v>0.2</v>
      </c>
      <c r="R5052" s="1">
        <v>0</v>
      </c>
      <c r="S5052" s="1"/>
      <c r="T5052" s="1"/>
      <c r="U5052" s="1"/>
      <c r="X5052" s="1">
        <v>0</v>
      </c>
    </row>
    <row r="5053" spans="1:24" x14ac:dyDescent="0.25">
      <c r="A5053" s="22">
        <v>43404</v>
      </c>
      <c r="B5053" s="1">
        <v>9.3000000000000007</v>
      </c>
      <c r="C5053" s="1">
        <v>4.5999999999999996</v>
      </c>
      <c r="D5053" s="1">
        <v>2.6</v>
      </c>
      <c r="E5053" s="5">
        <v>0</v>
      </c>
      <c r="F5053" s="1">
        <v>0</v>
      </c>
      <c r="G5053" s="1">
        <v>6.9</v>
      </c>
      <c r="H5053" s="1">
        <v>3.8</v>
      </c>
      <c r="I5053" s="1">
        <v>3</v>
      </c>
      <c r="J5053" s="1">
        <v>5.3</v>
      </c>
      <c r="K5053" s="1">
        <v>0</v>
      </c>
      <c r="L5053" s="1">
        <v>0</v>
      </c>
      <c r="M5053" s="1">
        <v>5.4</v>
      </c>
      <c r="O5053" s="1"/>
      <c r="P5053" s="1"/>
      <c r="Q5053" s="1">
        <v>13.1</v>
      </c>
      <c r="R5053" s="1">
        <v>16</v>
      </c>
      <c r="S5053" s="1"/>
      <c r="T5053" s="1"/>
      <c r="U5053" s="1"/>
      <c r="X5053" s="1">
        <v>0</v>
      </c>
    </row>
    <row r="5054" spans="1:24" x14ac:dyDescent="0.25">
      <c r="A5054" s="22">
        <v>43405</v>
      </c>
      <c r="B5054" s="1"/>
      <c r="C5054" s="1"/>
      <c r="D5054" s="1">
        <v>12</v>
      </c>
      <c r="E5054" s="1">
        <v>0</v>
      </c>
      <c r="F5054" s="1">
        <v>21.7</v>
      </c>
      <c r="G5054" s="1">
        <v>18.2</v>
      </c>
      <c r="H5054" s="1"/>
      <c r="I5054" s="1"/>
      <c r="J5054" s="1"/>
      <c r="K5054" s="1">
        <v>0</v>
      </c>
      <c r="L5054" s="1">
        <v>13.462</v>
      </c>
      <c r="M5054" s="1">
        <v>24.1</v>
      </c>
      <c r="O5054" s="1"/>
      <c r="P5054" s="1"/>
      <c r="Q5054" s="1">
        <v>3.6</v>
      </c>
      <c r="R5054" s="1"/>
      <c r="S5054" s="1"/>
      <c r="T5054" s="1"/>
      <c r="U5054" s="1"/>
      <c r="X5054" s="1">
        <v>9.4</v>
      </c>
    </row>
    <row r="5055" spans="1:24" x14ac:dyDescent="0.25">
      <c r="A5055" s="22">
        <v>43406</v>
      </c>
      <c r="B5055" s="1"/>
      <c r="C5055" s="1"/>
      <c r="D5055" s="1">
        <v>1.3</v>
      </c>
      <c r="E5055" s="1">
        <v>0</v>
      </c>
      <c r="F5055" s="1">
        <v>0</v>
      </c>
      <c r="G5055" s="1">
        <v>0.8</v>
      </c>
      <c r="H5055" s="1"/>
      <c r="I5055" s="1"/>
      <c r="J5055" s="1"/>
      <c r="K5055" s="1">
        <v>0</v>
      </c>
      <c r="L5055" s="1">
        <v>4.5719999999999992</v>
      </c>
      <c r="M5055" s="1">
        <v>0.5</v>
      </c>
      <c r="O5055" s="1"/>
      <c r="P5055" s="1"/>
      <c r="Q5055" s="1">
        <v>0.1</v>
      </c>
      <c r="R5055" s="1"/>
      <c r="S5055" s="1"/>
      <c r="T5055" s="1"/>
      <c r="U5055" s="1"/>
      <c r="X5055" s="1"/>
    </row>
    <row r="5056" spans="1:24" x14ac:dyDescent="0.25">
      <c r="A5056" s="22">
        <v>43407</v>
      </c>
      <c r="B5056" s="1"/>
      <c r="C5056" s="1"/>
      <c r="D5056" s="1">
        <v>8.4</v>
      </c>
      <c r="E5056" s="1">
        <v>90</v>
      </c>
      <c r="F5056" s="1">
        <v>4.4000000000000004</v>
      </c>
      <c r="G5056" s="1">
        <v>5.5</v>
      </c>
      <c r="H5056" s="1"/>
      <c r="I5056" s="1"/>
      <c r="J5056" s="1"/>
      <c r="K5056" s="1">
        <v>0</v>
      </c>
      <c r="L5056" s="1">
        <v>2.2859999999999996</v>
      </c>
      <c r="M5056" s="1">
        <v>6.2</v>
      </c>
      <c r="O5056" s="1"/>
      <c r="P5056" s="1"/>
      <c r="Q5056" s="1">
        <v>0</v>
      </c>
      <c r="R5056" s="1"/>
      <c r="S5056" s="1"/>
      <c r="T5056" s="1"/>
      <c r="U5056" s="1"/>
      <c r="X5056" s="1">
        <v>10.199999999999999</v>
      </c>
    </row>
    <row r="5057" spans="1:24" x14ac:dyDescent="0.25">
      <c r="A5057" s="22">
        <v>43408</v>
      </c>
      <c r="B5057" s="1"/>
      <c r="C5057" s="1"/>
      <c r="D5057" s="1">
        <v>0</v>
      </c>
      <c r="E5057" s="1">
        <v>0</v>
      </c>
      <c r="F5057" s="1">
        <v>0</v>
      </c>
      <c r="G5057" s="1">
        <v>0</v>
      </c>
      <c r="H5057" s="1"/>
      <c r="I5057" s="1"/>
      <c r="J5057" s="1"/>
      <c r="K5057" s="1">
        <v>31.5</v>
      </c>
      <c r="L5057" s="1">
        <v>0</v>
      </c>
      <c r="M5057" s="1">
        <v>0</v>
      </c>
      <c r="O5057" s="1"/>
      <c r="P5057" s="1"/>
      <c r="Q5057" s="1">
        <v>0</v>
      </c>
      <c r="R5057" s="1"/>
      <c r="S5057" s="1"/>
      <c r="T5057" s="1"/>
      <c r="U5057" s="1"/>
      <c r="X5057" s="1"/>
    </row>
    <row r="5058" spans="1:24" x14ac:dyDescent="0.25">
      <c r="A5058" s="22">
        <v>43409</v>
      </c>
      <c r="B5058" s="1"/>
      <c r="C5058" s="1"/>
      <c r="D5058" s="1">
        <v>19.3</v>
      </c>
      <c r="E5058" s="1">
        <v>0</v>
      </c>
      <c r="F5058" s="1">
        <v>0</v>
      </c>
      <c r="G5058" s="1">
        <v>0</v>
      </c>
      <c r="H5058" s="1"/>
      <c r="I5058" s="1"/>
      <c r="J5058" s="1"/>
      <c r="K5058" s="1">
        <v>0</v>
      </c>
      <c r="L5058" s="1">
        <v>0</v>
      </c>
      <c r="M5058" s="1">
        <v>0</v>
      </c>
      <c r="O5058" s="1"/>
      <c r="P5058" s="1"/>
      <c r="Q5058" s="1">
        <v>2.7</v>
      </c>
      <c r="R5058" s="1"/>
      <c r="S5058" s="1"/>
      <c r="T5058" s="1"/>
      <c r="U5058" s="1"/>
      <c r="X5058" s="1"/>
    </row>
    <row r="5059" spans="1:24" x14ac:dyDescent="0.25">
      <c r="A5059" s="22">
        <v>43410</v>
      </c>
      <c r="B5059" s="1"/>
      <c r="C5059" s="1"/>
      <c r="D5059" s="1">
        <v>4.2</v>
      </c>
      <c r="E5059" s="1">
        <v>0</v>
      </c>
      <c r="F5059" s="1">
        <v>7.8</v>
      </c>
      <c r="G5059" s="1">
        <v>7.1</v>
      </c>
      <c r="H5059" s="1"/>
      <c r="I5059" s="1"/>
      <c r="J5059" s="1"/>
      <c r="K5059" s="1">
        <v>0</v>
      </c>
      <c r="L5059" s="1">
        <v>3.302</v>
      </c>
      <c r="M5059" s="1">
        <v>11.5</v>
      </c>
      <c r="O5059" s="1"/>
      <c r="P5059" s="1"/>
      <c r="Q5059" s="1">
        <v>16.5</v>
      </c>
      <c r="R5059" s="1"/>
      <c r="S5059" s="1"/>
      <c r="T5059" s="1"/>
      <c r="U5059" s="1"/>
      <c r="X5059" s="1">
        <v>7.3</v>
      </c>
    </row>
    <row r="5060" spans="1:24" x14ac:dyDescent="0.25">
      <c r="A5060" s="22">
        <v>43411</v>
      </c>
      <c r="B5060" s="1"/>
      <c r="C5060" s="1"/>
      <c r="D5060" s="1">
        <v>40.700000000000003</v>
      </c>
      <c r="E5060" s="1">
        <v>0</v>
      </c>
      <c r="F5060" s="1">
        <v>0</v>
      </c>
      <c r="G5060" s="1">
        <v>21.1</v>
      </c>
      <c r="H5060" s="1"/>
      <c r="I5060" s="1"/>
      <c r="J5060" s="1"/>
      <c r="K5060" s="1">
        <v>0</v>
      </c>
      <c r="L5060" s="1">
        <v>11.43</v>
      </c>
      <c r="M5060" s="1">
        <v>5.4</v>
      </c>
      <c r="O5060" s="1"/>
      <c r="P5060" s="1"/>
      <c r="Q5060" s="1">
        <v>15.4</v>
      </c>
      <c r="R5060" s="1"/>
      <c r="S5060" s="1"/>
      <c r="T5060" s="1"/>
      <c r="U5060" s="1"/>
      <c r="X5060" s="1">
        <v>10.5</v>
      </c>
    </row>
    <row r="5061" spans="1:24" x14ac:dyDescent="0.25">
      <c r="A5061" s="22">
        <v>43412</v>
      </c>
      <c r="B5061" s="1"/>
      <c r="C5061" s="1"/>
      <c r="D5061" s="1">
        <v>107.8</v>
      </c>
      <c r="E5061" s="1">
        <v>0</v>
      </c>
      <c r="F5061" s="1">
        <v>15.2</v>
      </c>
      <c r="G5061" s="1">
        <v>51.6</v>
      </c>
      <c r="H5061" s="1"/>
      <c r="I5061" s="1"/>
      <c r="J5061" s="1"/>
      <c r="K5061" s="1">
        <v>144.4</v>
      </c>
      <c r="L5061" s="1">
        <v>20.827999999999996</v>
      </c>
      <c r="M5061" s="1">
        <v>31.2</v>
      </c>
      <c r="O5061" s="1"/>
      <c r="P5061" s="1"/>
      <c r="Q5061" s="1">
        <v>6.8</v>
      </c>
      <c r="R5061" s="1"/>
      <c r="S5061" s="1"/>
      <c r="T5061" s="1"/>
      <c r="U5061" s="1"/>
      <c r="X5061" s="1">
        <v>4.5999999999999996</v>
      </c>
    </row>
    <row r="5062" spans="1:24" x14ac:dyDescent="0.25">
      <c r="A5062" s="22">
        <v>43413</v>
      </c>
      <c r="B5062" s="1"/>
      <c r="C5062" s="1"/>
      <c r="D5062" s="1">
        <v>21.1</v>
      </c>
      <c r="E5062" s="1">
        <v>0</v>
      </c>
      <c r="F5062" s="1">
        <v>0</v>
      </c>
      <c r="G5062" s="1">
        <v>5.5</v>
      </c>
      <c r="H5062" s="1"/>
      <c r="I5062" s="1"/>
      <c r="J5062" s="1"/>
      <c r="K5062" s="1">
        <v>0</v>
      </c>
      <c r="L5062" s="1">
        <v>8.3819999999999997</v>
      </c>
      <c r="M5062" s="1">
        <v>4.9000000000000004</v>
      </c>
      <c r="O5062" s="1"/>
      <c r="P5062" s="1"/>
      <c r="Q5062" s="1">
        <v>77.2</v>
      </c>
      <c r="R5062" s="1"/>
      <c r="S5062" s="1"/>
      <c r="T5062" s="1"/>
      <c r="U5062" s="1"/>
      <c r="X5062" s="1">
        <v>2.1</v>
      </c>
    </row>
    <row r="5063" spans="1:24" x14ac:dyDescent="0.25">
      <c r="A5063" s="22">
        <v>43414</v>
      </c>
      <c r="B5063" s="1"/>
      <c r="C5063" s="1"/>
      <c r="D5063" s="1">
        <v>4.4000000000000004</v>
      </c>
      <c r="E5063" s="1">
        <v>0</v>
      </c>
      <c r="F5063" s="1">
        <v>46.8</v>
      </c>
      <c r="G5063" s="1">
        <v>6.7</v>
      </c>
      <c r="H5063" s="1"/>
      <c r="I5063" s="1"/>
      <c r="J5063" s="1"/>
      <c r="K5063" s="1">
        <v>0</v>
      </c>
      <c r="L5063" s="1">
        <v>28.701999999999995</v>
      </c>
      <c r="M5063" s="1">
        <v>26.1</v>
      </c>
      <c r="O5063" s="1"/>
      <c r="P5063" s="1"/>
      <c r="Q5063" s="1">
        <v>0.3</v>
      </c>
      <c r="R5063" s="1"/>
      <c r="S5063" s="1"/>
      <c r="T5063" s="1"/>
      <c r="U5063" s="1"/>
      <c r="X5063" s="1">
        <v>20.7</v>
      </c>
    </row>
    <row r="5064" spans="1:24" x14ac:dyDescent="0.25">
      <c r="A5064" s="22">
        <v>43415</v>
      </c>
      <c r="B5064" s="1"/>
      <c r="C5064" s="1"/>
      <c r="D5064" s="1">
        <v>2.9</v>
      </c>
      <c r="E5064" s="1">
        <v>0</v>
      </c>
      <c r="F5064" s="1">
        <v>0</v>
      </c>
      <c r="G5064" s="1">
        <v>3.8</v>
      </c>
      <c r="H5064" s="1"/>
      <c r="I5064" s="1"/>
      <c r="J5064" s="1"/>
      <c r="K5064" s="1">
        <v>0</v>
      </c>
      <c r="L5064" s="1">
        <v>12.191999999999998</v>
      </c>
      <c r="M5064" s="1">
        <v>0</v>
      </c>
      <c r="O5064" s="1"/>
      <c r="P5064" s="1"/>
      <c r="Q5064" s="1">
        <v>21.7</v>
      </c>
      <c r="R5064" s="1"/>
      <c r="S5064" s="1"/>
      <c r="T5064" s="1"/>
      <c r="U5064" s="1"/>
      <c r="X5064" s="1"/>
    </row>
    <row r="5065" spans="1:24" x14ac:dyDescent="0.25">
      <c r="A5065" s="22">
        <v>43416</v>
      </c>
      <c r="B5065" s="1"/>
      <c r="C5065" s="1"/>
      <c r="D5065" s="1">
        <v>26.5</v>
      </c>
      <c r="E5065" s="1">
        <v>85</v>
      </c>
      <c r="F5065" s="1">
        <v>54.6</v>
      </c>
      <c r="G5065" s="1">
        <v>33.5</v>
      </c>
      <c r="H5065" s="1"/>
      <c r="I5065" s="1"/>
      <c r="J5065" s="1"/>
      <c r="K5065" s="1">
        <v>0</v>
      </c>
      <c r="L5065" s="1">
        <v>59.69</v>
      </c>
      <c r="M5065" s="1">
        <v>79</v>
      </c>
      <c r="O5065" s="1"/>
      <c r="P5065" s="1"/>
      <c r="Q5065" s="1">
        <v>22.9</v>
      </c>
      <c r="R5065" s="1"/>
      <c r="S5065" s="1"/>
      <c r="T5065" s="1"/>
      <c r="U5065" s="1"/>
      <c r="X5065" s="1">
        <v>115.1</v>
      </c>
    </row>
    <row r="5066" spans="1:24" x14ac:dyDescent="0.25">
      <c r="A5066" s="22">
        <v>43417</v>
      </c>
      <c r="B5066" s="1"/>
      <c r="C5066" s="1"/>
      <c r="D5066" s="1">
        <v>62.9</v>
      </c>
      <c r="E5066" s="1">
        <v>0</v>
      </c>
      <c r="F5066" s="1">
        <v>32.299999999999997</v>
      </c>
      <c r="G5066" s="1">
        <v>33.4</v>
      </c>
      <c r="H5066" s="1"/>
      <c r="I5066" s="1"/>
      <c r="J5066" s="1"/>
      <c r="K5066" s="1">
        <v>60</v>
      </c>
      <c r="L5066" s="1">
        <v>12.446</v>
      </c>
      <c r="M5066" s="1">
        <v>32.5</v>
      </c>
      <c r="O5066" s="1"/>
      <c r="P5066" s="1"/>
      <c r="Q5066" s="1">
        <v>20.6</v>
      </c>
      <c r="R5066" s="1"/>
      <c r="S5066" s="1"/>
      <c r="T5066" s="1"/>
      <c r="U5066" s="1"/>
      <c r="X5066" s="1">
        <v>40.6</v>
      </c>
    </row>
    <row r="5067" spans="1:24" x14ac:dyDescent="0.25">
      <c r="A5067" s="22">
        <v>43418</v>
      </c>
      <c r="B5067" s="1"/>
      <c r="C5067" s="1"/>
      <c r="D5067" s="1">
        <v>66.400000000000006</v>
      </c>
      <c r="E5067" s="1">
        <v>0</v>
      </c>
      <c r="F5067" s="1">
        <v>34.6</v>
      </c>
      <c r="G5067" s="1">
        <v>84.9</v>
      </c>
      <c r="H5067" s="1"/>
      <c r="I5067" s="1"/>
      <c r="J5067" s="1"/>
      <c r="K5067" s="1">
        <v>0</v>
      </c>
      <c r="L5067" s="1">
        <v>9.1439999999999984</v>
      </c>
      <c r="M5067" s="1">
        <v>80.099999999999994</v>
      </c>
      <c r="O5067" s="1"/>
      <c r="P5067" s="1"/>
      <c r="Q5067" s="1">
        <v>4.8</v>
      </c>
      <c r="R5067" s="1"/>
      <c r="S5067" s="1"/>
      <c r="T5067" s="1"/>
      <c r="U5067" s="1"/>
      <c r="X5067" s="1">
        <v>25.6</v>
      </c>
    </row>
    <row r="5068" spans="1:24" x14ac:dyDescent="0.25">
      <c r="A5068" s="22">
        <v>43419</v>
      </c>
      <c r="B5068" s="1"/>
      <c r="C5068" s="1"/>
      <c r="D5068" s="1">
        <v>9.3000000000000007</v>
      </c>
      <c r="E5068" s="1">
        <v>13</v>
      </c>
      <c r="F5068" s="1">
        <v>11.1</v>
      </c>
      <c r="G5068" s="1">
        <v>9.4</v>
      </c>
      <c r="H5068" s="1"/>
      <c r="I5068" s="1"/>
      <c r="J5068" s="1"/>
      <c r="K5068" s="1">
        <v>60.3</v>
      </c>
      <c r="L5068" s="1">
        <v>2.2859999999999996</v>
      </c>
      <c r="M5068" s="1">
        <v>10.6</v>
      </c>
      <c r="O5068" s="1"/>
      <c r="P5068" s="1"/>
      <c r="Q5068" s="1">
        <v>0</v>
      </c>
      <c r="R5068" s="1"/>
      <c r="S5068" s="1"/>
      <c r="T5068" s="1"/>
      <c r="U5068" s="1"/>
      <c r="X5068" s="1">
        <v>5.5</v>
      </c>
    </row>
    <row r="5069" spans="1:24" x14ac:dyDescent="0.25">
      <c r="A5069" s="22">
        <v>43420</v>
      </c>
      <c r="B5069" s="1"/>
      <c r="C5069" s="1"/>
      <c r="D5069" s="1">
        <v>0</v>
      </c>
      <c r="E5069" s="1">
        <v>0</v>
      </c>
      <c r="F5069" s="1">
        <v>0</v>
      </c>
      <c r="G5069" s="1">
        <v>0</v>
      </c>
      <c r="H5069" s="1"/>
      <c r="I5069" s="1"/>
      <c r="J5069" s="1"/>
      <c r="K5069" s="1">
        <v>0</v>
      </c>
      <c r="L5069" s="1">
        <v>1.016</v>
      </c>
      <c r="M5069" s="1">
        <v>1.1000000000000001</v>
      </c>
      <c r="O5069" s="1"/>
      <c r="P5069" s="1"/>
      <c r="Q5069" s="1">
        <v>0</v>
      </c>
      <c r="R5069" s="1"/>
      <c r="S5069" s="1"/>
      <c r="T5069" s="1"/>
      <c r="U5069" s="1"/>
      <c r="X5069" s="1"/>
    </row>
    <row r="5070" spans="1:24" x14ac:dyDescent="0.25">
      <c r="A5070" s="22">
        <v>43421</v>
      </c>
      <c r="B5070" s="1"/>
      <c r="C5070" s="1"/>
      <c r="D5070" s="1">
        <v>2.1</v>
      </c>
      <c r="E5070" s="1">
        <v>0</v>
      </c>
      <c r="F5070" s="1">
        <v>0</v>
      </c>
      <c r="G5070" s="1">
        <v>0</v>
      </c>
      <c r="H5070" s="1"/>
      <c r="I5070" s="1"/>
      <c r="J5070" s="1"/>
      <c r="K5070" s="1">
        <v>0</v>
      </c>
      <c r="L5070" s="1">
        <v>0</v>
      </c>
      <c r="M5070" s="1">
        <v>0</v>
      </c>
      <c r="O5070" s="1"/>
      <c r="P5070" s="1"/>
      <c r="Q5070" s="1">
        <v>0.3</v>
      </c>
      <c r="R5070" s="1"/>
      <c r="S5070" s="1"/>
      <c r="T5070" s="1"/>
      <c r="U5070" s="1"/>
      <c r="X5070" s="1"/>
    </row>
    <row r="5071" spans="1:24" x14ac:dyDescent="0.25">
      <c r="A5071" s="22">
        <v>43422</v>
      </c>
      <c r="B5071" s="1"/>
      <c r="C5071" s="1"/>
      <c r="D5071" s="1">
        <v>0.8</v>
      </c>
      <c r="E5071" s="1">
        <v>0</v>
      </c>
      <c r="F5071" s="1">
        <v>0</v>
      </c>
      <c r="G5071" s="1">
        <v>2.7</v>
      </c>
      <c r="H5071" s="1"/>
      <c r="I5071" s="1"/>
      <c r="J5071" s="1"/>
      <c r="K5071" s="1">
        <v>5.4</v>
      </c>
      <c r="L5071" s="1">
        <v>3.302</v>
      </c>
      <c r="M5071" s="1">
        <v>0</v>
      </c>
      <c r="O5071" s="1"/>
      <c r="P5071" s="1"/>
      <c r="Q5071" s="1">
        <v>1.2</v>
      </c>
      <c r="R5071" s="1"/>
      <c r="S5071" s="1"/>
      <c r="T5071" s="1"/>
      <c r="U5071" s="1"/>
      <c r="X5071" s="1">
        <v>3.2</v>
      </c>
    </row>
    <row r="5072" spans="1:24" x14ac:dyDescent="0.25">
      <c r="A5072" s="22">
        <v>43423</v>
      </c>
      <c r="B5072" s="1"/>
      <c r="C5072" s="1"/>
      <c r="D5072" s="1">
        <v>4.5999999999999996</v>
      </c>
      <c r="E5072" s="1">
        <v>0</v>
      </c>
      <c r="F5072" s="1">
        <v>0</v>
      </c>
      <c r="G5072" s="1">
        <v>0.4</v>
      </c>
      <c r="H5072" s="1"/>
      <c r="I5072" s="1"/>
      <c r="J5072" s="1"/>
      <c r="K5072" s="1">
        <v>0</v>
      </c>
      <c r="L5072" s="1">
        <v>2.032</v>
      </c>
      <c r="M5072" s="1">
        <v>1.5</v>
      </c>
      <c r="O5072" s="1"/>
      <c r="P5072" s="1"/>
      <c r="Q5072" s="1">
        <v>6.8</v>
      </c>
      <c r="R5072" s="1"/>
      <c r="S5072" s="1"/>
      <c r="T5072" s="1"/>
      <c r="U5072" s="1"/>
      <c r="X5072" s="1"/>
    </row>
    <row r="5073" spans="1:24" x14ac:dyDescent="0.25">
      <c r="A5073" s="22">
        <v>43424</v>
      </c>
      <c r="B5073" s="1"/>
      <c r="C5073" s="1"/>
      <c r="D5073" s="1">
        <v>22.7</v>
      </c>
      <c r="E5073" s="1">
        <v>17</v>
      </c>
      <c r="F5073" s="1">
        <v>0</v>
      </c>
      <c r="G5073" s="1">
        <v>17.8</v>
      </c>
      <c r="H5073" s="1"/>
      <c r="I5073" s="1"/>
      <c r="J5073" s="1"/>
      <c r="K5073" s="1">
        <v>0</v>
      </c>
      <c r="L5073" s="1">
        <v>13.462</v>
      </c>
      <c r="M5073" s="1">
        <v>12.7</v>
      </c>
      <c r="O5073" s="1"/>
      <c r="P5073" s="1"/>
      <c r="Q5073" s="1">
        <v>6.4</v>
      </c>
      <c r="R5073" s="1"/>
      <c r="S5073" s="1"/>
      <c r="T5073" s="1"/>
      <c r="U5073" s="1"/>
      <c r="X5073" s="1">
        <v>5.0999999999999996</v>
      </c>
    </row>
    <row r="5074" spans="1:24" x14ac:dyDescent="0.25">
      <c r="A5074" s="22">
        <v>43425</v>
      </c>
      <c r="B5074" s="1"/>
      <c r="C5074" s="1"/>
      <c r="D5074" s="1">
        <v>3.1</v>
      </c>
      <c r="E5074" s="1">
        <v>0</v>
      </c>
      <c r="F5074" s="1">
        <v>7</v>
      </c>
      <c r="G5074" s="1">
        <v>5.0999999999999996</v>
      </c>
      <c r="H5074" s="1"/>
      <c r="I5074" s="1"/>
      <c r="J5074" s="1"/>
      <c r="K5074" s="1">
        <v>17.899999999999999</v>
      </c>
      <c r="L5074" s="1">
        <v>0</v>
      </c>
      <c r="M5074" s="1">
        <v>4.7</v>
      </c>
      <c r="O5074" s="1"/>
      <c r="P5074" s="1"/>
      <c r="Q5074" s="1">
        <v>2.2000000000000002</v>
      </c>
      <c r="R5074" s="1"/>
      <c r="S5074" s="1"/>
      <c r="T5074" s="1"/>
      <c r="U5074" s="1"/>
      <c r="X5074" s="1"/>
    </row>
    <row r="5075" spans="1:24" x14ac:dyDescent="0.25">
      <c r="A5075" s="22">
        <v>43426</v>
      </c>
      <c r="B5075" s="1"/>
      <c r="C5075" s="1"/>
      <c r="D5075" s="1">
        <v>6.4</v>
      </c>
      <c r="E5075" s="1">
        <v>0</v>
      </c>
      <c r="F5075" s="1">
        <v>0</v>
      </c>
      <c r="G5075" s="1">
        <v>8.3000000000000007</v>
      </c>
      <c r="H5075" s="1"/>
      <c r="I5075" s="1"/>
      <c r="J5075" s="1"/>
      <c r="K5075" s="1">
        <v>13</v>
      </c>
      <c r="L5075" s="1">
        <v>1.27</v>
      </c>
      <c r="M5075" s="1">
        <v>4.0999999999999996</v>
      </c>
      <c r="O5075" s="1"/>
      <c r="P5075" s="1"/>
      <c r="Q5075" s="1">
        <v>4.4000000000000004</v>
      </c>
      <c r="R5075" s="1"/>
      <c r="S5075" s="1"/>
      <c r="T5075" s="1"/>
      <c r="U5075" s="1"/>
      <c r="X5075" s="1"/>
    </row>
    <row r="5076" spans="1:24" x14ac:dyDescent="0.25">
      <c r="A5076" s="22">
        <v>43427</v>
      </c>
      <c r="B5076" s="1"/>
      <c r="C5076" s="1"/>
      <c r="D5076" s="1">
        <v>28.1</v>
      </c>
      <c r="E5076" s="1">
        <v>0</v>
      </c>
      <c r="F5076" s="1">
        <v>6.1</v>
      </c>
      <c r="G5076" s="1">
        <v>8.8000000000000007</v>
      </c>
      <c r="H5076" s="1"/>
      <c r="I5076" s="1"/>
      <c r="J5076" s="1"/>
      <c r="K5076" s="1">
        <v>0</v>
      </c>
      <c r="L5076" s="1">
        <v>3.0479999999999996</v>
      </c>
      <c r="M5076" s="1">
        <v>7.8</v>
      </c>
      <c r="O5076" s="1"/>
      <c r="P5076" s="1"/>
      <c r="Q5076" s="1">
        <v>0</v>
      </c>
      <c r="R5076" s="1"/>
      <c r="S5076" s="1"/>
      <c r="T5076" s="1"/>
      <c r="U5076" s="1"/>
      <c r="X5076" s="1"/>
    </row>
    <row r="5077" spans="1:24" x14ac:dyDescent="0.25">
      <c r="A5077" s="22">
        <v>43428</v>
      </c>
      <c r="B5077" s="1"/>
      <c r="C5077" s="1"/>
      <c r="D5077" s="1">
        <v>4.2</v>
      </c>
      <c r="E5077" s="1">
        <v>0</v>
      </c>
      <c r="F5077" s="1">
        <v>4.0999999999999996</v>
      </c>
      <c r="G5077" s="1">
        <v>0</v>
      </c>
      <c r="H5077" s="1"/>
      <c r="I5077" s="1"/>
      <c r="J5077" s="1"/>
      <c r="K5077" s="1">
        <v>0</v>
      </c>
      <c r="L5077" s="1">
        <v>0.50800000000000001</v>
      </c>
      <c r="M5077" s="1">
        <v>0</v>
      </c>
      <c r="O5077" s="1"/>
      <c r="P5077" s="1"/>
      <c r="Q5077" s="1">
        <v>6.6</v>
      </c>
      <c r="R5077" s="1"/>
      <c r="S5077" s="1"/>
      <c r="T5077" s="1"/>
      <c r="U5077" s="1"/>
      <c r="X5077" s="1"/>
    </row>
    <row r="5078" spans="1:24" x14ac:dyDescent="0.25">
      <c r="A5078" s="22">
        <v>43429</v>
      </c>
      <c r="B5078" s="1"/>
      <c r="C5078" s="1"/>
      <c r="D5078" s="1">
        <v>10.7</v>
      </c>
      <c r="E5078" s="1">
        <v>19</v>
      </c>
      <c r="F5078" s="1">
        <v>0</v>
      </c>
      <c r="G5078" s="1">
        <v>5.7</v>
      </c>
      <c r="H5078" s="1"/>
      <c r="I5078" s="1"/>
      <c r="J5078" s="1"/>
      <c r="K5078" s="1">
        <v>22.1</v>
      </c>
      <c r="L5078" s="1">
        <v>5.3339999999999996</v>
      </c>
      <c r="M5078" s="1">
        <v>0</v>
      </c>
      <c r="O5078" s="1"/>
      <c r="P5078" s="1"/>
      <c r="Q5078" s="1">
        <v>0</v>
      </c>
      <c r="R5078" s="1"/>
      <c r="S5078" s="1"/>
      <c r="T5078" s="1"/>
      <c r="U5078" s="1"/>
      <c r="X5078" s="1"/>
    </row>
    <row r="5079" spans="1:24" x14ac:dyDescent="0.25">
      <c r="A5079" s="22">
        <v>43430</v>
      </c>
      <c r="B5079" s="1"/>
      <c r="C5079" s="1"/>
      <c r="D5079" s="1">
        <v>1.4</v>
      </c>
      <c r="E5079" s="1">
        <v>0</v>
      </c>
      <c r="F5079" s="1">
        <v>0</v>
      </c>
      <c r="G5079" s="1">
        <v>1.2</v>
      </c>
      <c r="H5079" s="1"/>
      <c r="I5079" s="1"/>
      <c r="J5079" s="1"/>
      <c r="K5079" s="1">
        <v>0</v>
      </c>
      <c r="L5079" s="1">
        <v>1.27</v>
      </c>
      <c r="M5079" s="1">
        <v>6.3</v>
      </c>
      <c r="O5079" s="1"/>
      <c r="P5079" s="1"/>
      <c r="Q5079" s="1">
        <v>5.3</v>
      </c>
      <c r="R5079" s="1"/>
      <c r="S5079" s="1"/>
      <c r="T5079" s="1"/>
      <c r="U5079" s="1"/>
      <c r="X5079" s="1"/>
    </row>
    <row r="5080" spans="1:24" x14ac:dyDescent="0.25">
      <c r="A5080" s="22">
        <v>43431</v>
      </c>
      <c r="B5080" s="1"/>
      <c r="C5080" s="1"/>
      <c r="D5080" s="1">
        <v>0.6</v>
      </c>
      <c r="E5080" s="1">
        <v>0</v>
      </c>
      <c r="F5080" s="1">
        <v>2.4</v>
      </c>
      <c r="G5080" s="1">
        <v>2.2000000000000002</v>
      </c>
      <c r="H5080" s="1"/>
      <c r="I5080" s="1"/>
      <c r="J5080" s="1"/>
      <c r="K5080" s="1">
        <v>0</v>
      </c>
      <c r="L5080" s="1">
        <v>1.016</v>
      </c>
      <c r="M5080" s="1">
        <v>4.7</v>
      </c>
      <c r="O5080" s="1"/>
      <c r="P5080" s="1"/>
      <c r="Q5080" s="1">
        <v>1.9</v>
      </c>
      <c r="R5080" s="1"/>
      <c r="S5080" s="1"/>
      <c r="T5080" s="1"/>
      <c r="U5080" s="1"/>
      <c r="X5080" s="1">
        <v>10.199999999999999</v>
      </c>
    </row>
    <row r="5081" spans="1:24" x14ac:dyDescent="0.25">
      <c r="A5081" s="22">
        <v>43432</v>
      </c>
      <c r="B5081" s="1"/>
      <c r="C5081" s="1"/>
      <c r="D5081" s="1">
        <v>1</v>
      </c>
      <c r="E5081" s="1">
        <v>0</v>
      </c>
      <c r="F5081" s="1">
        <v>2.2000000000000002</v>
      </c>
      <c r="G5081" s="1">
        <v>1.5</v>
      </c>
      <c r="H5081" s="1"/>
      <c r="I5081" s="1"/>
      <c r="J5081" s="1"/>
      <c r="K5081" s="1">
        <v>3.2</v>
      </c>
      <c r="L5081" s="1">
        <v>1.5239999999999998</v>
      </c>
      <c r="M5081" s="1">
        <v>0</v>
      </c>
      <c r="O5081" s="1"/>
      <c r="P5081" s="1"/>
      <c r="Q5081" s="1">
        <v>1.3</v>
      </c>
      <c r="R5081" s="1"/>
      <c r="S5081" s="1"/>
      <c r="T5081" s="1"/>
      <c r="U5081" s="1"/>
      <c r="X5081" s="1"/>
    </row>
    <row r="5082" spans="1:24" x14ac:dyDescent="0.25">
      <c r="A5082" s="22">
        <v>43433</v>
      </c>
      <c r="B5082" s="1"/>
      <c r="C5082" s="1"/>
      <c r="D5082" s="1">
        <v>1.4</v>
      </c>
      <c r="E5082" s="1">
        <v>0</v>
      </c>
      <c r="F5082" s="1">
        <v>0</v>
      </c>
      <c r="G5082" s="1">
        <v>0</v>
      </c>
      <c r="H5082" s="1"/>
      <c r="I5082" s="1"/>
      <c r="J5082" s="1"/>
      <c r="K5082" s="1">
        <v>3.7</v>
      </c>
      <c r="L5082" s="1">
        <v>2.2859999999999996</v>
      </c>
      <c r="M5082" s="1">
        <v>0</v>
      </c>
      <c r="O5082" s="1"/>
      <c r="P5082" s="1"/>
      <c r="Q5082" s="1">
        <v>19.7</v>
      </c>
      <c r="R5082" s="1"/>
      <c r="S5082" s="1"/>
      <c r="T5082" s="1"/>
      <c r="U5082" s="1"/>
      <c r="X5082" s="1">
        <v>10</v>
      </c>
    </row>
    <row r="5083" spans="1:24" x14ac:dyDescent="0.25">
      <c r="A5083" s="22">
        <v>43434</v>
      </c>
      <c r="B5083" s="1"/>
      <c r="C5083" s="1"/>
      <c r="D5083" s="1">
        <v>14</v>
      </c>
      <c r="E5083" s="5"/>
      <c r="F5083" s="1">
        <v>4.9000000000000004</v>
      </c>
      <c r="G5083" s="1">
        <v>11.2</v>
      </c>
      <c r="H5083" s="1"/>
      <c r="I5083" s="1"/>
      <c r="J5083" s="1"/>
      <c r="K5083" s="1">
        <v>15.7</v>
      </c>
      <c r="L5083" s="1">
        <v>11.683999999999999</v>
      </c>
      <c r="M5083" s="1">
        <v>15.7</v>
      </c>
      <c r="O5083" s="1"/>
      <c r="P5083" s="1"/>
      <c r="Q5083" s="1">
        <v>9.6999999999999993</v>
      </c>
      <c r="R5083" s="1"/>
      <c r="S5083" s="1"/>
      <c r="T5083" s="1"/>
      <c r="U5083" s="1"/>
      <c r="X5083" s="1"/>
    </row>
    <row r="5084" spans="1:24" x14ac:dyDescent="0.25">
      <c r="A5084" s="22">
        <v>43435</v>
      </c>
      <c r="B5084" s="1">
        <v>0</v>
      </c>
      <c r="C5084" s="1">
        <v>7.3</v>
      </c>
      <c r="D5084" s="1">
        <v>10.1</v>
      </c>
      <c r="E5084" s="1"/>
      <c r="F5084" s="1">
        <v>0</v>
      </c>
      <c r="G5084" s="1">
        <v>4.5999999999999996</v>
      </c>
      <c r="H5084" s="1">
        <v>4.4000000000000004</v>
      </c>
      <c r="I5084" s="1">
        <v>0</v>
      </c>
      <c r="J5084" s="1">
        <v>4</v>
      </c>
      <c r="K5084" s="1">
        <v>0</v>
      </c>
      <c r="L5084" s="1">
        <v>4.0640000000000001</v>
      </c>
      <c r="M5084" s="1">
        <v>6.4</v>
      </c>
      <c r="O5084" s="1"/>
      <c r="P5084" s="1">
        <v>2.9</v>
      </c>
      <c r="Q5084" s="1">
        <v>5.7</v>
      </c>
      <c r="R5084" s="1">
        <v>0</v>
      </c>
      <c r="U5084" s="1">
        <v>4</v>
      </c>
      <c r="X5084" s="1">
        <v>5.3</v>
      </c>
    </row>
    <row r="5085" spans="1:24" x14ac:dyDescent="0.25">
      <c r="A5085" s="22">
        <v>43436</v>
      </c>
      <c r="B5085" s="1">
        <v>0</v>
      </c>
      <c r="C5085" s="1">
        <v>2.1</v>
      </c>
      <c r="D5085" s="1">
        <v>11</v>
      </c>
      <c r="E5085" s="1"/>
      <c r="F5085" s="1">
        <v>7.9</v>
      </c>
      <c r="G5085" s="1">
        <v>13.6</v>
      </c>
      <c r="H5085" s="1">
        <v>0</v>
      </c>
      <c r="I5085" s="1">
        <v>18</v>
      </c>
      <c r="J5085" s="1">
        <v>4.5</v>
      </c>
      <c r="K5085" s="1">
        <v>0</v>
      </c>
      <c r="L5085" s="1">
        <v>5.5880000000000001</v>
      </c>
      <c r="M5085" s="1">
        <v>12.6</v>
      </c>
      <c r="O5085" s="1"/>
      <c r="P5085" s="1">
        <v>4.2</v>
      </c>
      <c r="Q5085" s="1">
        <v>3.5</v>
      </c>
      <c r="R5085" s="1">
        <v>0</v>
      </c>
      <c r="U5085" s="1">
        <v>5</v>
      </c>
      <c r="X5085" s="1">
        <v>0</v>
      </c>
    </row>
    <row r="5086" spans="1:24" x14ac:dyDescent="0.25">
      <c r="A5086" s="22">
        <v>43437</v>
      </c>
      <c r="B5086" s="1">
        <v>13.1</v>
      </c>
      <c r="C5086" s="1">
        <v>2.2999999999999998</v>
      </c>
      <c r="D5086" s="1">
        <v>4.0999999999999996</v>
      </c>
      <c r="E5086" s="1"/>
      <c r="F5086" s="1">
        <v>0</v>
      </c>
      <c r="G5086" s="1">
        <v>2.1</v>
      </c>
      <c r="H5086" s="1">
        <v>0</v>
      </c>
      <c r="I5086" s="1">
        <v>5.5</v>
      </c>
      <c r="J5086" s="1">
        <v>1.3</v>
      </c>
      <c r="K5086" s="1">
        <v>8.6999999999999993</v>
      </c>
      <c r="L5086" s="1">
        <v>6.0959999999999992</v>
      </c>
      <c r="M5086" s="1">
        <v>0</v>
      </c>
      <c r="O5086" s="1"/>
      <c r="P5086" s="1">
        <v>0</v>
      </c>
      <c r="Q5086" s="1">
        <v>2.9</v>
      </c>
      <c r="R5086" s="1">
        <v>0</v>
      </c>
      <c r="U5086" s="1">
        <v>7</v>
      </c>
      <c r="X5086" s="1">
        <v>0</v>
      </c>
    </row>
    <row r="5087" spans="1:24" x14ac:dyDescent="0.25">
      <c r="A5087" s="22">
        <v>43438</v>
      </c>
      <c r="B5087" s="1">
        <v>2.4</v>
      </c>
      <c r="C5087" s="1">
        <v>4</v>
      </c>
      <c r="D5087" s="1">
        <v>2.8</v>
      </c>
      <c r="E5087" s="1"/>
      <c r="F5087" s="1">
        <v>0</v>
      </c>
      <c r="G5087" s="1">
        <v>3.7</v>
      </c>
      <c r="H5087" s="1">
        <v>7.8</v>
      </c>
      <c r="I5087" s="1">
        <v>0</v>
      </c>
      <c r="J5087" s="1">
        <v>5.0999999999999996</v>
      </c>
      <c r="K5087" s="1">
        <v>2.4</v>
      </c>
      <c r="L5087" s="1">
        <v>7.1120000000000001</v>
      </c>
      <c r="M5087" s="1">
        <v>1.3</v>
      </c>
      <c r="O5087" s="1"/>
      <c r="P5087" s="1">
        <v>1.5</v>
      </c>
      <c r="Q5087" s="1">
        <v>6.5</v>
      </c>
      <c r="R5087" s="1">
        <v>2.1</v>
      </c>
      <c r="U5087" s="1">
        <v>2</v>
      </c>
      <c r="X5087" s="1">
        <v>0</v>
      </c>
    </row>
    <row r="5088" spans="1:24" x14ac:dyDescent="0.25">
      <c r="A5088" s="22">
        <v>43439</v>
      </c>
      <c r="B5088" s="1">
        <v>18.8</v>
      </c>
      <c r="C5088" s="1">
        <v>11.4</v>
      </c>
      <c r="D5088" s="1">
        <v>17.2</v>
      </c>
      <c r="E5088" s="1"/>
      <c r="F5088" s="1">
        <v>0</v>
      </c>
      <c r="G5088" s="1">
        <v>2.2999999999999998</v>
      </c>
      <c r="H5088" s="1">
        <v>0.9</v>
      </c>
      <c r="I5088" s="1">
        <v>0</v>
      </c>
      <c r="J5088" s="1">
        <v>2.8</v>
      </c>
      <c r="K5088" s="1">
        <v>2.1</v>
      </c>
      <c r="L5088" s="1">
        <v>3.556</v>
      </c>
      <c r="M5088" s="1">
        <v>6.1</v>
      </c>
      <c r="O5088" s="1"/>
      <c r="P5088" s="1">
        <v>10.199999999999999</v>
      </c>
      <c r="Q5088" s="1">
        <v>0.4</v>
      </c>
      <c r="R5088" s="1">
        <v>9.1999999999999993</v>
      </c>
      <c r="U5088" s="1">
        <v>3</v>
      </c>
      <c r="X5088" s="1">
        <v>5.3</v>
      </c>
    </row>
    <row r="5089" spans="1:24" x14ac:dyDescent="0.25">
      <c r="A5089" s="22">
        <v>43440</v>
      </c>
      <c r="B5089" s="1">
        <v>0</v>
      </c>
      <c r="C5089" s="1"/>
      <c r="D5089" s="1">
        <v>2.4</v>
      </c>
      <c r="E5089" s="1"/>
      <c r="F5089" s="1">
        <v>0</v>
      </c>
      <c r="G5089" s="1">
        <v>0</v>
      </c>
      <c r="H5089" s="1">
        <v>0</v>
      </c>
      <c r="I5089" s="1">
        <v>3</v>
      </c>
      <c r="J5089" s="1">
        <v>2.4</v>
      </c>
      <c r="K5089" s="1">
        <v>2.6</v>
      </c>
      <c r="L5089" s="1">
        <v>2.2859999999999996</v>
      </c>
      <c r="M5089" s="1">
        <v>1.3</v>
      </c>
      <c r="O5089" s="1"/>
      <c r="P5089" s="1">
        <v>1.7</v>
      </c>
      <c r="Q5089" s="1">
        <v>6.1</v>
      </c>
      <c r="R5089" s="1">
        <v>0</v>
      </c>
      <c r="U5089" s="1">
        <v>0</v>
      </c>
      <c r="X5089" s="1">
        <v>0</v>
      </c>
    </row>
    <row r="5090" spans="1:24" x14ac:dyDescent="0.25">
      <c r="A5090" s="22">
        <v>43441</v>
      </c>
      <c r="B5090" s="1">
        <v>0</v>
      </c>
      <c r="C5090" s="1">
        <v>7.7</v>
      </c>
      <c r="D5090" s="1">
        <v>11.5</v>
      </c>
      <c r="E5090" s="1"/>
      <c r="F5090" s="1">
        <v>0</v>
      </c>
      <c r="G5090" s="1">
        <v>2.5</v>
      </c>
      <c r="H5090" s="1">
        <v>1.6</v>
      </c>
      <c r="I5090" s="1">
        <v>0</v>
      </c>
      <c r="J5090" s="1">
        <v>2.4</v>
      </c>
      <c r="K5090" s="1">
        <v>3.2</v>
      </c>
      <c r="L5090" s="1">
        <v>0</v>
      </c>
      <c r="M5090" s="1">
        <v>2.8</v>
      </c>
      <c r="O5090" s="1"/>
      <c r="P5090" s="1">
        <v>2.6</v>
      </c>
      <c r="Q5090" s="1">
        <v>0.7</v>
      </c>
      <c r="R5090" s="1">
        <v>3.2</v>
      </c>
      <c r="U5090" s="1">
        <v>5</v>
      </c>
      <c r="X5090" s="1">
        <v>5.2</v>
      </c>
    </row>
    <row r="5091" spans="1:24" x14ac:dyDescent="0.25">
      <c r="A5091" s="22">
        <v>43442</v>
      </c>
      <c r="B5091" s="1">
        <v>0</v>
      </c>
      <c r="C5091" s="1"/>
      <c r="D5091" s="1">
        <v>4.2</v>
      </c>
      <c r="E5091" s="1"/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O5091" s="1"/>
      <c r="P5091" s="1">
        <v>0</v>
      </c>
      <c r="Q5091" s="1">
        <v>1.6</v>
      </c>
      <c r="R5091" s="1">
        <v>0</v>
      </c>
      <c r="U5091" s="1">
        <v>0</v>
      </c>
      <c r="X5091" s="1">
        <v>0</v>
      </c>
    </row>
    <row r="5092" spans="1:24" x14ac:dyDescent="0.25">
      <c r="A5092" s="22">
        <v>43443</v>
      </c>
      <c r="B5092" s="1">
        <v>0</v>
      </c>
      <c r="C5092" s="1">
        <v>11.9</v>
      </c>
      <c r="D5092" s="1">
        <v>6.5</v>
      </c>
      <c r="E5092" s="1"/>
      <c r="F5092" s="1">
        <v>0</v>
      </c>
      <c r="G5092" s="1">
        <v>6.2</v>
      </c>
      <c r="H5092" s="1">
        <v>3</v>
      </c>
      <c r="I5092" s="1">
        <v>0</v>
      </c>
      <c r="J5092" s="1">
        <v>9.1</v>
      </c>
      <c r="K5092" s="1">
        <v>0</v>
      </c>
      <c r="L5092" s="1">
        <v>2.032</v>
      </c>
      <c r="M5092" s="1">
        <v>2.4</v>
      </c>
      <c r="O5092" s="1"/>
      <c r="P5092" s="1">
        <v>1.8</v>
      </c>
      <c r="Q5092" s="1">
        <v>3.9</v>
      </c>
      <c r="R5092" s="1">
        <v>0</v>
      </c>
      <c r="U5092" s="1">
        <v>0</v>
      </c>
      <c r="X5092" s="1">
        <v>4.5999999999999996</v>
      </c>
    </row>
    <row r="5093" spans="1:24" x14ac:dyDescent="0.25">
      <c r="A5093" s="22">
        <v>43444</v>
      </c>
      <c r="B5093" s="1">
        <v>0</v>
      </c>
      <c r="C5093" s="1">
        <v>1.6</v>
      </c>
      <c r="D5093" s="1">
        <v>2</v>
      </c>
      <c r="E5093" s="1"/>
      <c r="F5093" s="1">
        <v>0</v>
      </c>
      <c r="G5093" s="1">
        <v>0</v>
      </c>
      <c r="H5093" s="1">
        <v>0</v>
      </c>
      <c r="I5093" s="1">
        <v>18</v>
      </c>
      <c r="J5093" s="1">
        <v>0</v>
      </c>
      <c r="K5093" s="1">
        <v>0</v>
      </c>
      <c r="L5093" s="1">
        <v>3.0479999999999996</v>
      </c>
      <c r="M5093" s="1">
        <v>0</v>
      </c>
      <c r="O5093" s="1"/>
      <c r="P5093" s="1">
        <v>2.2999999999999998</v>
      </c>
      <c r="Q5093" s="1">
        <v>0.3</v>
      </c>
      <c r="R5093" s="1">
        <v>9.6</v>
      </c>
      <c r="U5093" s="1">
        <v>5</v>
      </c>
      <c r="X5093" s="1">
        <v>0</v>
      </c>
    </row>
    <row r="5094" spans="1:24" x14ac:dyDescent="0.25">
      <c r="A5094" s="22">
        <v>43445</v>
      </c>
      <c r="B5094" s="1">
        <v>0</v>
      </c>
      <c r="C5094" s="1"/>
      <c r="D5094" s="1">
        <v>3.1</v>
      </c>
      <c r="E5094" s="1"/>
      <c r="F5094" s="1">
        <v>0</v>
      </c>
      <c r="G5094" s="1">
        <v>1.1000000000000001</v>
      </c>
      <c r="H5094" s="1">
        <v>0</v>
      </c>
      <c r="I5094" s="1">
        <v>34.4</v>
      </c>
      <c r="J5094" s="1">
        <v>0.7</v>
      </c>
      <c r="K5094" s="1">
        <v>4.0999999999999996</v>
      </c>
      <c r="L5094" s="1">
        <v>3.302</v>
      </c>
      <c r="M5094" s="1">
        <v>0.7</v>
      </c>
      <c r="O5094" s="1"/>
      <c r="P5094" s="1">
        <v>1.3</v>
      </c>
      <c r="Q5094" s="1">
        <v>1.4</v>
      </c>
      <c r="R5094" s="1">
        <v>0.1</v>
      </c>
      <c r="U5094" s="1">
        <v>5</v>
      </c>
      <c r="X5094" s="1">
        <v>11.3</v>
      </c>
    </row>
    <row r="5095" spans="1:24" x14ac:dyDescent="0.25">
      <c r="A5095" s="22">
        <v>43446</v>
      </c>
      <c r="B5095" s="1">
        <v>0</v>
      </c>
      <c r="C5095" s="1">
        <v>2.8</v>
      </c>
      <c r="D5095" s="1">
        <v>4</v>
      </c>
      <c r="E5095" s="1"/>
      <c r="F5095" s="1">
        <v>0</v>
      </c>
      <c r="G5095" s="1">
        <v>4.9000000000000004</v>
      </c>
      <c r="H5095" s="1">
        <v>2.1</v>
      </c>
      <c r="I5095" s="1">
        <v>64.599999999999994</v>
      </c>
      <c r="J5095" s="1">
        <v>6.9</v>
      </c>
      <c r="K5095" s="1">
        <v>1.3</v>
      </c>
      <c r="L5095" s="1">
        <v>4.3180000000000005</v>
      </c>
      <c r="M5095" s="1">
        <v>4.5</v>
      </c>
      <c r="O5095" s="1"/>
      <c r="P5095" s="1">
        <v>3.1</v>
      </c>
      <c r="Q5095" s="1">
        <v>0</v>
      </c>
      <c r="R5095" s="1">
        <v>0.7</v>
      </c>
      <c r="U5095" s="1">
        <v>0</v>
      </c>
      <c r="X5095" s="1">
        <v>0</v>
      </c>
    </row>
    <row r="5096" spans="1:24" x14ac:dyDescent="0.25">
      <c r="A5096" s="22">
        <v>43447</v>
      </c>
      <c r="B5096" s="1">
        <v>0</v>
      </c>
      <c r="C5096" s="1"/>
      <c r="D5096" s="1">
        <v>0</v>
      </c>
      <c r="E5096" s="1"/>
      <c r="F5096" s="1">
        <v>0</v>
      </c>
      <c r="G5096" s="1">
        <v>1</v>
      </c>
      <c r="H5096" s="1">
        <v>0</v>
      </c>
      <c r="I5096" s="1">
        <v>0</v>
      </c>
      <c r="J5096" s="1">
        <v>2.2000000000000002</v>
      </c>
      <c r="K5096" s="1">
        <v>4.0999999999999996</v>
      </c>
      <c r="L5096" s="1">
        <v>0</v>
      </c>
      <c r="M5096" s="1">
        <v>0.3</v>
      </c>
      <c r="O5096" s="1"/>
      <c r="P5096" s="1">
        <v>0</v>
      </c>
      <c r="Q5096" s="1">
        <v>0.8</v>
      </c>
      <c r="R5096" s="1">
        <v>0.3</v>
      </c>
      <c r="U5096" s="1">
        <v>0</v>
      </c>
      <c r="X5096" s="1">
        <v>1.3</v>
      </c>
    </row>
    <row r="5097" spans="1:24" x14ac:dyDescent="0.25">
      <c r="A5097" s="22">
        <v>43448</v>
      </c>
      <c r="B5097" s="1">
        <v>0</v>
      </c>
      <c r="C5097" s="1"/>
      <c r="D5097" s="1">
        <v>4.5</v>
      </c>
      <c r="E5097" s="1"/>
      <c r="F5097" s="1">
        <v>0</v>
      </c>
      <c r="G5097" s="1">
        <v>5.2</v>
      </c>
      <c r="H5097" s="1">
        <v>2.7</v>
      </c>
      <c r="I5097" s="1">
        <v>0</v>
      </c>
      <c r="J5097" s="1">
        <v>6.8</v>
      </c>
      <c r="K5097" s="1">
        <v>8.9</v>
      </c>
      <c r="L5097" s="1">
        <v>4.5719999999999992</v>
      </c>
      <c r="M5097" s="1">
        <v>2.9</v>
      </c>
      <c r="O5097" s="1"/>
      <c r="P5097" s="1">
        <v>2.9</v>
      </c>
      <c r="Q5097" s="1">
        <v>3.9</v>
      </c>
      <c r="R5097" s="1">
        <v>1.5</v>
      </c>
      <c r="U5097" s="1">
        <v>9</v>
      </c>
      <c r="X5097" s="1">
        <v>15.7</v>
      </c>
    </row>
    <row r="5098" spans="1:24" x14ac:dyDescent="0.25">
      <c r="A5098" s="22">
        <v>43449</v>
      </c>
      <c r="B5098" s="1">
        <v>0</v>
      </c>
      <c r="C5098" s="1">
        <v>15.3</v>
      </c>
      <c r="D5098" s="1">
        <v>6.2</v>
      </c>
      <c r="E5098" s="1"/>
      <c r="F5098" s="1">
        <v>0</v>
      </c>
      <c r="G5098" s="1">
        <v>1.1000000000000001</v>
      </c>
      <c r="H5098" s="1">
        <v>0</v>
      </c>
      <c r="I5098" s="1">
        <v>0</v>
      </c>
      <c r="J5098" s="1">
        <v>6.1</v>
      </c>
      <c r="K5098" s="1">
        <v>0</v>
      </c>
      <c r="L5098" s="1">
        <v>0</v>
      </c>
      <c r="M5098" s="1">
        <v>0</v>
      </c>
      <c r="O5098" s="1"/>
      <c r="P5098" s="1">
        <v>0</v>
      </c>
      <c r="Q5098" s="1">
        <v>14</v>
      </c>
      <c r="R5098" s="1">
        <v>0.7</v>
      </c>
      <c r="U5098" s="1">
        <v>3</v>
      </c>
      <c r="X5098" s="1">
        <v>0.7</v>
      </c>
    </row>
    <row r="5099" spans="1:24" x14ac:dyDescent="0.25">
      <c r="A5099" s="22">
        <v>43450</v>
      </c>
      <c r="B5099" s="1">
        <v>0</v>
      </c>
      <c r="C5099" s="1">
        <v>14.1</v>
      </c>
      <c r="D5099" s="1">
        <v>44</v>
      </c>
      <c r="E5099" s="1"/>
      <c r="F5099" s="1">
        <v>22.7</v>
      </c>
      <c r="G5099" s="1">
        <v>26.5</v>
      </c>
      <c r="H5099" s="1">
        <v>14.3</v>
      </c>
      <c r="I5099" s="1">
        <v>2.6</v>
      </c>
      <c r="J5099" s="1">
        <v>35.1</v>
      </c>
      <c r="K5099" s="1">
        <v>17.100000000000001</v>
      </c>
      <c r="L5099" s="1">
        <v>8.636000000000001</v>
      </c>
      <c r="M5099" s="1">
        <v>22.7</v>
      </c>
      <c r="O5099" s="1"/>
      <c r="P5099" s="1">
        <v>5.0999999999999996</v>
      </c>
      <c r="Q5099" s="1">
        <v>1.8</v>
      </c>
      <c r="R5099" s="1">
        <v>8.3000000000000007</v>
      </c>
      <c r="U5099" s="1">
        <v>28</v>
      </c>
      <c r="X5099" s="1">
        <v>2.7</v>
      </c>
    </row>
    <row r="5100" spans="1:24" x14ac:dyDescent="0.25">
      <c r="A5100" s="22">
        <v>43451</v>
      </c>
      <c r="B5100" s="1">
        <v>65</v>
      </c>
      <c r="C5100" s="1">
        <v>18.3</v>
      </c>
      <c r="D5100" s="1">
        <v>12.2</v>
      </c>
      <c r="E5100" s="1"/>
      <c r="F5100" s="1">
        <v>3.5</v>
      </c>
      <c r="G5100" s="1">
        <v>4.4000000000000004</v>
      </c>
      <c r="H5100" s="1">
        <v>2.1</v>
      </c>
      <c r="I5100" s="1">
        <v>0</v>
      </c>
      <c r="J5100" s="1">
        <v>11.7</v>
      </c>
      <c r="K5100" s="1">
        <v>2.8</v>
      </c>
      <c r="L5100" s="1">
        <v>1.778</v>
      </c>
      <c r="M5100" s="1">
        <v>4.8</v>
      </c>
      <c r="O5100" s="1"/>
      <c r="P5100" s="1">
        <v>1</v>
      </c>
      <c r="Q5100" s="1">
        <v>1.5</v>
      </c>
      <c r="R5100" s="1">
        <v>1.8</v>
      </c>
      <c r="U5100" s="1">
        <v>18</v>
      </c>
      <c r="X5100" s="1">
        <v>3.2</v>
      </c>
    </row>
    <row r="5101" spans="1:24" x14ac:dyDescent="0.25">
      <c r="A5101" s="22">
        <v>43452</v>
      </c>
      <c r="B5101" s="1">
        <v>0</v>
      </c>
      <c r="C5101" s="1"/>
      <c r="D5101" s="1">
        <v>4</v>
      </c>
      <c r="E5101" s="1"/>
      <c r="F5101" s="1">
        <v>0</v>
      </c>
      <c r="G5101" s="1">
        <v>2.9</v>
      </c>
      <c r="H5101" s="1">
        <v>2.2000000000000002</v>
      </c>
      <c r="I5101" s="1">
        <v>0</v>
      </c>
      <c r="J5101" s="1">
        <v>2.2999999999999998</v>
      </c>
      <c r="K5101" s="1">
        <v>0</v>
      </c>
      <c r="L5101" s="1">
        <v>0</v>
      </c>
      <c r="M5101" s="1">
        <v>2.2000000000000002</v>
      </c>
      <c r="O5101" s="1"/>
      <c r="P5101" s="1">
        <v>0.5</v>
      </c>
      <c r="Q5101" s="1">
        <v>45.3</v>
      </c>
      <c r="R5101" s="1">
        <v>0.5</v>
      </c>
      <c r="U5101" s="1">
        <v>6</v>
      </c>
      <c r="X5101" s="1">
        <v>0</v>
      </c>
    </row>
    <row r="5102" spans="1:24" x14ac:dyDescent="0.25">
      <c r="A5102" s="22">
        <v>43453</v>
      </c>
      <c r="B5102" s="1">
        <v>0</v>
      </c>
      <c r="C5102" s="1">
        <v>21.6</v>
      </c>
      <c r="D5102" s="1">
        <v>27</v>
      </c>
      <c r="E5102" s="1"/>
      <c r="F5102" s="1">
        <v>31.3</v>
      </c>
      <c r="G5102" s="1">
        <v>22.8</v>
      </c>
      <c r="H5102" s="1">
        <v>28.3</v>
      </c>
      <c r="I5102" s="1">
        <v>0</v>
      </c>
      <c r="J5102" s="1">
        <v>21.3</v>
      </c>
      <c r="K5102" s="1">
        <v>0</v>
      </c>
      <c r="L5102" s="1">
        <v>33.019999999999996</v>
      </c>
      <c r="M5102" s="1">
        <v>27.7</v>
      </c>
      <c r="O5102" s="1"/>
      <c r="P5102" s="1">
        <v>23.3</v>
      </c>
      <c r="Q5102" s="1">
        <v>4.2</v>
      </c>
      <c r="R5102" s="1">
        <v>38.200000000000003</v>
      </c>
      <c r="U5102" s="1">
        <v>33</v>
      </c>
      <c r="X5102" s="1">
        <v>0</v>
      </c>
    </row>
    <row r="5103" spans="1:24" x14ac:dyDescent="0.25">
      <c r="A5103" s="22">
        <v>43454</v>
      </c>
      <c r="B5103" s="1">
        <v>0</v>
      </c>
      <c r="C5103" s="1">
        <v>6.7</v>
      </c>
      <c r="D5103" s="1">
        <v>14.3</v>
      </c>
      <c r="E5103" s="1"/>
      <c r="F5103" s="1">
        <v>6.5</v>
      </c>
      <c r="G5103" s="1">
        <v>7.1</v>
      </c>
      <c r="H5103" s="1">
        <v>5.3</v>
      </c>
      <c r="I5103" s="1">
        <v>0</v>
      </c>
      <c r="J5103" s="1">
        <v>12.4</v>
      </c>
      <c r="K5103" s="1">
        <v>0</v>
      </c>
      <c r="L5103" s="1">
        <v>3.0479999999999996</v>
      </c>
      <c r="M5103" s="1">
        <v>0</v>
      </c>
      <c r="O5103" s="1"/>
      <c r="P5103" s="1"/>
      <c r="Q5103" s="1">
        <v>1.7</v>
      </c>
      <c r="R5103" s="1">
        <v>2.6</v>
      </c>
      <c r="U5103" s="1">
        <v>5</v>
      </c>
      <c r="X5103" s="1">
        <v>0</v>
      </c>
    </row>
    <row r="5104" spans="1:24" x14ac:dyDescent="0.25">
      <c r="A5104" s="22">
        <v>43455</v>
      </c>
      <c r="B5104" s="1">
        <v>49</v>
      </c>
      <c r="C5104" s="1">
        <v>0.6</v>
      </c>
      <c r="D5104" s="1">
        <v>4.2</v>
      </c>
      <c r="E5104" s="1"/>
      <c r="F5104" s="1">
        <v>0</v>
      </c>
      <c r="G5104" s="1">
        <v>6.2</v>
      </c>
      <c r="H5104" s="1">
        <v>0</v>
      </c>
      <c r="I5104" s="1">
        <v>0</v>
      </c>
      <c r="J5104" s="1">
        <v>1.9</v>
      </c>
      <c r="K5104" s="1">
        <v>37.1</v>
      </c>
      <c r="L5104" s="1">
        <v>1.016</v>
      </c>
      <c r="M5104" s="1">
        <v>8.4</v>
      </c>
      <c r="O5104" s="1"/>
      <c r="P5104" s="1"/>
      <c r="Q5104" s="1">
        <v>1.1000000000000001</v>
      </c>
      <c r="R5104" s="1">
        <v>0.5</v>
      </c>
      <c r="U5104" s="1">
        <v>5</v>
      </c>
      <c r="X5104" s="1">
        <v>0</v>
      </c>
    </row>
    <row r="5105" spans="1:24" x14ac:dyDescent="0.25">
      <c r="A5105" s="22">
        <v>43456</v>
      </c>
      <c r="B5105" s="1">
        <v>9</v>
      </c>
      <c r="C5105" s="1">
        <v>5.5</v>
      </c>
      <c r="D5105" s="1">
        <v>7.8</v>
      </c>
      <c r="E5105" s="1"/>
      <c r="F5105" s="1">
        <v>5.5</v>
      </c>
      <c r="G5105" s="1">
        <v>5.7</v>
      </c>
      <c r="H5105" s="1">
        <v>12.1</v>
      </c>
      <c r="I5105" s="1">
        <v>0</v>
      </c>
      <c r="J5105" s="1">
        <v>10.4</v>
      </c>
      <c r="K5105" s="1">
        <v>15.1</v>
      </c>
      <c r="L5105" s="1">
        <v>3.0479999999999996</v>
      </c>
      <c r="M5105" s="1">
        <v>19</v>
      </c>
      <c r="O5105" s="1"/>
      <c r="P5105" s="1"/>
      <c r="Q5105" s="1">
        <v>17.399999999999999</v>
      </c>
      <c r="R5105" s="1">
        <v>0.4</v>
      </c>
      <c r="U5105" s="1">
        <v>15</v>
      </c>
      <c r="X5105" s="1">
        <v>0</v>
      </c>
    </row>
    <row r="5106" spans="1:24" x14ac:dyDescent="0.25">
      <c r="A5106" s="22">
        <v>43457</v>
      </c>
      <c r="B5106" s="1">
        <v>0</v>
      </c>
      <c r="C5106" s="1">
        <v>13.2</v>
      </c>
      <c r="D5106" s="1">
        <v>14</v>
      </c>
      <c r="E5106" s="1"/>
      <c r="F5106" s="1">
        <v>8.4</v>
      </c>
      <c r="G5106" s="1">
        <v>12.1</v>
      </c>
      <c r="H5106" s="1">
        <v>0</v>
      </c>
      <c r="I5106" s="1">
        <v>0</v>
      </c>
      <c r="J5106" s="1">
        <v>13.4</v>
      </c>
      <c r="K5106" s="1">
        <v>0</v>
      </c>
      <c r="L5106" s="1">
        <v>16.001999999999999</v>
      </c>
      <c r="M5106" s="1">
        <v>0</v>
      </c>
      <c r="O5106" s="1"/>
      <c r="P5106" s="1"/>
      <c r="Q5106" s="1">
        <v>3.1</v>
      </c>
      <c r="R5106" s="1">
        <v>18.3</v>
      </c>
      <c r="U5106" s="1">
        <v>10</v>
      </c>
      <c r="X5106" s="1">
        <v>0</v>
      </c>
    </row>
    <row r="5107" spans="1:24" x14ac:dyDescent="0.25">
      <c r="A5107" s="22">
        <v>43458</v>
      </c>
      <c r="B5107" s="1">
        <v>0</v>
      </c>
      <c r="C5107" s="1">
        <v>1.7</v>
      </c>
      <c r="D5107" s="1">
        <v>7.2</v>
      </c>
      <c r="E5107" s="1"/>
      <c r="F5107" s="1">
        <v>0</v>
      </c>
      <c r="G5107" s="1">
        <v>3.6</v>
      </c>
      <c r="H5107" s="1">
        <v>1.5</v>
      </c>
      <c r="I5107" s="1">
        <v>0</v>
      </c>
      <c r="J5107" s="1">
        <v>4.7</v>
      </c>
      <c r="K5107" s="1">
        <v>0</v>
      </c>
      <c r="L5107" s="1">
        <v>0</v>
      </c>
      <c r="M5107" s="1">
        <v>14.8</v>
      </c>
      <c r="O5107" s="1"/>
      <c r="P5107" s="1"/>
      <c r="Q5107" s="1">
        <v>0.3</v>
      </c>
      <c r="R5107" s="1">
        <v>3.4</v>
      </c>
      <c r="U5107" s="1">
        <v>0</v>
      </c>
      <c r="X5107" s="1">
        <v>25.2</v>
      </c>
    </row>
    <row r="5108" spans="1:24" x14ac:dyDescent="0.25">
      <c r="A5108" s="22">
        <v>43459</v>
      </c>
      <c r="B5108" s="1">
        <v>17</v>
      </c>
      <c r="C5108" s="1"/>
      <c r="D5108" s="1">
        <v>0</v>
      </c>
      <c r="E5108" s="1"/>
      <c r="F5108" s="1">
        <v>0</v>
      </c>
      <c r="G5108" s="1">
        <v>1.2</v>
      </c>
      <c r="H5108" s="1">
        <v>0</v>
      </c>
      <c r="I5108" s="1">
        <v>20.100000000000001</v>
      </c>
      <c r="J5108" s="1">
        <v>1.2</v>
      </c>
      <c r="K5108" s="1">
        <v>0</v>
      </c>
      <c r="L5108" s="1">
        <v>0</v>
      </c>
      <c r="M5108" s="1">
        <v>0</v>
      </c>
      <c r="O5108" s="1"/>
      <c r="P5108" s="1"/>
      <c r="Q5108" s="1">
        <v>12.9</v>
      </c>
      <c r="R5108" s="1">
        <v>0.4</v>
      </c>
      <c r="U5108" s="1">
        <v>3</v>
      </c>
      <c r="X5108" s="1">
        <v>30.5</v>
      </c>
    </row>
    <row r="5109" spans="1:24" x14ac:dyDescent="0.25">
      <c r="A5109" s="22">
        <v>43460</v>
      </c>
      <c r="B5109" s="1">
        <v>0</v>
      </c>
      <c r="C5109" s="1">
        <v>2.2000000000000002</v>
      </c>
      <c r="D5109" s="1">
        <v>10</v>
      </c>
      <c r="E5109" s="1"/>
      <c r="F5109" s="1">
        <v>11.1</v>
      </c>
      <c r="G5109" s="1">
        <v>14.9</v>
      </c>
      <c r="H5109" s="1">
        <v>7.6</v>
      </c>
      <c r="I5109" s="1">
        <v>1.5</v>
      </c>
      <c r="J5109" s="1">
        <v>0</v>
      </c>
      <c r="K5109" s="1">
        <v>26.2</v>
      </c>
      <c r="L5109" s="1">
        <v>14.731999999999998</v>
      </c>
      <c r="M5109" s="1">
        <v>0</v>
      </c>
      <c r="O5109" s="1"/>
      <c r="P5109" s="1"/>
      <c r="Q5109" s="1">
        <v>6.5</v>
      </c>
      <c r="R5109" s="1">
        <v>13.6</v>
      </c>
      <c r="U5109" s="1">
        <v>17</v>
      </c>
      <c r="X5109" s="1">
        <v>10.3</v>
      </c>
    </row>
    <row r="5110" spans="1:24" x14ac:dyDescent="0.25">
      <c r="A5110" s="22">
        <v>43461</v>
      </c>
      <c r="B5110" s="1">
        <v>0</v>
      </c>
      <c r="C5110" s="1">
        <v>11.6</v>
      </c>
      <c r="D5110" s="1">
        <v>12.1</v>
      </c>
      <c r="E5110" s="1"/>
      <c r="F5110" s="1">
        <v>0</v>
      </c>
      <c r="G5110" s="1">
        <v>14.6</v>
      </c>
      <c r="H5110" s="1">
        <v>9</v>
      </c>
      <c r="I5110" s="1">
        <v>0</v>
      </c>
      <c r="J5110" s="1">
        <v>26.4</v>
      </c>
      <c r="K5110" s="1">
        <v>0</v>
      </c>
      <c r="L5110" s="1">
        <v>3.556</v>
      </c>
      <c r="M5110" s="1">
        <v>23.5</v>
      </c>
      <c r="O5110" s="1"/>
      <c r="P5110" s="1"/>
      <c r="Q5110" s="1">
        <v>0</v>
      </c>
      <c r="R5110" s="1">
        <v>6.6</v>
      </c>
      <c r="U5110" s="1">
        <v>12</v>
      </c>
      <c r="X5110" s="1">
        <v>0</v>
      </c>
    </row>
    <row r="5111" spans="1:24" x14ac:dyDescent="0.25">
      <c r="A5111" s="22">
        <v>43462</v>
      </c>
      <c r="B5111" s="1">
        <v>0</v>
      </c>
      <c r="C5111" s="1"/>
      <c r="D5111" s="1">
        <v>0</v>
      </c>
      <c r="E5111" s="1"/>
      <c r="F5111" s="1">
        <v>0</v>
      </c>
      <c r="G5111" s="1">
        <v>0</v>
      </c>
      <c r="H5111" s="1">
        <v>0</v>
      </c>
      <c r="I5111" s="1">
        <v>6</v>
      </c>
      <c r="J5111" s="1">
        <v>0</v>
      </c>
      <c r="K5111" s="1">
        <v>0</v>
      </c>
      <c r="L5111" s="1">
        <v>0</v>
      </c>
      <c r="M5111" s="1">
        <v>0</v>
      </c>
      <c r="O5111" s="1"/>
      <c r="P5111" s="1"/>
      <c r="Q5111" s="1">
        <v>0</v>
      </c>
      <c r="R5111" s="1">
        <v>0.2</v>
      </c>
      <c r="U5111" s="1">
        <v>0</v>
      </c>
      <c r="X5111" s="1">
        <v>0</v>
      </c>
    </row>
    <row r="5112" spans="1:24" x14ac:dyDescent="0.25">
      <c r="A5112" s="22">
        <v>43463</v>
      </c>
      <c r="B5112" s="1">
        <v>0</v>
      </c>
      <c r="C5112" s="1"/>
      <c r="D5112" s="1">
        <v>3.4</v>
      </c>
      <c r="E5112" s="1"/>
      <c r="F5112" s="1">
        <v>0</v>
      </c>
      <c r="G5112" s="1">
        <v>5.7</v>
      </c>
      <c r="H5112" s="1">
        <v>0</v>
      </c>
      <c r="I5112" s="1">
        <v>0</v>
      </c>
      <c r="J5112" s="1">
        <v>0</v>
      </c>
      <c r="K5112" s="1">
        <v>0</v>
      </c>
      <c r="L5112" s="1">
        <v>1.5239999999999998</v>
      </c>
      <c r="M5112" s="1">
        <v>1.4</v>
      </c>
      <c r="O5112" s="1"/>
      <c r="P5112" s="1"/>
      <c r="Q5112" s="1">
        <v>3.9</v>
      </c>
      <c r="R5112" s="1">
        <v>0</v>
      </c>
      <c r="U5112" s="1">
        <v>1</v>
      </c>
      <c r="X5112" s="1">
        <v>0</v>
      </c>
    </row>
    <row r="5113" spans="1:24" x14ac:dyDescent="0.25">
      <c r="A5113" s="22">
        <v>43464</v>
      </c>
      <c r="B5113" s="1">
        <v>0</v>
      </c>
      <c r="C5113" s="1">
        <v>7</v>
      </c>
      <c r="D5113" s="1">
        <v>5.4</v>
      </c>
      <c r="E5113" s="5"/>
      <c r="F5113" s="1">
        <v>0</v>
      </c>
      <c r="G5113" s="1">
        <v>0</v>
      </c>
      <c r="H5113" s="1">
        <v>0</v>
      </c>
      <c r="I5113" s="1">
        <v>0</v>
      </c>
      <c r="J5113" s="1">
        <v>4.8</v>
      </c>
      <c r="K5113" s="1">
        <v>0</v>
      </c>
      <c r="L5113" s="1">
        <v>0</v>
      </c>
      <c r="M5113" s="1">
        <v>1.2</v>
      </c>
      <c r="O5113" s="1"/>
      <c r="P5113" s="1"/>
      <c r="Q5113" s="1">
        <v>0</v>
      </c>
      <c r="R5113" s="1">
        <v>1.6</v>
      </c>
      <c r="U5113" s="1">
        <v>4</v>
      </c>
      <c r="X5113" s="1">
        <v>0</v>
      </c>
    </row>
    <row r="5114" spans="1:24" x14ac:dyDescent="0.25">
      <c r="A5114" s="22">
        <v>43465</v>
      </c>
      <c r="B5114" s="1">
        <v>27</v>
      </c>
      <c r="C5114" s="1">
        <v>8.8000000000000007</v>
      </c>
      <c r="D5114" s="1">
        <v>0</v>
      </c>
      <c r="E5114" s="5"/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O5114" s="1"/>
      <c r="P5114" s="1">
        <v>35.299999999999997</v>
      </c>
      <c r="Q5114" s="1">
        <v>0</v>
      </c>
      <c r="R5114" s="1">
        <v>0.6</v>
      </c>
      <c r="U5114" s="1">
        <v>0</v>
      </c>
      <c r="X5114" s="1">
        <v>0</v>
      </c>
    </row>
    <row r="5115" spans="1:24" x14ac:dyDescent="0.25">
      <c r="A5115" s="22">
        <v>43466</v>
      </c>
      <c r="B5115" s="1">
        <v>0</v>
      </c>
      <c r="C5115" s="1">
        <v>0.5</v>
      </c>
      <c r="D5115" s="1">
        <v>3.6</v>
      </c>
      <c r="F5115" s="1">
        <v>0</v>
      </c>
      <c r="G5115" s="1">
        <v>0</v>
      </c>
      <c r="H5115" s="1">
        <v>0</v>
      </c>
      <c r="I5115" s="1">
        <v>2</v>
      </c>
      <c r="J5115" s="1">
        <v>0.8</v>
      </c>
      <c r="K5115" s="1">
        <v>0</v>
      </c>
      <c r="L5115" s="1">
        <v>0</v>
      </c>
      <c r="M5115" s="1">
        <v>0</v>
      </c>
      <c r="O5115" s="1">
        <v>12.7</v>
      </c>
      <c r="Q5115" s="1">
        <v>0.8</v>
      </c>
      <c r="R5115" s="1">
        <v>0.7</v>
      </c>
      <c r="U5115" s="1">
        <v>2</v>
      </c>
      <c r="X5115" s="1">
        <v>0</v>
      </c>
    </row>
    <row r="5116" spans="1:24" x14ac:dyDescent="0.25">
      <c r="A5116" s="22">
        <v>43467</v>
      </c>
      <c r="B5116" s="1">
        <v>2.4</v>
      </c>
      <c r="C5116" s="1">
        <v>0</v>
      </c>
      <c r="D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0.254</v>
      </c>
      <c r="M5116" s="1">
        <v>0</v>
      </c>
      <c r="O5116" s="1">
        <v>0</v>
      </c>
      <c r="Q5116" s="1">
        <v>0</v>
      </c>
      <c r="R5116" s="1">
        <v>0</v>
      </c>
      <c r="U5116" s="1">
        <v>0</v>
      </c>
      <c r="X5116" s="1">
        <v>0</v>
      </c>
    </row>
    <row r="5117" spans="1:24" x14ac:dyDescent="0.25">
      <c r="A5117" s="22">
        <v>43468</v>
      </c>
      <c r="B5117" s="1">
        <v>0</v>
      </c>
      <c r="C5117" s="1">
        <v>0</v>
      </c>
      <c r="D5117" s="1">
        <v>2.1</v>
      </c>
      <c r="F5117" s="1">
        <v>8</v>
      </c>
      <c r="G5117" s="1">
        <v>2.4</v>
      </c>
      <c r="H5117" s="1">
        <v>0</v>
      </c>
      <c r="I5117" s="1">
        <v>0</v>
      </c>
      <c r="J5117" s="1">
        <v>0.5</v>
      </c>
      <c r="K5117" s="1">
        <v>0</v>
      </c>
      <c r="L5117" s="1">
        <v>0.7619999999999999</v>
      </c>
      <c r="M5117" s="1">
        <v>0</v>
      </c>
      <c r="O5117" s="1">
        <v>0</v>
      </c>
      <c r="Q5117" s="1">
        <v>0</v>
      </c>
      <c r="R5117" s="1">
        <v>0</v>
      </c>
      <c r="U5117" s="1">
        <v>1</v>
      </c>
      <c r="X5117" s="1">
        <v>0</v>
      </c>
    </row>
    <row r="5118" spans="1:24" x14ac:dyDescent="0.25">
      <c r="A5118" s="22">
        <v>43469</v>
      </c>
      <c r="B5118" s="1">
        <v>0</v>
      </c>
      <c r="C5118" s="1">
        <v>0.5</v>
      </c>
      <c r="D5118" s="1">
        <v>0</v>
      </c>
      <c r="F5118" s="1">
        <v>0</v>
      </c>
      <c r="G5118" s="1">
        <v>0</v>
      </c>
      <c r="H5118" s="1">
        <v>0</v>
      </c>
      <c r="I5118" s="1">
        <v>0.3</v>
      </c>
      <c r="J5118" s="1">
        <v>0</v>
      </c>
      <c r="K5118" s="1">
        <v>0</v>
      </c>
      <c r="L5118" s="1">
        <v>0</v>
      </c>
      <c r="M5118" s="1">
        <v>1.3</v>
      </c>
      <c r="O5118" s="1">
        <v>63.5</v>
      </c>
      <c r="Q5118" s="1">
        <v>0</v>
      </c>
      <c r="R5118" s="1">
        <v>0</v>
      </c>
      <c r="U5118" s="1">
        <v>0</v>
      </c>
      <c r="X5118" s="1">
        <v>0</v>
      </c>
    </row>
    <row r="5119" spans="1:24" x14ac:dyDescent="0.25">
      <c r="A5119" s="22">
        <v>43470</v>
      </c>
      <c r="B5119" s="1">
        <v>0</v>
      </c>
      <c r="C5119" s="1">
        <v>0</v>
      </c>
      <c r="D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11.4</v>
      </c>
      <c r="L5119" s="1">
        <v>0</v>
      </c>
      <c r="M5119" s="1">
        <v>0</v>
      </c>
      <c r="O5119" s="1">
        <v>0</v>
      </c>
      <c r="Q5119" s="1">
        <v>0</v>
      </c>
      <c r="R5119" s="1">
        <v>0</v>
      </c>
      <c r="U5119" s="1">
        <v>0</v>
      </c>
      <c r="X5119" s="1">
        <v>5.3</v>
      </c>
    </row>
    <row r="5120" spans="1:24" x14ac:dyDescent="0.25">
      <c r="A5120" s="22">
        <v>43471</v>
      </c>
      <c r="B5120" s="1">
        <v>0</v>
      </c>
      <c r="C5120" s="1">
        <v>0</v>
      </c>
      <c r="D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1.27</v>
      </c>
      <c r="M5120" s="1">
        <v>0</v>
      </c>
      <c r="O5120" s="1">
        <v>0</v>
      </c>
      <c r="Q5120" s="1">
        <v>0</v>
      </c>
      <c r="R5120" s="1">
        <v>0</v>
      </c>
      <c r="U5120" s="1">
        <v>2</v>
      </c>
      <c r="X5120" s="1">
        <v>0</v>
      </c>
    </row>
    <row r="5121" spans="1:24" x14ac:dyDescent="0.25">
      <c r="A5121" s="22">
        <v>43472</v>
      </c>
      <c r="B5121" s="1">
        <v>5.5</v>
      </c>
      <c r="C5121" s="1">
        <v>0</v>
      </c>
      <c r="D5121" s="1">
        <v>0</v>
      </c>
      <c r="F5121" s="1">
        <v>0</v>
      </c>
      <c r="G5121" s="1">
        <v>0.8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0.3</v>
      </c>
      <c r="O5121" s="1">
        <v>0</v>
      </c>
      <c r="Q5121" s="1">
        <v>0</v>
      </c>
      <c r="R5121" s="1">
        <v>0</v>
      </c>
      <c r="U5121" s="1">
        <v>0</v>
      </c>
      <c r="X5121" s="1">
        <v>0</v>
      </c>
    </row>
    <row r="5122" spans="1:24" x14ac:dyDescent="0.25">
      <c r="A5122" s="22">
        <v>43473</v>
      </c>
      <c r="B5122" s="1">
        <v>0</v>
      </c>
      <c r="C5122" s="1">
        <v>0.4</v>
      </c>
      <c r="D5122" s="1">
        <v>4.3</v>
      </c>
      <c r="F5122" s="1">
        <v>0</v>
      </c>
      <c r="G5122" s="1">
        <v>3.2</v>
      </c>
      <c r="H5122" s="1">
        <v>0</v>
      </c>
      <c r="I5122" s="1">
        <v>0</v>
      </c>
      <c r="J5122" s="1">
        <v>0.5</v>
      </c>
      <c r="K5122" s="1">
        <v>0</v>
      </c>
      <c r="L5122" s="1">
        <v>1.016</v>
      </c>
      <c r="M5122" s="1">
        <v>0.4</v>
      </c>
      <c r="O5122" s="1">
        <v>10.16</v>
      </c>
      <c r="Q5122" s="1">
        <v>0.7</v>
      </c>
      <c r="R5122" s="1">
        <v>9.1999999999999993</v>
      </c>
      <c r="U5122" s="1">
        <v>0</v>
      </c>
      <c r="X5122" s="1">
        <v>0</v>
      </c>
    </row>
    <row r="5123" spans="1:24" x14ac:dyDescent="0.25">
      <c r="A5123" s="22">
        <v>43474</v>
      </c>
      <c r="B5123" s="1">
        <v>0</v>
      </c>
      <c r="C5123" s="1">
        <v>0</v>
      </c>
      <c r="D5123" s="1">
        <v>0</v>
      </c>
      <c r="F5123" s="1">
        <v>0</v>
      </c>
      <c r="G5123" s="1">
        <v>7.5</v>
      </c>
      <c r="H5123" s="1">
        <v>4.0999999999999996</v>
      </c>
      <c r="I5123" s="1">
        <v>6.8</v>
      </c>
      <c r="J5123" s="1">
        <v>0</v>
      </c>
      <c r="K5123" s="1">
        <v>0</v>
      </c>
      <c r="L5123" s="1">
        <v>0</v>
      </c>
      <c r="M5123" s="1">
        <v>6.3</v>
      </c>
      <c r="O5123" s="1">
        <v>0</v>
      </c>
      <c r="Q5123" s="1">
        <v>19.399999999999999</v>
      </c>
      <c r="R5123" s="1">
        <v>0.2</v>
      </c>
      <c r="U5123" s="1">
        <v>5</v>
      </c>
      <c r="X5123" s="1">
        <v>0</v>
      </c>
    </row>
    <row r="5124" spans="1:24" x14ac:dyDescent="0.25">
      <c r="A5124" s="22">
        <v>43475</v>
      </c>
      <c r="B5124" s="1">
        <v>10.3</v>
      </c>
      <c r="C5124" s="1">
        <v>0</v>
      </c>
      <c r="D5124" s="1">
        <v>0</v>
      </c>
      <c r="F5124" s="1">
        <v>4.3</v>
      </c>
      <c r="G5124" s="1">
        <v>10.9</v>
      </c>
      <c r="H5124" s="1">
        <v>0</v>
      </c>
      <c r="I5124" s="1">
        <v>7.8</v>
      </c>
      <c r="J5124" s="1">
        <v>0.5</v>
      </c>
      <c r="K5124" s="1">
        <v>0</v>
      </c>
      <c r="L5124" s="1">
        <v>0</v>
      </c>
      <c r="M5124" s="1">
        <v>4.8</v>
      </c>
      <c r="O5124" s="1">
        <v>0</v>
      </c>
      <c r="Q5124" s="1">
        <v>0</v>
      </c>
      <c r="R5124" s="1">
        <v>0</v>
      </c>
      <c r="U5124" s="1">
        <v>5</v>
      </c>
      <c r="X5124" s="1">
        <v>5.2</v>
      </c>
    </row>
    <row r="5125" spans="1:24" x14ac:dyDescent="0.25">
      <c r="A5125" s="22">
        <v>43476</v>
      </c>
      <c r="B5125" s="1">
        <v>0</v>
      </c>
      <c r="C5125" s="1">
        <v>0</v>
      </c>
      <c r="D5125" s="1">
        <v>0</v>
      </c>
      <c r="F5125" s="1">
        <v>0</v>
      </c>
      <c r="G5125" s="1">
        <v>0.7</v>
      </c>
      <c r="H5125" s="1">
        <v>0</v>
      </c>
      <c r="I5125" s="1">
        <v>0</v>
      </c>
      <c r="J5125" s="1">
        <v>0.5</v>
      </c>
      <c r="K5125" s="1">
        <v>0</v>
      </c>
      <c r="L5125" s="1">
        <v>0</v>
      </c>
      <c r="M5125" s="1">
        <v>0</v>
      </c>
      <c r="O5125" s="1">
        <v>0</v>
      </c>
      <c r="Q5125" s="1">
        <v>0.2</v>
      </c>
      <c r="R5125" s="1">
        <v>0</v>
      </c>
      <c r="U5125" s="1">
        <v>0</v>
      </c>
      <c r="X5125" s="1">
        <v>0</v>
      </c>
    </row>
    <row r="5126" spans="1:24" x14ac:dyDescent="0.25">
      <c r="A5126" s="22">
        <v>43477</v>
      </c>
      <c r="B5126" s="1">
        <v>0</v>
      </c>
      <c r="C5126" s="1">
        <v>0</v>
      </c>
      <c r="D5126" s="1">
        <v>6.1</v>
      </c>
      <c r="F5126" s="1">
        <v>0</v>
      </c>
      <c r="G5126" s="1">
        <v>0</v>
      </c>
      <c r="H5126" s="1">
        <v>0</v>
      </c>
      <c r="I5126" s="1">
        <v>0</v>
      </c>
      <c r="J5126" s="1">
        <v>0.4</v>
      </c>
      <c r="K5126" s="1">
        <v>0</v>
      </c>
      <c r="L5126" s="1">
        <v>0</v>
      </c>
      <c r="M5126" s="1">
        <v>0.4</v>
      </c>
      <c r="O5126" s="1">
        <v>0</v>
      </c>
      <c r="Q5126" s="1">
        <v>0</v>
      </c>
      <c r="R5126" s="1">
        <v>0</v>
      </c>
      <c r="U5126" s="1">
        <v>8</v>
      </c>
      <c r="X5126" s="1">
        <v>0</v>
      </c>
    </row>
    <row r="5127" spans="1:24" x14ac:dyDescent="0.25">
      <c r="A5127" s="22">
        <v>43478</v>
      </c>
      <c r="B5127" s="1">
        <v>0</v>
      </c>
      <c r="C5127" s="1">
        <v>0</v>
      </c>
      <c r="D5127" s="1">
        <v>3.8</v>
      </c>
      <c r="F5127" s="1">
        <v>3.9</v>
      </c>
      <c r="G5127" s="1">
        <v>1.8</v>
      </c>
      <c r="H5127" s="1">
        <v>0</v>
      </c>
      <c r="I5127" s="1">
        <v>0</v>
      </c>
      <c r="J5127" s="1">
        <v>0</v>
      </c>
      <c r="K5127" s="1">
        <v>0</v>
      </c>
      <c r="L5127" s="1">
        <v>1.016</v>
      </c>
      <c r="M5127" s="1">
        <v>0</v>
      </c>
      <c r="O5127" s="1">
        <v>0</v>
      </c>
      <c r="Q5127" s="1">
        <v>0.2</v>
      </c>
      <c r="R5127" s="1">
        <v>0</v>
      </c>
      <c r="U5127" s="1">
        <v>0</v>
      </c>
      <c r="X5127" s="1">
        <v>0</v>
      </c>
    </row>
    <row r="5128" spans="1:24" x14ac:dyDescent="0.25">
      <c r="A5128" s="22">
        <v>43479</v>
      </c>
      <c r="B5128" s="1">
        <v>0</v>
      </c>
      <c r="C5128" s="1">
        <v>5.3</v>
      </c>
      <c r="D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0.6</v>
      </c>
      <c r="K5128" s="1">
        <v>0</v>
      </c>
      <c r="L5128" s="1">
        <v>0</v>
      </c>
      <c r="M5128" s="1">
        <v>3.3</v>
      </c>
      <c r="O5128" s="4">
        <v>147.32</v>
      </c>
      <c r="Q5128" s="1">
        <v>0</v>
      </c>
      <c r="R5128" s="1">
        <v>0.4</v>
      </c>
      <c r="U5128" s="1">
        <v>1</v>
      </c>
      <c r="X5128" s="1">
        <v>3.1</v>
      </c>
    </row>
    <row r="5129" spans="1:24" x14ac:dyDescent="0.25">
      <c r="A5129" s="22">
        <v>43480</v>
      </c>
      <c r="B5129" s="1">
        <v>0</v>
      </c>
      <c r="C5129" s="1">
        <v>7.7</v>
      </c>
      <c r="D5129" s="1">
        <v>0</v>
      </c>
      <c r="F5129" s="1">
        <v>0</v>
      </c>
      <c r="G5129" s="1">
        <v>0.9</v>
      </c>
      <c r="H5129" s="1">
        <v>0</v>
      </c>
      <c r="I5129" s="1">
        <v>1.5</v>
      </c>
      <c r="J5129" s="1">
        <v>0</v>
      </c>
      <c r="K5129" s="1">
        <v>0</v>
      </c>
      <c r="L5129" s="1">
        <v>0</v>
      </c>
      <c r="M5129" s="1">
        <v>1.3</v>
      </c>
      <c r="O5129" s="4">
        <v>236.22</v>
      </c>
      <c r="Q5129" s="1">
        <v>1.6</v>
      </c>
      <c r="R5129" s="1">
        <v>1.2</v>
      </c>
      <c r="U5129" s="1">
        <v>0</v>
      </c>
      <c r="X5129" s="1">
        <v>0</v>
      </c>
    </row>
    <row r="5130" spans="1:24" x14ac:dyDescent="0.25">
      <c r="A5130" s="22">
        <v>43481</v>
      </c>
      <c r="B5130" s="1">
        <v>0</v>
      </c>
      <c r="C5130" s="1">
        <v>0</v>
      </c>
      <c r="D5130" s="1">
        <v>5.8</v>
      </c>
      <c r="F5130" s="1">
        <v>0</v>
      </c>
      <c r="G5130" s="1">
        <v>1.8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O5130" s="1">
        <v>27.94</v>
      </c>
      <c r="Q5130" s="1">
        <v>1.4</v>
      </c>
      <c r="R5130" s="1">
        <v>0.1</v>
      </c>
      <c r="U5130" s="1">
        <v>5</v>
      </c>
      <c r="X5130" s="1">
        <v>0</v>
      </c>
    </row>
    <row r="5131" spans="1:24" x14ac:dyDescent="0.25">
      <c r="A5131" s="22">
        <v>43482</v>
      </c>
      <c r="B5131" s="1">
        <v>4</v>
      </c>
      <c r="C5131" s="1">
        <v>0</v>
      </c>
      <c r="D5131" s="1">
        <v>7.5</v>
      </c>
      <c r="F5131" s="1">
        <v>0</v>
      </c>
      <c r="G5131" s="1">
        <v>0</v>
      </c>
      <c r="H5131" s="1">
        <v>0</v>
      </c>
      <c r="I5131" s="1">
        <v>0</v>
      </c>
      <c r="J5131" s="1">
        <v>1.1000000000000001</v>
      </c>
      <c r="K5131" s="1">
        <v>0</v>
      </c>
      <c r="L5131" s="1">
        <v>0</v>
      </c>
      <c r="M5131" s="1">
        <v>0</v>
      </c>
      <c r="O5131" s="1">
        <v>25.4</v>
      </c>
      <c r="Q5131" s="1">
        <v>0</v>
      </c>
      <c r="R5131" s="1">
        <v>0</v>
      </c>
      <c r="U5131" s="1">
        <v>0</v>
      </c>
      <c r="X5131" s="1">
        <v>0</v>
      </c>
    </row>
    <row r="5132" spans="1:24" x14ac:dyDescent="0.25">
      <c r="A5132" s="22">
        <v>43483</v>
      </c>
      <c r="B5132" s="1">
        <v>0</v>
      </c>
      <c r="C5132" s="1">
        <v>0</v>
      </c>
      <c r="D5132" s="1">
        <v>0.5</v>
      </c>
      <c r="F5132" s="1">
        <v>0</v>
      </c>
      <c r="G5132" s="1">
        <v>1.6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1.6</v>
      </c>
      <c r="O5132" s="1">
        <v>0</v>
      </c>
      <c r="Q5132" s="1">
        <v>0</v>
      </c>
      <c r="R5132" s="1">
        <v>0</v>
      </c>
      <c r="U5132" s="1">
        <v>3</v>
      </c>
      <c r="X5132" s="1">
        <v>0</v>
      </c>
    </row>
    <row r="5133" spans="1:24" x14ac:dyDescent="0.25">
      <c r="A5133" s="22">
        <v>43484</v>
      </c>
      <c r="B5133" s="1">
        <v>0</v>
      </c>
      <c r="C5133" s="1">
        <v>0</v>
      </c>
      <c r="D5133" s="1">
        <v>0</v>
      </c>
      <c r="F5133" s="1">
        <v>0</v>
      </c>
      <c r="G5133" s="1">
        <v>1.4</v>
      </c>
      <c r="H5133" s="1">
        <v>5.5</v>
      </c>
      <c r="I5133" s="1">
        <v>0</v>
      </c>
      <c r="J5133" s="1">
        <v>0.4</v>
      </c>
      <c r="K5133" s="1">
        <v>0</v>
      </c>
      <c r="L5133" s="1">
        <v>0</v>
      </c>
      <c r="M5133" s="1">
        <v>0.5</v>
      </c>
      <c r="O5133" s="1">
        <v>5.08</v>
      </c>
      <c r="Q5133" s="1">
        <v>0</v>
      </c>
      <c r="R5133" s="1">
        <v>0</v>
      </c>
      <c r="U5133" s="1">
        <v>0</v>
      </c>
      <c r="X5133" s="1">
        <v>0</v>
      </c>
    </row>
    <row r="5134" spans="1:24" x14ac:dyDescent="0.25">
      <c r="A5134" s="22">
        <v>43485</v>
      </c>
      <c r="B5134" s="1">
        <v>0</v>
      </c>
      <c r="C5134" s="1">
        <v>0</v>
      </c>
      <c r="D5134" s="1">
        <v>0</v>
      </c>
      <c r="F5134" s="1">
        <v>4.0999999999999996</v>
      </c>
      <c r="G5134" s="1">
        <v>0</v>
      </c>
      <c r="H5134" s="1">
        <v>0</v>
      </c>
      <c r="I5134" s="1">
        <v>0</v>
      </c>
      <c r="J5134" s="1">
        <v>1.5</v>
      </c>
      <c r="K5134" s="1">
        <v>0</v>
      </c>
      <c r="L5134" s="1">
        <v>0</v>
      </c>
      <c r="M5134" s="1">
        <v>0</v>
      </c>
      <c r="O5134" s="1">
        <v>15.239999999999998</v>
      </c>
      <c r="Q5134" s="1">
        <v>1.4</v>
      </c>
      <c r="R5134" s="1">
        <v>0.3</v>
      </c>
      <c r="U5134" s="1">
        <v>0</v>
      </c>
      <c r="X5134" s="1">
        <v>3.1</v>
      </c>
    </row>
    <row r="5135" spans="1:24" x14ac:dyDescent="0.25">
      <c r="A5135" s="22">
        <v>43486</v>
      </c>
      <c r="B5135" s="1">
        <v>0</v>
      </c>
      <c r="C5135" s="1">
        <v>7.1</v>
      </c>
      <c r="D5135" s="1">
        <v>0.5</v>
      </c>
      <c r="F5135" s="1">
        <v>0</v>
      </c>
      <c r="G5135" s="1">
        <v>0.5</v>
      </c>
      <c r="H5135" s="1">
        <v>0</v>
      </c>
      <c r="I5135" s="1">
        <v>0</v>
      </c>
      <c r="J5135" s="1">
        <v>0</v>
      </c>
      <c r="K5135" s="1">
        <v>6</v>
      </c>
      <c r="L5135" s="1">
        <v>0</v>
      </c>
      <c r="M5135" s="1">
        <v>0</v>
      </c>
      <c r="O5135" s="1">
        <v>2.54</v>
      </c>
      <c r="Q5135" s="1">
        <v>2.2000000000000002</v>
      </c>
      <c r="R5135" s="1">
        <v>1.2</v>
      </c>
      <c r="U5135" s="1">
        <v>3</v>
      </c>
      <c r="X5135" s="1">
        <v>0</v>
      </c>
    </row>
    <row r="5136" spans="1:24" x14ac:dyDescent="0.25">
      <c r="A5136" s="22">
        <v>43487</v>
      </c>
      <c r="B5136" s="1">
        <v>0</v>
      </c>
      <c r="C5136" s="1">
        <v>4.2</v>
      </c>
      <c r="D5136" s="1">
        <v>11.9</v>
      </c>
      <c r="F5136" s="1">
        <v>0</v>
      </c>
      <c r="G5136" s="1">
        <v>7.1</v>
      </c>
      <c r="H5136" s="1">
        <v>4.8</v>
      </c>
      <c r="I5136" s="1">
        <v>9</v>
      </c>
      <c r="J5136" s="1">
        <v>0.5</v>
      </c>
      <c r="K5136" s="1">
        <v>10.199999999999999</v>
      </c>
      <c r="L5136" s="1">
        <v>4.5719999999999992</v>
      </c>
      <c r="M5136" s="1">
        <v>7.4</v>
      </c>
      <c r="O5136" s="1">
        <v>12.7</v>
      </c>
      <c r="Q5136" s="1">
        <v>2.5</v>
      </c>
      <c r="R5136" s="1">
        <v>1.3</v>
      </c>
      <c r="U5136" s="1">
        <v>6</v>
      </c>
      <c r="X5136" s="1">
        <v>3.2</v>
      </c>
    </row>
    <row r="5137" spans="1:24" x14ac:dyDescent="0.25">
      <c r="A5137" s="22">
        <v>43488</v>
      </c>
      <c r="B5137" s="1">
        <v>0</v>
      </c>
      <c r="C5137" s="1">
        <v>2.2000000000000002</v>
      </c>
      <c r="D5137" s="1">
        <v>2</v>
      </c>
      <c r="F5137" s="1">
        <v>3.4</v>
      </c>
      <c r="G5137" s="1"/>
      <c r="H5137" s="1">
        <v>2.5</v>
      </c>
      <c r="I5137" s="1">
        <v>0.4</v>
      </c>
      <c r="J5137" s="1">
        <v>0.7</v>
      </c>
      <c r="K5137" s="1">
        <v>3.8</v>
      </c>
      <c r="L5137" s="1">
        <v>0</v>
      </c>
      <c r="M5137" s="1">
        <v>2.5</v>
      </c>
      <c r="O5137" s="1">
        <v>5.08</v>
      </c>
      <c r="Q5137" s="1">
        <v>1.9</v>
      </c>
      <c r="R5137" s="1">
        <v>1.2</v>
      </c>
      <c r="U5137" s="1">
        <v>3</v>
      </c>
      <c r="X5137" s="1">
        <v>0</v>
      </c>
    </row>
    <row r="5138" spans="1:24" x14ac:dyDescent="0.25">
      <c r="A5138" s="22">
        <v>43489</v>
      </c>
      <c r="B5138" s="1">
        <v>0</v>
      </c>
      <c r="C5138" s="1">
        <v>5.5</v>
      </c>
      <c r="D5138" s="1">
        <v>0.5</v>
      </c>
      <c r="F5138" s="1">
        <v>2</v>
      </c>
      <c r="G5138" s="1">
        <v>2.6</v>
      </c>
      <c r="H5138" s="1">
        <v>2.5</v>
      </c>
      <c r="I5138" s="1">
        <v>5.7</v>
      </c>
      <c r="J5138" s="1">
        <v>7.1</v>
      </c>
      <c r="K5138" s="1">
        <v>0</v>
      </c>
      <c r="L5138" s="1">
        <v>4.3180000000000005</v>
      </c>
      <c r="M5138" s="1">
        <v>4.5</v>
      </c>
      <c r="O5138" s="1">
        <v>2.54</v>
      </c>
      <c r="Q5138" s="1">
        <v>0</v>
      </c>
      <c r="R5138" s="1">
        <v>0.5</v>
      </c>
      <c r="U5138" s="1">
        <v>6</v>
      </c>
      <c r="X5138" s="1">
        <v>0</v>
      </c>
    </row>
    <row r="5139" spans="1:24" x14ac:dyDescent="0.25">
      <c r="A5139" s="22">
        <v>43490</v>
      </c>
      <c r="B5139" s="1">
        <v>13.8</v>
      </c>
      <c r="C5139" s="1">
        <v>4.8</v>
      </c>
      <c r="D5139" s="1">
        <v>1.2</v>
      </c>
      <c r="F5139" s="1">
        <v>1.9</v>
      </c>
      <c r="G5139" s="1">
        <v>0</v>
      </c>
      <c r="H5139" s="1">
        <v>0</v>
      </c>
      <c r="I5139" s="1">
        <v>1.2</v>
      </c>
      <c r="J5139" s="1">
        <v>1.1000000000000001</v>
      </c>
      <c r="K5139" s="1">
        <v>0</v>
      </c>
      <c r="L5139" s="1">
        <v>0</v>
      </c>
      <c r="M5139" s="1">
        <v>0.7</v>
      </c>
      <c r="O5139" s="1">
        <v>0</v>
      </c>
      <c r="Q5139" s="1">
        <v>7.5</v>
      </c>
      <c r="R5139" s="1">
        <v>0</v>
      </c>
      <c r="U5139" s="1">
        <v>0</v>
      </c>
      <c r="X5139" s="1">
        <v>0</v>
      </c>
    </row>
    <row r="5140" spans="1:24" x14ac:dyDescent="0.25">
      <c r="A5140" s="22">
        <v>43491</v>
      </c>
      <c r="B5140" s="1">
        <v>0</v>
      </c>
      <c r="C5140" s="1">
        <v>10</v>
      </c>
      <c r="D5140" s="1">
        <v>0</v>
      </c>
      <c r="F5140" s="1">
        <v>0</v>
      </c>
      <c r="G5140" s="1">
        <v>3.1</v>
      </c>
      <c r="H5140" s="1">
        <v>0</v>
      </c>
      <c r="I5140" s="1">
        <v>0</v>
      </c>
      <c r="J5140" s="1">
        <v>0.4</v>
      </c>
      <c r="K5140" s="1">
        <v>9.9</v>
      </c>
      <c r="L5140" s="1">
        <v>0</v>
      </c>
      <c r="M5140" s="1">
        <v>1.7</v>
      </c>
      <c r="O5140" s="1">
        <v>0</v>
      </c>
      <c r="Q5140" s="1">
        <v>0</v>
      </c>
      <c r="R5140" s="1">
        <v>0</v>
      </c>
      <c r="U5140" s="1">
        <v>16</v>
      </c>
      <c r="X5140" s="1">
        <v>5.4</v>
      </c>
    </row>
    <row r="5141" spans="1:24" x14ac:dyDescent="0.25">
      <c r="A5141" s="22">
        <v>43492</v>
      </c>
      <c r="B5141" s="1">
        <v>0</v>
      </c>
      <c r="C5141" s="1">
        <v>0</v>
      </c>
      <c r="D5141" s="1">
        <v>0</v>
      </c>
      <c r="F5141" s="1">
        <v>0</v>
      </c>
      <c r="G5141" s="1">
        <v>0</v>
      </c>
      <c r="H5141" s="1">
        <v>2.1</v>
      </c>
      <c r="I5141" s="1">
        <v>0</v>
      </c>
      <c r="J5141" s="1">
        <v>0</v>
      </c>
      <c r="K5141" s="1">
        <v>0.1</v>
      </c>
      <c r="L5141" s="1">
        <v>0</v>
      </c>
      <c r="M5141" s="1">
        <v>0</v>
      </c>
      <c r="O5141" s="1">
        <v>5.5880000000000001</v>
      </c>
      <c r="Q5141" s="1">
        <v>0</v>
      </c>
      <c r="R5141" s="1">
        <v>0</v>
      </c>
      <c r="U5141" s="1">
        <v>0</v>
      </c>
      <c r="X5141" s="1">
        <v>0</v>
      </c>
    </row>
    <row r="5142" spans="1:24" x14ac:dyDescent="0.25">
      <c r="A5142" s="22">
        <v>43493</v>
      </c>
      <c r="B5142" s="1">
        <v>0</v>
      </c>
      <c r="C5142" s="1">
        <v>0</v>
      </c>
      <c r="D5142" s="1">
        <v>19.600000000000001</v>
      </c>
      <c r="F5142" s="1">
        <v>0</v>
      </c>
      <c r="G5142" s="1">
        <v>1.1000000000000001</v>
      </c>
      <c r="H5142" s="1">
        <v>0</v>
      </c>
      <c r="I5142" s="1">
        <v>1.5</v>
      </c>
      <c r="J5142" s="1">
        <v>1.3</v>
      </c>
      <c r="K5142" s="1">
        <v>1.7</v>
      </c>
      <c r="L5142" s="1">
        <v>6.35</v>
      </c>
      <c r="M5142" s="1">
        <v>0.3</v>
      </c>
      <c r="O5142" s="1">
        <v>2.54</v>
      </c>
      <c r="Q5142" s="1">
        <v>3.4</v>
      </c>
      <c r="R5142" s="1">
        <v>0.4</v>
      </c>
      <c r="U5142" s="1">
        <v>5</v>
      </c>
      <c r="X5142" s="1">
        <v>0</v>
      </c>
    </row>
    <row r="5143" spans="1:24" x14ac:dyDescent="0.25">
      <c r="A5143" s="22">
        <v>43494</v>
      </c>
      <c r="B5143" s="1">
        <v>17.7</v>
      </c>
      <c r="C5143" s="1">
        <v>0</v>
      </c>
      <c r="D5143" s="1">
        <v>6</v>
      </c>
      <c r="F5143" s="1">
        <v>0</v>
      </c>
      <c r="G5143" s="1">
        <v>2.1</v>
      </c>
      <c r="H5143" s="1">
        <v>0</v>
      </c>
      <c r="I5143" s="1">
        <v>0</v>
      </c>
      <c r="J5143" s="1">
        <v>0.5</v>
      </c>
      <c r="K5143" s="1">
        <v>1.3</v>
      </c>
      <c r="L5143" s="1">
        <v>1.016</v>
      </c>
      <c r="M5143" s="1">
        <v>5.9</v>
      </c>
      <c r="O5143" s="1">
        <v>0</v>
      </c>
      <c r="Q5143" s="1">
        <v>0</v>
      </c>
      <c r="R5143" s="1">
        <v>0</v>
      </c>
      <c r="U5143" s="1">
        <v>15</v>
      </c>
      <c r="X5143" s="1">
        <v>0</v>
      </c>
    </row>
    <row r="5144" spans="1:24" x14ac:dyDescent="0.25">
      <c r="A5144" s="22">
        <v>43495</v>
      </c>
      <c r="B5144" s="1">
        <v>0</v>
      </c>
      <c r="C5144" s="1">
        <v>0</v>
      </c>
      <c r="D5144" s="1">
        <v>0</v>
      </c>
      <c r="F5144" s="1">
        <v>0</v>
      </c>
      <c r="G5144" s="1"/>
      <c r="H5144" s="1">
        <v>0</v>
      </c>
      <c r="I5144" s="1">
        <v>0</v>
      </c>
      <c r="J5144" s="1">
        <v>0</v>
      </c>
      <c r="K5144" s="1">
        <v>0.1</v>
      </c>
      <c r="L5144" s="1">
        <v>0</v>
      </c>
      <c r="M5144" s="1">
        <v>0</v>
      </c>
      <c r="O5144" s="1">
        <v>0</v>
      </c>
      <c r="Q5144" s="1">
        <v>0</v>
      </c>
      <c r="R5144" s="1">
        <v>4.5</v>
      </c>
      <c r="U5144" s="1">
        <v>0</v>
      </c>
      <c r="X5144" s="1">
        <v>0</v>
      </c>
    </row>
    <row r="5145" spans="1:24" x14ac:dyDescent="0.25">
      <c r="A5145" s="22">
        <v>43496</v>
      </c>
      <c r="B5145" s="1">
        <v>0</v>
      </c>
      <c r="C5145" s="1">
        <v>10.1</v>
      </c>
      <c r="D5145" s="1">
        <v>8.8000000000000007</v>
      </c>
      <c r="F5145" s="1">
        <v>4.7</v>
      </c>
      <c r="G5145" s="1">
        <v>4.2</v>
      </c>
      <c r="H5145" s="1">
        <v>4.5999999999999996</v>
      </c>
      <c r="I5145" s="1">
        <v>6.1</v>
      </c>
      <c r="J5145" s="1">
        <v>1.6</v>
      </c>
      <c r="K5145" s="1">
        <v>1.1000000000000001</v>
      </c>
      <c r="L5145" s="1">
        <v>0</v>
      </c>
      <c r="M5145" s="1">
        <v>8.1999999999999993</v>
      </c>
      <c r="O5145" s="1">
        <v>0</v>
      </c>
      <c r="Q5145" s="1">
        <v>0</v>
      </c>
      <c r="R5145" s="1">
        <v>0</v>
      </c>
      <c r="U5145" s="1">
        <v>6</v>
      </c>
      <c r="X5145" s="1">
        <v>0</v>
      </c>
    </row>
    <row r="5146" spans="1:24" x14ac:dyDescent="0.25">
      <c r="A5146" s="22">
        <v>43497</v>
      </c>
      <c r="B5146" s="1"/>
      <c r="C5146" s="1"/>
      <c r="D5146" s="1">
        <v>0</v>
      </c>
      <c r="F5146" s="1">
        <v>0</v>
      </c>
      <c r="G5146" s="1">
        <v>0</v>
      </c>
      <c r="H5146" s="1"/>
      <c r="I5146" s="1"/>
      <c r="J5146" s="1"/>
      <c r="K5146" s="1">
        <v>0</v>
      </c>
      <c r="L5146" s="1">
        <v>0</v>
      </c>
      <c r="M5146" s="1">
        <v>0</v>
      </c>
      <c r="O5146" s="1"/>
      <c r="Q5146" s="1">
        <v>0</v>
      </c>
      <c r="R5146" s="1"/>
      <c r="U5146" s="1">
        <v>0</v>
      </c>
      <c r="X5146" s="1"/>
    </row>
    <row r="5147" spans="1:24" x14ac:dyDescent="0.25">
      <c r="A5147" s="22">
        <v>43498</v>
      </c>
      <c r="B5147" s="1"/>
      <c r="C5147" s="1"/>
      <c r="D5147" s="1">
        <v>0</v>
      </c>
      <c r="F5147" s="1">
        <v>0</v>
      </c>
      <c r="G5147" s="1">
        <v>4.3</v>
      </c>
      <c r="H5147" s="1"/>
      <c r="I5147" s="1"/>
      <c r="J5147" s="1"/>
      <c r="K5147" s="1">
        <v>0</v>
      </c>
      <c r="L5147" s="1">
        <v>0</v>
      </c>
      <c r="M5147" s="1">
        <v>0.7</v>
      </c>
      <c r="O5147" s="1"/>
      <c r="Q5147" s="1">
        <v>0.8</v>
      </c>
      <c r="R5147" s="1"/>
      <c r="U5147" s="1">
        <v>0</v>
      </c>
      <c r="X5147" s="1"/>
    </row>
    <row r="5148" spans="1:24" x14ac:dyDescent="0.25">
      <c r="A5148" s="22">
        <v>43499</v>
      </c>
      <c r="B5148" s="1"/>
      <c r="C5148" s="1"/>
      <c r="D5148" s="1">
        <v>2.4</v>
      </c>
      <c r="F5148" s="1">
        <v>0</v>
      </c>
      <c r="G5148" s="1">
        <v>0</v>
      </c>
      <c r="H5148" s="1"/>
      <c r="I5148" s="1"/>
      <c r="J5148" s="1"/>
      <c r="K5148" s="1">
        <v>0</v>
      </c>
      <c r="L5148" s="1">
        <v>11.937999999999999</v>
      </c>
      <c r="M5148" s="1">
        <v>0.1</v>
      </c>
      <c r="O5148" s="1"/>
      <c r="Q5148" s="1">
        <v>10.3</v>
      </c>
      <c r="R5148" s="1"/>
      <c r="U5148" s="1">
        <v>5</v>
      </c>
      <c r="X5148" s="1"/>
    </row>
    <row r="5149" spans="1:24" x14ac:dyDescent="0.25">
      <c r="A5149" s="22">
        <v>43500</v>
      </c>
      <c r="B5149" s="1"/>
      <c r="C5149" s="1"/>
      <c r="D5149" s="1">
        <v>0</v>
      </c>
      <c r="F5149" s="1">
        <v>0</v>
      </c>
      <c r="G5149" s="1">
        <v>0</v>
      </c>
      <c r="H5149" s="1"/>
      <c r="I5149" s="1"/>
      <c r="J5149" s="1"/>
      <c r="K5149" s="1">
        <v>0</v>
      </c>
      <c r="L5149" s="1">
        <v>1.016</v>
      </c>
      <c r="M5149" s="1">
        <v>0</v>
      </c>
      <c r="O5149" s="1"/>
      <c r="Q5149" s="1">
        <v>0</v>
      </c>
      <c r="R5149" s="1"/>
      <c r="U5149" s="1">
        <v>6</v>
      </c>
      <c r="X5149" s="1"/>
    </row>
    <row r="5150" spans="1:24" x14ac:dyDescent="0.25">
      <c r="A5150" s="22">
        <v>43501</v>
      </c>
      <c r="B5150" s="1"/>
      <c r="C5150" s="1"/>
      <c r="D5150" s="1">
        <v>0</v>
      </c>
      <c r="F5150" s="1">
        <v>0</v>
      </c>
      <c r="G5150" s="1">
        <v>0</v>
      </c>
      <c r="H5150" s="1"/>
      <c r="I5150" s="1"/>
      <c r="J5150" s="1"/>
      <c r="K5150" s="1">
        <v>0</v>
      </c>
      <c r="L5150" s="1">
        <v>0</v>
      </c>
      <c r="M5150" s="1">
        <v>0</v>
      </c>
      <c r="O5150" s="1"/>
      <c r="Q5150" s="1">
        <v>2.5</v>
      </c>
      <c r="R5150" s="1"/>
      <c r="U5150" s="1">
        <v>12</v>
      </c>
      <c r="X5150" s="1"/>
    </row>
    <row r="5151" spans="1:24" x14ac:dyDescent="0.25">
      <c r="A5151" s="22">
        <v>43502</v>
      </c>
      <c r="B5151" s="1"/>
      <c r="C5151" s="1"/>
      <c r="D5151" s="1">
        <v>14</v>
      </c>
      <c r="F5151" s="1">
        <v>2.6</v>
      </c>
      <c r="G5151" s="1">
        <v>2.5</v>
      </c>
      <c r="H5151" s="1"/>
      <c r="I5151" s="1"/>
      <c r="J5151" s="1"/>
      <c r="K5151" s="1">
        <v>23.4</v>
      </c>
      <c r="L5151" s="1">
        <v>3.8099999999999996</v>
      </c>
      <c r="M5151" s="1">
        <v>4</v>
      </c>
      <c r="O5151" s="1"/>
      <c r="Q5151" s="1">
        <v>0</v>
      </c>
      <c r="R5151" s="1"/>
      <c r="U5151" s="1">
        <v>7</v>
      </c>
      <c r="X5151" s="1"/>
    </row>
    <row r="5152" spans="1:24" x14ac:dyDescent="0.25">
      <c r="A5152" s="22">
        <v>43503</v>
      </c>
      <c r="B5152" s="1"/>
      <c r="C5152" s="1"/>
      <c r="D5152" s="1">
        <v>4.3</v>
      </c>
      <c r="F5152" s="1">
        <v>1.9</v>
      </c>
      <c r="G5152" s="1">
        <v>0</v>
      </c>
      <c r="H5152" s="1"/>
      <c r="I5152" s="1"/>
      <c r="J5152" s="1"/>
      <c r="K5152" s="1">
        <v>1.3</v>
      </c>
      <c r="L5152" s="1">
        <v>0</v>
      </c>
      <c r="M5152" s="1">
        <v>0.8</v>
      </c>
      <c r="O5152" s="1"/>
      <c r="Q5152" s="1">
        <v>0</v>
      </c>
      <c r="R5152" s="1"/>
      <c r="U5152" s="1">
        <v>0</v>
      </c>
      <c r="X5152" s="1"/>
    </row>
    <row r="5153" spans="1:24" x14ac:dyDescent="0.25">
      <c r="A5153" s="22">
        <v>43504</v>
      </c>
      <c r="B5153" s="1"/>
      <c r="C5153" s="1"/>
      <c r="D5153" s="1">
        <v>0</v>
      </c>
      <c r="F5153" s="1">
        <v>0</v>
      </c>
      <c r="G5153" s="1">
        <v>0</v>
      </c>
      <c r="H5153" s="1"/>
      <c r="I5153" s="1"/>
      <c r="J5153" s="1"/>
      <c r="K5153" s="1">
        <v>0</v>
      </c>
      <c r="L5153" s="1">
        <v>0</v>
      </c>
      <c r="M5153" s="1">
        <v>0</v>
      </c>
      <c r="O5153" s="1"/>
      <c r="Q5153" s="1">
        <v>0</v>
      </c>
      <c r="R5153" s="1"/>
      <c r="U5153" s="1">
        <v>5</v>
      </c>
      <c r="X5153" s="1"/>
    </row>
    <row r="5154" spans="1:24" x14ac:dyDescent="0.25">
      <c r="A5154" s="22">
        <v>43505</v>
      </c>
      <c r="B5154" s="1"/>
      <c r="C5154" s="1"/>
      <c r="D5154" s="1">
        <v>0</v>
      </c>
      <c r="F5154" s="1">
        <v>0</v>
      </c>
      <c r="G5154" s="1">
        <v>0</v>
      </c>
      <c r="H5154" s="1"/>
      <c r="I5154" s="1"/>
      <c r="J5154" s="1"/>
      <c r="K5154" s="1">
        <v>0</v>
      </c>
      <c r="L5154" s="1">
        <v>0</v>
      </c>
      <c r="M5154" s="1">
        <v>0</v>
      </c>
      <c r="O5154" s="1"/>
      <c r="Q5154" s="1">
        <v>1.3</v>
      </c>
      <c r="R5154" s="1"/>
      <c r="U5154" s="1">
        <v>0</v>
      </c>
      <c r="X5154" s="1"/>
    </row>
    <row r="5155" spans="1:24" x14ac:dyDescent="0.25">
      <c r="A5155" s="22">
        <v>43506</v>
      </c>
      <c r="B5155" s="1"/>
      <c r="C5155" s="1"/>
      <c r="D5155" s="1">
        <v>5.2</v>
      </c>
      <c r="F5155" s="1">
        <v>0</v>
      </c>
      <c r="G5155" s="1">
        <v>0</v>
      </c>
      <c r="H5155" s="1"/>
      <c r="I5155" s="1"/>
      <c r="J5155" s="1"/>
      <c r="K5155" s="1">
        <v>0</v>
      </c>
      <c r="L5155" s="1">
        <v>1.016</v>
      </c>
      <c r="M5155" s="1">
        <v>1.1000000000000001</v>
      </c>
      <c r="O5155" s="1"/>
      <c r="Q5155" s="1">
        <v>4.5</v>
      </c>
      <c r="R5155" s="1"/>
      <c r="U5155" s="1">
        <v>2</v>
      </c>
      <c r="X5155" s="1"/>
    </row>
    <row r="5156" spans="1:24" x14ac:dyDescent="0.25">
      <c r="A5156" s="22">
        <v>43507</v>
      </c>
      <c r="B5156" s="1"/>
      <c r="C5156" s="1"/>
      <c r="D5156" s="1">
        <v>7.6</v>
      </c>
      <c r="F5156" s="1">
        <v>0</v>
      </c>
      <c r="G5156" s="1">
        <v>0</v>
      </c>
      <c r="H5156" s="1"/>
      <c r="I5156" s="1"/>
      <c r="J5156" s="1"/>
      <c r="K5156" s="1">
        <v>1.9</v>
      </c>
      <c r="L5156" s="1">
        <v>7.1120000000000001</v>
      </c>
      <c r="M5156" s="1">
        <v>3.2</v>
      </c>
      <c r="O5156" s="1"/>
      <c r="Q5156" s="1">
        <v>1.4</v>
      </c>
      <c r="R5156" s="1"/>
      <c r="U5156" s="1">
        <v>4</v>
      </c>
      <c r="X5156" s="1"/>
    </row>
    <row r="5157" spans="1:24" x14ac:dyDescent="0.25">
      <c r="A5157" s="22">
        <v>43508</v>
      </c>
      <c r="B5157" s="1"/>
      <c r="C5157" s="1"/>
      <c r="D5157" s="1">
        <v>7.2</v>
      </c>
      <c r="F5157" s="1">
        <v>3.7</v>
      </c>
      <c r="G5157" s="1">
        <v>0</v>
      </c>
      <c r="H5157" s="1"/>
      <c r="I5157" s="1"/>
      <c r="J5157" s="1"/>
      <c r="K5157" s="1">
        <v>5.3</v>
      </c>
      <c r="L5157" s="1">
        <v>2.794</v>
      </c>
      <c r="M5157" s="1">
        <v>4</v>
      </c>
      <c r="O5157" s="1"/>
      <c r="Q5157" s="1">
        <v>0</v>
      </c>
      <c r="R5157" s="1"/>
      <c r="U5157" s="1">
        <v>11</v>
      </c>
      <c r="X5157" s="1"/>
    </row>
    <row r="5158" spans="1:24" x14ac:dyDescent="0.25">
      <c r="A5158" s="22">
        <v>43509</v>
      </c>
      <c r="B5158" s="1"/>
      <c r="C5158" s="1"/>
      <c r="D5158" s="1">
        <v>0</v>
      </c>
      <c r="F5158" s="1">
        <v>0</v>
      </c>
      <c r="G5158" s="1">
        <v>0</v>
      </c>
      <c r="H5158" s="1"/>
      <c r="I5158" s="1"/>
      <c r="J5158" s="1"/>
      <c r="K5158" s="1">
        <v>2</v>
      </c>
      <c r="L5158" s="1">
        <v>0</v>
      </c>
      <c r="M5158" s="1">
        <v>0</v>
      </c>
      <c r="O5158" s="1"/>
      <c r="Q5158" s="1">
        <v>0</v>
      </c>
      <c r="R5158" s="1"/>
      <c r="U5158" s="1">
        <v>1</v>
      </c>
      <c r="X5158" s="1"/>
    </row>
    <row r="5159" spans="1:24" x14ac:dyDescent="0.25">
      <c r="A5159" s="22">
        <v>43510</v>
      </c>
      <c r="B5159" s="1"/>
      <c r="C5159" s="1"/>
      <c r="D5159" s="1">
        <v>0</v>
      </c>
      <c r="F5159" s="1">
        <v>0</v>
      </c>
      <c r="G5159" s="1">
        <v>0</v>
      </c>
      <c r="H5159" s="1"/>
      <c r="I5159" s="1"/>
      <c r="J5159" s="1"/>
      <c r="K5159" s="1">
        <v>0</v>
      </c>
      <c r="L5159" s="1">
        <v>0</v>
      </c>
      <c r="M5159" s="1">
        <v>0</v>
      </c>
      <c r="O5159" s="1"/>
      <c r="Q5159" s="1">
        <v>0</v>
      </c>
      <c r="R5159" s="1"/>
      <c r="U5159" s="1">
        <v>0</v>
      </c>
      <c r="X5159" s="1"/>
    </row>
    <row r="5160" spans="1:24" x14ac:dyDescent="0.25">
      <c r="A5160" s="22">
        <v>43511</v>
      </c>
      <c r="B5160" s="1"/>
      <c r="C5160" s="1"/>
      <c r="D5160" s="1">
        <v>2.1</v>
      </c>
      <c r="F5160" s="1">
        <v>0</v>
      </c>
      <c r="G5160" s="1">
        <v>0.2</v>
      </c>
      <c r="H5160" s="1"/>
      <c r="I5160" s="1"/>
      <c r="J5160" s="1"/>
      <c r="K5160" s="1">
        <v>0.6</v>
      </c>
      <c r="L5160" s="1">
        <v>0</v>
      </c>
      <c r="M5160" s="1">
        <v>0</v>
      </c>
      <c r="O5160" s="1"/>
      <c r="Q5160" s="1">
        <v>4.5999999999999996</v>
      </c>
      <c r="R5160" s="1"/>
      <c r="U5160" s="1">
        <v>2</v>
      </c>
      <c r="X5160" s="1"/>
    </row>
    <row r="5161" spans="1:24" x14ac:dyDescent="0.25">
      <c r="A5161" s="22">
        <v>43512</v>
      </c>
      <c r="B5161" s="1"/>
      <c r="C5161" s="1"/>
      <c r="D5161" s="1">
        <v>0</v>
      </c>
      <c r="F5161" s="1">
        <v>7.8</v>
      </c>
      <c r="G5161" s="1">
        <v>0</v>
      </c>
      <c r="H5161" s="1"/>
      <c r="I5161" s="1"/>
      <c r="J5161" s="1"/>
      <c r="K5161" s="1">
        <v>0</v>
      </c>
      <c r="L5161" s="1">
        <v>0.7619999999999999</v>
      </c>
      <c r="M5161" s="1">
        <v>0.2</v>
      </c>
      <c r="O5161" s="1"/>
      <c r="Q5161" s="1">
        <v>0</v>
      </c>
      <c r="R5161" s="1"/>
      <c r="U5161" s="1">
        <v>0</v>
      </c>
      <c r="X5161" s="1"/>
    </row>
    <row r="5162" spans="1:24" x14ac:dyDescent="0.25">
      <c r="A5162" s="22">
        <v>43513</v>
      </c>
      <c r="B5162" s="1"/>
      <c r="C5162" s="1"/>
      <c r="D5162" s="1">
        <v>2.2000000000000002</v>
      </c>
      <c r="F5162" s="1">
        <v>0</v>
      </c>
      <c r="G5162" s="1">
        <v>0</v>
      </c>
      <c r="H5162" s="1"/>
      <c r="I5162" s="1"/>
      <c r="J5162" s="1"/>
      <c r="K5162" s="1">
        <v>0</v>
      </c>
      <c r="L5162" s="1">
        <v>0</v>
      </c>
      <c r="M5162" s="1">
        <v>0</v>
      </c>
      <c r="O5162" s="1"/>
      <c r="Q5162" s="1">
        <v>0</v>
      </c>
      <c r="R5162" s="1"/>
      <c r="U5162" s="1">
        <v>0</v>
      </c>
      <c r="X5162" s="1"/>
    </row>
    <row r="5163" spans="1:24" x14ac:dyDescent="0.25">
      <c r="A5163" s="22">
        <v>43514</v>
      </c>
      <c r="B5163" s="1"/>
      <c r="C5163" s="1"/>
      <c r="D5163" s="1">
        <v>0</v>
      </c>
      <c r="F5163" s="1">
        <v>0</v>
      </c>
      <c r="G5163" s="1">
        <v>0</v>
      </c>
      <c r="H5163" s="1"/>
      <c r="I5163" s="1"/>
      <c r="J5163" s="1"/>
      <c r="K5163" s="1">
        <v>0</v>
      </c>
      <c r="L5163" s="1">
        <v>0</v>
      </c>
      <c r="M5163" s="1">
        <v>0</v>
      </c>
      <c r="O5163" s="1"/>
      <c r="Q5163" s="1">
        <v>0</v>
      </c>
      <c r="R5163" s="1"/>
      <c r="U5163" s="1">
        <v>5</v>
      </c>
      <c r="X5163" s="1"/>
    </row>
    <row r="5164" spans="1:24" x14ac:dyDescent="0.25">
      <c r="A5164" s="22">
        <v>43515</v>
      </c>
      <c r="B5164" s="1"/>
      <c r="C5164" s="1"/>
      <c r="D5164" s="1">
        <v>1</v>
      </c>
      <c r="F5164" s="1">
        <v>0</v>
      </c>
      <c r="G5164" s="1">
        <v>0</v>
      </c>
      <c r="H5164" s="1"/>
      <c r="I5164" s="1"/>
      <c r="J5164" s="1"/>
      <c r="K5164" s="1">
        <v>0</v>
      </c>
      <c r="L5164" s="1">
        <v>0</v>
      </c>
      <c r="M5164" s="1">
        <v>0</v>
      </c>
      <c r="O5164" s="1"/>
      <c r="Q5164" s="1">
        <v>0</v>
      </c>
      <c r="R5164" s="1"/>
      <c r="U5164" s="1">
        <v>4</v>
      </c>
      <c r="X5164" s="1"/>
    </row>
    <row r="5165" spans="1:24" x14ac:dyDescent="0.25">
      <c r="A5165" s="22">
        <v>43516</v>
      </c>
      <c r="B5165" s="1"/>
      <c r="C5165" s="1"/>
      <c r="D5165" s="1">
        <v>0.7</v>
      </c>
      <c r="F5165" s="1">
        <v>0</v>
      </c>
      <c r="G5165" s="1">
        <v>0</v>
      </c>
      <c r="H5165" s="1"/>
      <c r="I5165" s="1"/>
      <c r="J5165" s="1"/>
      <c r="K5165" s="1">
        <v>0</v>
      </c>
      <c r="L5165" s="1">
        <v>0</v>
      </c>
      <c r="M5165" s="1">
        <v>0</v>
      </c>
      <c r="O5165" s="1"/>
      <c r="Q5165" s="1">
        <v>0</v>
      </c>
      <c r="R5165" s="1"/>
      <c r="U5165" s="1">
        <v>0</v>
      </c>
      <c r="X5165" s="1"/>
    </row>
    <row r="5166" spans="1:24" x14ac:dyDescent="0.25">
      <c r="A5166" s="22">
        <v>43517</v>
      </c>
      <c r="B5166" s="1"/>
      <c r="C5166" s="1"/>
      <c r="D5166" s="1">
        <v>0</v>
      </c>
      <c r="F5166" s="1">
        <v>0</v>
      </c>
      <c r="G5166" s="1">
        <v>1.1000000000000001</v>
      </c>
      <c r="H5166" s="1"/>
      <c r="I5166" s="1"/>
      <c r="J5166" s="1"/>
      <c r="K5166" s="1">
        <v>0.5</v>
      </c>
      <c r="L5166" s="1">
        <v>0</v>
      </c>
      <c r="M5166" s="1">
        <v>0</v>
      </c>
      <c r="O5166" s="1"/>
      <c r="Q5166" s="1">
        <v>1.4</v>
      </c>
      <c r="R5166" s="1"/>
      <c r="U5166" s="1">
        <v>0</v>
      </c>
      <c r="X5166" s="1"/>
    </row>
    <row r="5167" spans="1:24" x14ac:dyDescent="0.25">
      <c r="A5167" s="22">
        <v>43518</v>
      </c>
      <c r="B5167" s="1"/>
      <c r="C5167" s="1"/>
      <c r="D5167" s="1">
        <v>0</v>
      </c>
      <c r="F5167" s="1">
        <v>1.7</v>
      </c>
      <c r="G5167" s="1">
        <v>5.8</v>
      </c>
      <c r="H5167" s="1"/>
      <c r="I5167" s="1"/>
      <c r="J5167" s="1"/>
      <c r="K5167" s="1">
        <v>0</v>
      </c>
      <c r="L5167" s="1">
        <v>0</v>
      </c>
      <c r="M5167" s="1">
        <v>6</v>
      </c>
      <c r="O5167" s="1"/>
      <c r="Q5167" s="1">
        <v>0</v>
      </c>
      <c r="R5167" s="1"/>
      <c r="U5167" s="1">
        <v>4</v>
      </c>
      <c r="X5167" s="1"/>
    </row>
    <row r="5168" spans="1:24" x14ac:dyDescent="0.25">
      <c r="A5168" s="22">
        <v>43519</v>
      </c>
      <c r="B5168" s="1"/>
      <c r="C5168" s="1"/>
      <c r="D5168" s="1">
        <v>2.5</v>
      </c>
      <c r="F5168" s="1">
        <v>0</v>
      </c>
      <c r="G5168" s="1">
        <v>0.2</v>
      </c>
      <c r="H5168" s="1"/>
      <c r="I5168" s="1"/>
      <c r="J5168" s="1"/>
      <c r="K5168" s="1">
        <v>0</v>
      </c>
      <c r="L5168" s="1">
        <v>0</v>
      </c>
      <c r="M5168" s="1">
        <v>0</v>
      </c>
      <c r="O5168" s="1"/>
      <c r="Q5168" s="1">
        <v>10</v>
      </c>
      <c r="R5168" s="1"/>
      <c r="U5168" s="1">
        <v>0</v>
      </c>
      <c r="X5168" s="1"/>
    </row>
    <row r="5169" spans="1:24" x14ac:dyDescent="0.25">
      <c r="A5169" s="22">
        <v>43520</v>
      </c>
      <c r="B5169" s="1"/>
      <c r="C5169" s="1"/>
      <c r="D5169" s="1">
        <v>8.1999999999999993</v>
      </c>
      <c r="F5169" s="1">
        <v>5.7</v>
      </c>
      <c r="G5169" s="1">
        <v>18.100000000000001</v>
      </c>
      <c r="H5169" s="1"/>
      <c r="I5169" s="1"/>
      <c r="J5169" s="1"/>
      <c r="K5169" s="1">
        <v>11.2</v>
      </c>
      <c r="L5169" s="1">
        <v>7.8739999999999997</v>
      </c>
      <c r="M5169" s="1">
        <v>1</v>
      </c>
      <c r="O5169" s="1"/>
      <c r="Q5169" s="1">
        <v>0.4</v>
      </c>
      <c r="R5169" s="1"/>
      <c r="U5169" s="1">
        <v>9</v>
      </c>
      <c r="X5169" s="1"/>
    </row>
    <row r="5170" spans="1:24" x14ac:dyDescent="0.25">
      <c r="A5170" s="22">
        <v>43521</v>
      </c>
      <c r="B5170" s="1"/>
      <c r="C5170" s="1"/>
      <c r="D5170" s="1">
        <v>3.8</v>
      </c>
      <c r="F5170" s="1">
        <v>1.6</v>
      </c>
      <c r="G5170" s="1">
        <v>3.7</v>
      </c>
      <c r="H5170" s="1"/>
      <c r="I5170" s="1"/>
      <c r="J5170" s="1"/>
      <c r="K5170" s="1">
        <v>3</v>
      </c>
      <c r="L5170" s="1">
        <v>2.2859999999999996</v>
      </c>
      <c r="M5170" s="1">
        <v>14.8</v>
      </c>
      <c r="O5170" s="1"/>
      <c r="Q5170" s="1">
        <v>10.199999999999999</v>
      </c>
      <c r="R5170" s="1"/>
      <c r="U5170" s="1">
        <v>18</v>
      </c>
      <c r="X5170" s="1"/>
    </row>
    <row r="5171" spans="1:24" x14ac:dyDescent="0.25">
      <c r="A5171" s="22">
        <v>43522</v>
      </c>
      <c r="B5171" s="1"/>
      <c r="C5171" s="1"/>
      <c r="D5171" s="1">
        <v>27.7</v>
      </c>
      <c r="F5171" s="1">
        <v>6.5</v>
      </c>
      <c r="G5171" s="1">
        <v>33.700000000000003</v>
      </c>
      <c r="H5171" s="1"/>
      <c r="I5171" s="1"/>
      <c r="J5171" s="1"/>
      <c r="K5171" s="1">
        <v>35.299999999999997</v>
      </c>
      <c r="L5171" s="1">
        <v>10.413999999999998</v>
      </c>
      <c r="M5171" s="1">
        <v>21.5</v>
      </c>
      <c r="O5171" s="1"/>
      <c r="Q5171" s="1">
        <v>2.9</v>
      </c>
      <c r="R5171" s="1"/>
      <c r="U5171" s="1">
        <v>12</v>
      </c>
      <c r="X5171" s="1"/>
    </row>
    <row r="5172" spans="1:24" x14ac:dyDescent="0.25">
      <c r="A5172" s="22">
        <v>43523</v>
      </c>
      <c r="B5172" s="1"/>
      <c r="C5172" s="1"/>
      <c r="D5172" s="1">
        <v>6.4</v>
      </c>
      <c r="F5172" s="1">
        <v>2</v>
      </c>
      <c r="G5172" s="1">
        <v>10.7</v>
      </c>
      <c r="H5172" s="1"/>
      <c r="I5172" s="1"/>
      <c r="J5172" s="1"/>
      <c r="K5172" s="1">
        <v>7.3</v>
      </c>
      <c r="L5172" s="1">
        <v>2.2859999999999996</v>
      </c>
      <c r="M5172" s="1">
        <v>11</v>
      </c>
      <c r="O5172" s="1"/>
      <c r="Q5172" s="1">
        <v>0</v>
      </c>
      <c r="R5172" s="1"/>
      <c r="U5172" s="1">
        <v>8</v>
      </c>
      <c r="X5172" s="1"/>
    </row>
    <row r="5173" spans="1:24" x14ac:dyDescent="0.25">
      <c r="A5173" s="22">
        <v>43524</v>
      </c>
      <c r="B5173" s="1">
        <v>31</v>
      </c>
      <c r="C5173" s="1"/>
      <c r="D5173" s="1">
        <v>0</v>
      </c>
      <c r="F5173" s="1">
        <v>0.4</v>
      </c>
      <c r="G5173" s="1">
        <v>1.1000000000000001</v>
      </c>
      <c r="H5173" s="1"/>
      <c r="I5173" s="1"/>
      <c r="J5173" s="1"/>
      <c r="K5173" s="1">
        <v>0</v>
      </c>
      <c r="L5173" s="1">
        <v>0</v>
      </c>
      <c r="M5173" s="1">
        <v>0.2</v>
      </c>
      <c r="O5173" s="1"/>
      <c r="Q5173" s="1">
        <v>0</v>
      </c>
      <c r="R5173" s="1"/>
      <c r="U5173" s="1">
        <v>0</v>
      </c>
      <c r="X5173" s="1"/>
    </row>
    <row r="5174" spans="1:24" x14ac:dyDescent="0.25">
      <c r="A5174" s="22">
        <v>43525</v>
      </c>
      <c r="B5174" s="1">
        <v>0</v>
      </c>
      <c r="C5174" s="1">
        <v>0</v>
      </c>
      <c r="D5174" s="1">
        <v>0.4</v>
      </c>
      <c r="F5174" s="1">
        <v>0</v>
      </c>
      <c r="G5174" s="1">
        <v>0</v>
      </c>
      <c r="H5174" s="1"/>
      <c r="I5174" s="1">
        <v>0</v>
      </c>
      <c r="J5174" s="1">
        <v>0</v>
      </c>
      <c r="K5174" s="1">
        <v>0</v>
      </c>
      <c r="L5174" s="1">
        <v>1.778</v>
      </c>
      <c r="M5174" s="1">
        <v>1.6</v>
      </c>
      <c r="O5174" s="1">
        <v>0</v>
      </c>
      <c r="Q5174" s="1">
        <v>7.5</v>
      </c>
      <c r="R5174" s="1">
        <v>0</v>
      </c>
      <c r="U5174" s="1">
        <v>0</v>
      </c>
      <c r="X5174" s="1">
        <v>0</v>
      </c>
    </row>
    <row r="5175" spans="1:24" x14ac:dyDescent="0.25">
      <c r="A5175" s="22">
        <v>43526</v>
      </c>
      <c r="B5175" s="1">
        <v>0</v>
      </c>
      <c r="C5175" s="1">
        <v>5.2</v>
      </c>
      <c r="D5175" s="1">
        <v>5</v>
      </c>
      <c r="F5175" s="1">
        <v>1.6</v>
      </c>
      <c r="G5175" s="1">
        <v>2.1</v>
      </c>
      <c r="H5175" s="1"/>
      <c r="I5175" s="1">
        <v>0</v>
      </c>
      <c r="J5175" s="1">
        <v>0.5</v>
      </c>
      <c r="K5175" s="1">
        <v>4.8</v>
      </c>
      <c r="L5175" s="1">
        <v>4.0640000000000001</v>
      </c>
      <c r="M5175" s="1">
        <v>0</v>
      </c>
      <c r="O5175" s="1">
        <v>7.6199999999999992</v>
      </c>
      <c r="Q5175" s="1">
        <v>0</v>
      </c>
      <c r="R5175" s="1">
        <v>0</v>
      </c>
      <c r="U5175" s="1">
        <v>7</v>
      </c>
      <c r="X5175" s="1">
        <v>0</v>
      </c>
    </row>
    <row r="5176" spans="1:24" x14ac:dyDescent="0.25">
      <c r="A5176" s="22">
        <v>43527</v>
      </c>
      <c r="B5176" s="1">
        <v>0</v>
      </c>
      <c r="C5176" s="1">
        <v>2.9</v>
      </c>
      <c r="D5176" s="1">
        <v>2</v>
      </c>
      <c r="F5176" s="1">
        <v>0</v>
      </c>
      <c r="G5176" s="1">
        <v>2</v>
      </c>
      <c r="H5176" s="1"/>
      <c r="I5176" s="1">
        <v>0</v>
      </c>
      <c r="J5176" s="1">
        <v>1</v>
      </c>
      <c r="K5176" s="1">
        <v>1.2</v>
      </c>
      <c r="L5176" s="1">
        <v>0</v>
      </c>
      <c r="M5176" s="1">
        <v>0</v>
      </c>
      <c r="O5176" s="1">
        <v>1.778</v>
      </c>
      <c r="Q5176" s="1">
        <v>1.1000000000000001</v>
      </c>
      <c r="R5176" s="1">
        <v>0</v>
      </c>
      <c r="U5176" s="1">
        <v>4</v>
      </c>
      <c r="X5176" s="1">
        <v>0</v>
      </c>
    </row>
    <row r="5177" spans="1:24" x14ac:dyDescent="0.25">
      <c r="A5177" s="22">
        <v>43528</v>
      </c>
      <c r="B5177" s="1">
        <v>0</v>
      </c>
      <c r="C5177" s="1">
        <v>2.2999999999999998</v>
      </c>
      <c r="D5177" s="1">
        <v>7.1</v>
      </c>
      <c r="F5177" s="1">
        <v>0</v>
      </c>
      <c r="G5177" s="1">
        <v>0</v>
      </c>
      <c r="H5177" s="1"/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O5177" s="1">
        <v>3.8099999999999996</v>
      </c>
      <c r="Q5177" s="1">
        <v>1.8</v>
      </c>
      <c r="R5177" s="1">
        <v>0.5</v>
      </c>
      <c r="U5177" s="1">
        <v>0</v>
      </c>
      <c r="X5177" s="1">
        <v>5.0999999999999996</v>
      </c>
    </row>
    <row r="5178" spans="1:24" x14ac:dyDescent="0.25">
      <c r="A5178" s="22">
        <v>43529</v>
      </c>
      <c r="B5178" s="1">
        <v>12.6</v>
      </c>
      <c r="C5178" s="1">
        <v>5.7</v>
      </c>
      <c r="D5178" s="1">
        <v>11.5</v>
      </c>
      <c r="F5178" s="1">
        <v>1.8</v>
      </c>
      <c r="G5178" s="1">
        <v>3.1</v>
      </c>
      <c r="H5178" s="1"/>
      <c r="I5178" s="1">
        <v>0</v>
      </c>
      <c r="J5178" s="1">
        <v>0</v>
      </c>
      <c r="K5178" s="1">
        <v>0</v>
      </c>
      <c r="L5178" s="1">
        <v>1.5239999999999998</v>
      </c>
      <c r="M5178" s="1">
        <v>2.5</v>
      </c>
      <c r="O5178" s="1">
        <v>10.16</v>
      </c>
      <c r="Q5178" s="1">
        <v>1.1000000000000001</v>
      </c>
      <c r="R5178" s="1">
        <v>1.3</v>
      </c>
      <c r="U5178" s="1">
        <v>7</v>
      </c>
      <c r="X5178" s="1">
        <v>0</v>
      </c>
    </row>
    <row r="5179" spans="1:24" x14ac:dyDescent="0.25">
      <c r="A5179" s="22">
        <v>43530</v>
      </c>
      <c r="B5179" s="1">
        <v>0</v>
      </c>
      <c r="C5179" s="1">
        <v>3.1</v>
      </c>
      <c r="D5179" s="1">
        <v>4.4000000000000004</v>
      </c>
      <c r="F5179" s="1">
        <v>0</v>
      </c>
      <c r="G5179" s="1">
        <v>1.6</v>
      </c>
      <c r="H5179" s="1"/>
      <c r="I5179" s="1">
        <v>0</v>
      </c>
      <c r="J5179" s="1">
        <v>0</v>
      </c>
      <c r="K5179" s="1">
        <v>3.5</v>
      </c>
      <c r="L5179" s="1">
        <v>2.032</v>
      </c>
      <c r="M5179" s="1">
        <v>1.7</v>
      </c>
      <c r="O5179" s="1">
        <v>0</v>
      </c>
      <c r="Q5179" s="1">
        <v>0</v>
      </c>
      <c r="R5179" s="1">
        <v>0</v>
      </c>
      <c r="U5179" s="1">
        <v>2</v>
      </c>
      <c r="X5179" s="1">
        <v>0</v>
      </c>
    </row>
    <row r="5180" spans="1:24" x14ac:dyDescent="0.25">
      <c r="A5180" s="22">
        <v>43531</v>
      </c>
      <c r="B5180" s="1">
        <v>0</v>
      </c>
      <c r="C5180" s="1">
        <v>2.2000000000000002</v>
      </c>
      <c r="D5180" s="1">
        <v>0</v>
      </c>
      <c r="F5180" s="1">
        <v>0</v>
      </c>
      <c r="G5180" s="1">
        <v>0.1</v>
      </c>
      <c r="H5180" s="1"/>
      <c r="I5180" s="1">
        <v>0</v>
      </c>
      <c r="J5180" s="1">
        <v>0</v>
      </c>
      <c r="K5180" s="1">
        <v>4</v>
      </c>
      <c r="L5180" s="1">
        <v>0</v>
      </c>
      <c r="M5180" s="1">
        <v>1.3</v>
      </c>
      <c r="O5180" s="1">
        <v>0</v>
      </c>
      <c r="Q5180" s="1">
        <v>9.8000000000000007</v>
      </c>
      <c r="R5180" s="1">
        <v>8.9</v>
      </c>
      <c r="U5180" s="1">
        <v>0</v>
      </c>
      <c r="X5180" s="1">
        <v>0</v>
      </c>
    </row>
    <row r="5181" spans="1:24" x14ac:dyDescent="0.25">
      <c r="A5181" s="22">
        <v>43532</v>
      </c>
      <c r="B5181" s="1">
        <v>22.5</v>
      </c>
      <c r="C5181" s="1">
        <v>4.3</v>
      </c>
      <c r="D5181" s="1">
        <v>9.4</v>
      </c>
      <c r="F5181" s="1">
        <v>10.6</v>
      </c>
      <c r="G5181" s="1">
        <v>11.5</v>
      </c>
      <c r="H5181" s="1"/>
      <c r="I5181" s="1">
        <v>0</v>
      </c>
      <c r="J5181" s="1">
        <v>0</v>
      </c>
      <c r="K5181" s="1">
        <v>9.5</v>
      </c>
      <c r="L5181" s="1">
        <v>7.8739999999999997</v>
      </c>
      <c r="M5181" s="1">
        <v>10.5</v>
      </c>
      <c r="O5181" s="1">
        <v>15.493999999999998</v>
      </c>
      <c r="Q5181" s="1">
        <v>26.1</v>
      </c>
      <c r="R5181" s="1">
        <v>17.100000000000001</v>
      </c>
      <c r="U5181" s="1">
        <v>7</v>
      </c>
      <c r="X5181" s="1">
        <v>20.5</v>
      </c>
    </row>
    <row r="5182" spans="1:24" x14ac:dyDescent="0.25">
      <c r="A5182" s="22">
        <v>43533</v>
      </c>
      <c r="B5182" s="1">
        <v>0</v>
      </c>
      <c r="C5182" s="1">
        <v>3.1</v>
      </c>
      <c r="D5182" s="1">
        <v>21</v>
      </c>
      <c r="F5182" s="1">
        <v>20.399999999999999</v>
      </c>
      <c r="G5182" s="1">
        <v>15.5</v>
      </c>
      <c r="H5182" s="1"/>
      <c r="I5182" s="1">
        <v>0</v>
      </c>
      <c r="J5182" s="1">
        <v>10.5</v>
      </c>
      <c r="K5182" s="1">
        <v>15.5</v>
      </c>
      <c r="L5182" s="1">
        <v>14.985999999999999</v>
      </c>
      <c r="M5182" s="1">
        <v>17.3</v>
      </c>
      <c r="O5182" s="1">
        <v>0</v>
      </c>
      <c r="Q5182" s="1">
        <v>0</v>
      </c>
      <c r="R5182" s="1">
        <v>0</v>
      </c>
      <c r="U5182" s="1">
        <v>35</v>
      </c>
      <c r="X5182" s="1">
        <v>10.6</v>
      </c>
    </row>
    <row r="5183" spans="1:24" x14ac:dyDescent="0.25">
      <c r="A5183" s="22">
        <v>43534</v>
      </c>
      <c r="B5183" s="1">
        <v>0</v>
      </c>
      <c r="C5183" s="1">
        <v>0</v>
      </c>
      <c r="D5183" s="1">
        <v>6.2</v>
      </c>
      <c r="F5183" s="1">
        <v>0</v>
      </c>
      <c r="G5183" s="1">
        <v>0.9</v>
      </c>
      <c r="H5183" s="1"/>
      <c r="I5183" s="1">
        <v>1.6</v>
      </c>
      <c r="J5183" s="1">
        <v>1.1000000000000001</v>
      </c>
      <c r="K5183" s="1">
        <v>0</v>
      </c>
      <c r="L5183" s="1">
        <v>1.016</v>
      </c>
      <c r="M5183" s="1">
        <v>0.3</v>
      </c>
      <c r="O5183" s="1">
        <v>0</v>
      </c>
      <c r="Q5183" s="1">
        <v>7</v>
      </c>
      <c r="R5183" s="1">
        <v>2.9</v>
      </c>
      <c r="U5183" s="1">
        <v>5</v>
      </c>
      <c r="X5183" s="1">
        <v>0</v>
      </c>
    </row>
    <row r="5184" spans="1:24" x14ac:dyDescent="0.25">
      <c r="A5184" s="22">
        <v>43535</v>
      </c>
      <c r="B5184" s="1">
        <v>0</v>
      </c>
      <c r="C5184" s="1">
        <v>18.2</v>
      </c>
      <c r="D5184" s="1">
        <v>3.8</v>
      </c>
      <c r="F5184" s="1">
        <v>2.7</v>
      </c>
      <c r="G5184" s="1">
        <v>4.9000000000000004</v>
      </c>
      <c r="H5184" s="1"/>
      <c r="I5184" s="1">
        <v>1.4</v>
      </c>
      <c r="J5184" s="1">
        <v>7.7</v>
      </c>
      <c r="K5184" s="1">
        <v>8.5</v>
      </c>
      <c r="L5184" s="1">
        <v>2.032</v>
      </c>
      <c r="M5184" s="1">
        <v>8.6999999999999993</v>
      </c>
      <c r="O5184" s="1">
        <v>0</v>
      </c>
      <c r="Q5184" s="1">
        <v>12.2</v>
      </c>
      <c r="R5184" s="1">
        <v>3.5</v>
      </c>
      <c r="U5184" s="1">
        <v>10</v>
      </c>
      <c r="X5184" s="1">
        <v>5.3</v>
      </c>
    </row>
    <row r="5185" spans="1:24" x14ac:dyDescent="0.25">
      <c r="A5185" s="22">
        <v>43536</v>
      </c>
      <c r="B5185" s="1">
        <v>0</v>
      </c>
      <c r="C5185" s="1">
        <v>8.1</v>
      </c>
      <c r="D5185" s="1">
        <v>15</v>
      </c>
      <c r="F5185" s="1">
        <v>19.3</v>
      </c>
      <c r="G5185" s="1">
        <v>14.1</v>
      </c>
      <c r="H5185" s="1"/>
      <c r="I5185" s="1">
        <v>7</v>
      </c>
      <c r="J5185" s="1">
        <v>10.8</v>
      </c>
      <c r="K5185" s="1">
        <v>17.399999999999999</v>
      </c>
      <c r="L5185" s="1">
        <v>3.8099999999999996</v>
      </c>
      <c r="M5185" s="1">
        <v>11.4</v>
      </c>
      <c r="O5185" s="1">
        <v>21.59</v>
      </c>
      <c r="Q5185" s="1">
        <v>13.4</v>
      </c>
      <c r="R5185" s="1">
        <v>10.1</v>
      </c>
      <c r="U5185" s="1">
        <v>0</v>
      </c>
      <c r="X5185" s="1">
        <v>19.100000000000001</v>
      </c>
    </row>
    <row r="5186" spans="1:24" x14ac:dyDescent="0.25">
      <c r="A5186" s="22">
        <v>43537</v>
      </c>
      <c r="B5186" s="1">
        <v>0</v>
      </c>
      <c r="C5186" s="1">
        <v>10</v>
      </c>
      <c r="D5186" s="1">
        <v>31.1</v>
      </c>
      <c r="F5186" s="1">
        <v>3.5</v>
      </c>
      <c r="G5186" s="1">
        <v>7.4</v>
      </c>
      <c r="H5186" s="1"/>
      <c r="I5186" s="1">
        <v>2.2999999999999998</v>
      </c>
      <c r="J5186" s="1">
        <v>10.199999999999999</v>
      </c>
      <c r="K5186" s="1">
        <v>16.100000000000001</v>
      </c>
      <c r="L5186" s="1">
        <v>5.5880000000000001</v>
      </c>
      <c r="M5186" s="1">
        <v>5.8</v>
      </c>
      <c r="O5186" s="1">
        <v>6.35</v>
      </c>
      <c r="Q5186" s="1">
        <v>4.5</v>
      </c>
      <c r="R5186" s="1">
        <v>4.0999999999999996</v>
      </c>
      <c r="U5186" s="1">
        <v>0</v>
      </c>
      <c r="X5186" s="1">
        <v>3.5</v>
      </c>
    </row>
    <row r="5187" spans="1:24" x14ac:dyDescent="0.25">
      <c r="A5187" s="22">
        <v>43538</v>
      </c>
      <c r="B5187" s="1">
        <v>50.5</v>
      </c>
      <c r="C5187" s="1">
        <v>4.0999999999999996</v>
      </c>
      <c r="D5187" s="1">
        <v>8</v>
      </c>
      <c r="F5187" s="1">
        <v>4</v>
      </c>
      <c r="G5187" s="1">
        <v>4.3</v>
      </c>
      <c r="H5187" s="1"/>
      <c r="I5187" s="1">
        <v>0</v>
      </c>
      <c r="J5187" s="1">
        <v>3.4</v>
      </c>
      <c r="K5187" s="1">
        <v>5.7</v>
      </c>
      <c r="L5187" s="1">
        <v>4.5719999999999992</v>
      </c>
      <c r="M5187" s="1">
        <v>2</v>
      </c>
      <c r="O5187" s="1">
        <v>0</v>
      </c>
      <c r="Q5187" s="1">
        <v>0</v>
      </c>
      <c r="R5187" s="1">
        <v>0</v>
      </c>
      <c r="U5187" s="1">
        <v>17</v>
      </c>
      <c r="X5187" s="1">
        <v>3.1</v>
      </c>
    </row>
    <row r="5188" spans="1:24" x14ac:dyDescent="0.25">
      <c r="A5188" s="22">
        <v>43539</v>
      </c>
      <c r="B5188" s="1">
        <v>0</v>
      </c>
      <c r="C5188" s="1">
        <v>0</v>
      </c>
      <c r="D5188" s="1">
        <v>0</v>
      </c>
      <c r="F5188" s="1">
        <v>0</v>
      </c>
      <c r="G5188" s="1">
        <v>0</v>
      </c>
      <c r="H5188" s="1"/>
      <c r="I5188" s="1">
        <v>0</v>
      </c>
      <c r="J5188" s="1">
        <v>0</v>
      </c>
      <c r="K5188" s="1">
        <v>0.2</v>
      </c>
      <c r="L5188" s="1">
        <v>0.7619999999999999</v>
      </c>
      <c r="M5188" s="1">
        <v>0</v>
      </c>
      <c r="O5188" s="1">
        <v>0</v>
      </c>
      <c r="Q5188" s="1">
        <v>6.1</v>
      </c>
      <c r="R5188" s="1">
        <v>6</v>
      </c>
      <c r="U5188" s="1">
        <v>1</v>
      </c>
      <c r="X5188" s="1">
        <v>0</v>
      </c>
    </row>
    <row r="5189" spans="1:24" x14ac:dyDescent="0.25">
      <c r="A5189" s="22">
        <v>43540</v>
      </c>
      <c r="B5189" s="1">
        <v>0</v>
      </c>
      <c r="C5189" s="1">
        <v>0</v>
      </c>
      <c r="D5189" s="1">
        <v>0</v>
      </c>
      <c r="F5189" s="1">
        <v>0</v>
      </c>
      <c r="G5189" s="1">
        <v>0.6</v>
      </c>
      <c r="H5189" s="1"/>
      <c r="I5189" s="1">
        <v>0</v>
      </c>
      <c r="J5189" s="1">
        <v>0.2</v>
      </c>
      <c r="K5189" s="1">
        <v>1.2</v>
      </c>
      <c r="L5189" s="1">
        <v>1.016</v>
      </c>
      <c r="M5189" s="1">
        <v>1.1000000000000001</v>
      </c>
      <c r="O5189" s="1">
        <v>3.8099999999999996</v>
      </c>
      <c r="Q5189" s="1">
        <v>0.8</v>
      </c>
      <c r="R5189" s="1">
        <v>0.5</v>
      </c>
      <c r="U5189" s="1">
        <v>0</v>
      </c>
      <c r="X5189" s="1">
        <v>1.1000000000000001</v>
      </c>
    </row>
    <row r="5190" spans="1:24" x14ac:dyDescent="0.25">
      <c r="A5190" s="22">
        <v>43541</v>
      </c>
      <c r="B5190" s="1">
        <v>0</v>
      </c>
      <c r="C5190" s="1">
        <v>3.5</v>
      </c>
      <c r="D5190" s="1">
        <v>8.1999999999999993</v>
      </c>
      <c r="F5190" s="1">
        <v>0</v>
      </c>
      <c r="G5190" s="1">
        <v>1.3</v>
      </c>
      <c r="H5190" s="1"/>
      <c r="I5190" s="1">
        <v>0</v>
      </c>
      <c r="J5190" s="1">
        <v>1.3</v>
      </c>
      <c r="K5190" s="1">
        <v>4.0999999999999996</v>
      </c>
      <c r="L5190" s="1">
        <v>7.3659999999999988</v>
      </c>
      <c r="M5190" s="1">
        <v>1.4</v>
      </c>
      <c r="O5190" s="1">
        <v>1.778</v>
      </c>
      <c r="Q5190" s="1">
        <v>7.6</v>
      </c>
      <c r="R5190" s="1">
        <v>13.8</v>
      </c>
      <c r="U5190" s="1">
        <v>0</v>
      </c>
      <c r="X5190" s="1">
        <v>0</v>
      </c>
    </row>
    <row r="5191" spans="1:24" x14ac:dyDescent="0.25">
      <c r="A5191" s="22">
        <v>43542</v>
      </c>
      <c r="B5191" s="1">
        <v>0</v>
      </c>
      <c r="C5191" s="1">
        <v>2.5</v>
      </c>
      <c r="D5191" s="1">
        <v>0</v>
      </c>
      <c r="F5191" s="1">
        <v>0</v>
      </c>
      <c r="G5191" s="1">
        <v>2</v>
      </c>
      <c r="H5191" s="1"/>
      <c r="I5191" s="1">
        <v>3.1</v>
      </c>
      <c r="J5191" s="1">
        <v>0.5</v>
      </c>
      <c r="K5191" s="1">
        <v>0</v>
      </c>
      <c r="L5191" s="1">
        <v>0</v>
      </c>
      <c r="M5191" s="1">
        <v>0.5</v>
      </c>
      <c r="O5191" s="1">
        <v>0</v>
      </c>
      <c r="Q5191" s="1">
        <v>0</v>
      </c>
      <c r="R5191" s="1">
        <v>0</v>
      </c>
      <c r="U5191" s="1">
        <v>10</v>
      </c>
      <c r="X5191" s="1">
        <v>0</v>
      </c>
    </row>
    <row r="5192" spans="1:24" x14ac:dyDescent="0.25">
      <c r="A5192" s="22">
        <v>43543</v>
      </c>
      <c r="B5192" s="1">
        <v>0</v>
      </c>
      <c r="C5192" s="1">
        <v>2.5</v>
      </c>
      <c r="D5192" s="1">
        <v>0</v>
      </c>
      <c r="F5192" s="1">
        <v>0</v>
      </c>
      <c r="G5192" s="1">
        <v>0</v>
      </c>
      <c r="H5192" s="1"/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O5192" s="1">
        <v>0</v>
      </c>
      <c r="Q5192" s="1">
        <v>0</v>
      </c>
      <c r="R5192" s="1">
        <v>0</v>
      </c>
      <c r="U5192" s="1">
        <v>0</v>
      </c>
      <c r="X5192" s="1">
        <v>0</v>
      </c>
    </row>
    <row r="5193" spans="1:24" x14ac:dyDescent="0.25">
      <c r="A5193" s="22">
        <v>43544</v>
      </c>
      <c r="B5193" s="1">
        <v>0</v>
      </c>
      <c r="C5193" s="1">
        <v>0</v>
      </c>
      <c r="D5193" s="1">
        <v>0</v>
      </c>
      <c r="F5193" s="1">
        <v>0</v>
      </c>
      <c r="G5193" s="1">
        <v>0</v>
      </c>
      <c r="H5193" s="1"/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O5193" s="1">
        <v>0</v>
      </c>
      <c r="Q5193" s="1">
        <v>0</v>
      </c>
      <c r="R5193" s="1">
        <v>0</v>
      </c>
      <c r="U5193" s="1">
        <v>0</v>
      </c>
      <c r="X5193" s="1">
        <v>0</v>
      </c>
    </row>
    <row r="5194" spans="1:24" x14ac:dyDescent="0.25">
      <c r="A5194" s="22">
        <v>43545</v>
      </c>
      <c r="B5194" s="1">
        <v>0</v>
      </c>
      <c r="C5194" s="1">
        <v>0</v>
      </c>
      <c r="D5194" s="1">
        <v>0</v>
      </c>
      <c r="F5194" s="1">
        <v>0</v>
      </c>
      <c r="G5194" s="1">
        <v>0</v>
      </c>
      <c r="H5194" s="1"/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O5194" s="1">
        <v>0</v>
      </c>
      <c r="Q5194" s="1">
        <v>0</v>
      </c>
      <c r="R5194" s="1">
        <v>0</v>
      </c>
      <c r="U5194" s="1">
        <v>0</v>
      </c>
      <c r="X5194" s="1">
        <v>0</v>
      </c>
    </row>
    <row r="5195" spans="1:24" x14ac:dyDescent="0.25">
      <c r="A5195" s="22">
        <v>43546</v>
      </c>
      <c r="B5195" s="1">
        <v>0</v>
      </c>
      <c r="C5195" s="1">
        <v>0</v>
      </c>
      <c r="D5195" s="1">
        <v>0</v>
      </c>
      <c r="F5195" s="1">
        <v>0</v>
      </c>
      <c r="G5195" s="1">
        <v>0</v>
      </c>
      <c r="H5195" s="1"/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O5195" s="1">
        <v>0</v>
      </c>
      <c r="Q5195" s="1">
        <v>22.9</v>
      </c>
      <c r="R5195" s="1">
        <v>18</v>
      </c>
      <c r="U5195" s="1">
        <v>14</v>
      </c>
      <c r="X5195" s="1">
        <v>0</v>
      </c>
    </row>
    <row r="5196" spans="1:24" x14ac:dyDescent="0.25">
      <c r="A5196" s="22">
        <v>43547</v>
      </c>
      <c r="B5196" s="1">
        <v>0</v>
      </c>
      <c r="C5196" s="1">
        <v>10</v>
      </c>
      <c r="D5196" s="1">
        <v>11</v>
      </c>
      <c r="F5196" s="1">
        <v>13</v>
      </c>
      <c r="G5196" s="1">
        <v>15.5</v>
      </c>
      <c r="H5196" s="1"/>
      <c r="I5196" s="1">
        <v>6.3</v>
      </c>
      <c r="J5196" s="1">
        <v>14</v>
      </c>
      <c r="K5196" s="1">
        <v>2.4</v>
      </c>
      <c r="L5196" s="1">
        <v>9.9060000000000006</v>
      </c>
      <c r="M5196" s="1">
        <v>17.8</v>
      </c>
      <c r="O5196" s="1">
        <v>9.9060000000000006</v>
      </c>
      <c r="Q5196" s="1">
        <v>0</v>
      </c>
      <c r="R5196" s="1">
        <v>0</v>
      </c>
      <c r="U5196" s="1">
        <v>9</v>
      </c>
      <c r="X5196" s="1">
        <v>0</v>
      </c>
    </row>
    <row r="5197" spans="1:24" x14ac:dyDescent="0.25">
      <c r="A5197" s="22">
        <v>43548</v>
      </c>
      <c r="B5197" s="1">
        <v>0</v>
      </c>
      <c r="C5197" s="1">
        <v>0</v>
      </c>
      <c r="D5197" s="1">
        <v>7.1</v>
      </c>
      <c r="F5197" s="1">
        <v>0</v>
      </c>
      <c r="G5197" s="1">
        <v>0</v>
      </c>
      <c r="H5197" s="1"/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O5197" s="1">
        <v>1.27</v>
      </c>
      <c r="Q5197" s="1">
        <v>0</v>
      </c>
      <c r="R5197" s="1">
        <v>0.4</v>
      </c>
      <c r="U5197" s="1">
        <v>5</v>
      </c>
      <c r="X5197" s="1">
        <v>15.4</v>
      </c>
    </row>
    <row r="5198" spans="1:24" x14ac:dyDescent="0.25">
      <c r="A5198" s="22">
        <v>43549</v>
      </c>
      <c r="B5198" s="1">
        <v>0</v>
      </c>
      <c r="C5198" s="1">
        <v>15.9</v>
      </c>
      <c r="D5198" s="1">
        <v>0</v>
      </c>
      <c r="F5198" s="1">
        <v>0</v>
      </c>
      <c r="G5198" s="1">
        <v>1.7</v>
      </c>
      <c r="H5198" s="1"/>
      <c r="I5198" s="1">
        <v>0</v>
      </c>
      <c r="J5198" s="1">
        <v>0.5</v>
      </c>
      <c r="K5198" s="1">
        <v>2.2999999999999998</v>
      </c>
      <c r="L5198" s="1">
        <v>0</v>
      </c>
      <c r="M5198" s="1">
        <v>0</v>
      </c>
      <c r="O5198" s="1">
        <v>2.54</v>
      </c>
      <c r="Q5198" s="1">
        <v>1.1000000000000001</v>
      </c>
      <c r="R5198" s="1">
        <v>0</v>
      </c>
      <c r="U5198" s="1">
        <v>0</v>
      </c>
      <c r="X5198" s="1">
        <v>2.5</v>
      </c>
    </row>
    <row r="5199" spans="1:24" x14ac:dyDescent="0.25">
      <c r="A5199" s="22">
        <v>43550</v>
      </c>
      <c r="B5199" s="1">
        <v>0</v>
      </c>
      <c r="C5199" s="1">
        <v>2.2999999999999998</v>
      </c>
      <c r="D5199" s="1">
        <v>4.5</v>
      </c>
      <c r="F5199" s="1">
        <v>3.4</v>
      </c>
      <c r="G5199" s="1">
        <v>3.1</v>
      </c>
      <c r="H5199" s="1"/>
      <c r="I5199" s="1">
        <v>0.6</v>
      </c>
      <c r="J5199" s="1">
        <v>5.2</v>
      </c>
      <c r="K5199" s="1">
        <v>10.4</v>
      </c>
      <c r="L5199" s="1">
        <v>2.794</v>
      </c>
      <c r="M5199" s="1">
        <v>1.5</v>
      </c>
      <c r="O5199" s="1">
        <v>6.35</v>
      </c>
      <c r="Q5199" s="1">
        <v>1.3</v>
      </c>
      <c r="R5199" s="1">
        <v>1.8</v>
      </c>
      <c r="U5199" s="1">
        <v>10</v>
      </c>
      <c r="X5199" s="1">
        <v>3.5</v>
      </c>
    </row>
    <row r="5200" spans="1:24" x14ac:dyDescent="0.25">
      <c r="A5200" s="22">
        <v>43551</v>
      </c>
      <c r="B5200" s="1">
        <v>0</v>
      </c>
      <c r="C5200" s="1">
        <v>1.3</v>
      </c>
      <c r="D5200" s="1">
        <v>8.5</v>
      </c>
      <c r="F5200" s="1">
        <v>4.5999999999999996</v>
      </c>
      <c r="G5200" s="1">
        <v>7.6</v>
      </c>
      <c r="H5200" s="1"/>
      <c r="I5200" s="1">
        <v>6.5</v>
      </c>
      <c r="J5200" s="1">
        <v>15.2</v>
      </c>
      <c r="K5200" s="1">
        <v>11.4</v>
      </c>
      <c r="L5200" s="1">
        <v>1.016</v>
      </c>
      <c r="M5200" s="1">
        <v>7.2</v>
      </c>
      <c r="O5200" s="1">
        <v>0</v>
      </c>
      <c r="Q5200" s="1">
        <v>0</v>
      </c>
      <c r="R5200" s="1">
        <v>0.1</v>
      </c>
      <c r="U5200" s="1">
        <v>3</v>
      </c>
      <c r="X5200" s="1">
        <v>0</v>
      </c>
    </row>
    <row r="5201" spans="1:24" x14ac:dyDescent="0.25">
      <c r="A5201" s="22">
        <v>43552</v>
      </c>
      <c r="B5201" s="1">
        <v>0</v>
      </c>
      <c r="C5201" s="1">
        <v>1.2</v>
      </c>
      <c r="D5201" s="1">
        <v>1.2</v>
      </c>
      <c r="F5201" s="1">
        <v>0.3</v>
      </c>
      <c r="G5201" s="1">
        <v>3</v>
      </c>
      <c r="H5201" s="1"/>
      <c r="I5201" s="1">
        <v>1.1000000000000001</v>
      </c>
      <c r="J5201" s="1">
        <v>7.7</v>
      </c>
      <c r="K5201" s="1">
        <v>4.2</v>
      </c>
      <c r="L5201" s="1">
        <v>1.27</v>
      </c>
      <c r="M5201" s="1">
        <v>2.2999999999999998</v>
      </c>
      <c r="O5201" s="1">
        <v>0</v>
      </c>
      <c r="Q5201" s="1">
        <v>0</v>
      </c>
      <c r="R5201" s="1">
        <v>0</v>
      </c>
      <c r="U5201" s="1">
        <v>1</v>
      </c>
      <c r="X5201" s="1">
        <v>0</v>
      </c>
    </row>
    <row r="5202" spans="1:24" x14ac:dyDescent="0.25">
      <c r="A5202" s="22">
        <v>43553</v>
      </c>
      <c r="B5202" s="1">
        <v>0</v>
      </c>
      <c r="C5202" s="1">
        <v>2.5</v>
      </c>
      <c r="D5202" s="1">
        <v>4.9000000000000004</v>
      </c>
      <c r="F5202" s="1">
        <v>0</v>
      </c>
      <c r="G5202" s="1">
        <v>0.4</v>
      </c>
      <c r="H5202" s="1"/>
      <c r="I5202" s="1">
        <v>0.6</v>
      </c>
      <c r="J5202" s="1">
        <v>1.1000000000000001</v>
      </c>
      <c r="K5202" s="1">
        <v>0.6</v>
      </c>
      <c r="L5202" s="1">
        <v>0</v>
      </c>
      <c r="M5202" s="1">
        <v>0.5</v>
      </c>
      <c r="O5202" s="1">
        <v>0</v>
      </c>
      <c r="Q5202" s="1">
        <v>0</v>
      </c>
      <c r="R5202" s="1">
        <v>0</v>
      </c>
      <c r="U5202" s="1">
        <v>0</v>
      </c>
      <c r="X5202" s="1">
        <v>0</v>
      </c>
    </row>
    <row r="5203" spans="1:24" x14ac:dyDescent="0.25">
      <c r="A5203" s="22">
        <v>43554</v>
      </c>
      <c r="B5203" s="1">
        <v>0</v>
      </c>
      <c r="C5203" s="1">
        <v>0</v>
      </c>
      <c r="D5203" s="1">
        <v>3.1</v>
      </c>
      <c r="F5203" s="1">
        <v>0</v>
      </c>
      <c r="G5203" s="1">
        <v>5.7</v>
      </c>
      <c r="H5203" s="1"/>
      <c r="I5203" s="1">
        <v>0.3</v>
      </c>
      <c r="J5203" s="1">
        <v>1.1000000000000001</v>
      </c>
      <c r="K5203" s="1">
        <v>0</v>
      </c>
      <c r="L5203" s="1">
        <v>0</v>
      </c>
      <c r="M5203" s="1">
        <v>0</v>
      </c>
      <c r="O5203" s="1">
        <v>0.7619999999999999</v>
      </c>
      <c r="Q5203" s="1">
        <v>0</v>
      </c>
      <c r="R5203" s="1">
        <v>0.3</v>
      </c>
      <c r="U5203" s="1">
        <v>0</v>
      </c>
      <c r="X5203" s="1">
        <v>0</v>
      </c>
    </row>
    <row r="5204" spans="1:24" x14ac:dyDescent="0.25">
      <c r="A5204" s="22">
        <v>43555</v>
      </c>
      <c r="B5204" s="1">
        <v>0</v>
      </c>
      <c r="C5204" s="1">
        <v>0</v>
      </c>
      <c r="D5204" s="1">
        <v>0</v>
      </c>
      <c r="F5204" s="1">
        <v>0</v>
      </c>
      <c r="G5204" s="1">
        <v>0</v>
      </c>
      <c r="H5204" s="1"/>
      <c r="I5204" s="1">
        <v>0</v>
      </c>
      <c r="J5204" s="1">
        <v>0.5</v>
      </c>
      <c r="K5204" s="1">
        <v>0</v>
      </c>
      <c r="L5204" s="1">
        <v>0</v>
      </c>
      <c r="M5204" s="1">
        <v>0</v>
      </c>
      <c r="O5204" s="1">
        <v>0</v>
      </c>
      <c r="Q5204" s="1">
        <v>0</v>
      </c>
      <c r="R5204" s="1">
        <v>0</v>
      </c>
      <c r="U5204" s="1">
        <v>4</v>
      </c>
      <c r="X5204" s="1">
        <v>0</v>
      </c>
    </row>
    <row r="5205" spans="1:24" x14ac:dyDescent="0.25">
      <c r="A5205" s="22">
        <v>43556</v>
      </c>
      <c r="B5205" s="1">
        <v>16.8</v>
      </c>
      <c r="C5205" s="1">
        <v>0</v>
      </c>
      <c r="D5205" s="1">
        <v>0</v>
      </c>
      <c r="F5205" s="1">
        <v>0</v>
      </c>
      <c r="G5205" s="1">
        <v>0.5</v>
      </c>
      <c r="H5205" s="1">
        <v>0</v>
      </c>
      <c r="I5205" s="1">
        <v>0</v>
      </c>
      <c r="J5205" s="1">
        <v>0.5</v>
      </c>
      <c r="K5205" s="1"/>
      <c r="L5205" s="1">
        <v>0</v>
      </c>
      <c r="M5205" s="1"/>
      <c r="O5205" s="1">
        <v>0</v>
      </c>
      <c r="Q5205" s="1">
        <v>0</v>
      </c>
      <c r="R5205" s="1">
        <v>0</v>
      </c>
      <c r="U5205" s="1">
        <v>0</v>
      </c>
      <c r="X5205" s="1">
        <v>0</v>
      </c>
    </row>
    <row r="5206" spans="1:24" x14ac:dyDescent="0.25">
      <c r="A5206" s="22">
        <v>43557</v>
      </c>
      <c r="B5206" s="1">
        <v>52.3</v>
      </c>
      <c r="C5206" s="1">
        <v>0</v>
      </c>
      <c r="D5206" s="1">
        <v>7.1</v>
      </c>
      <c r="F5206" s="1">
        <v>1.8</v>
      </c>
      <c r="G5206" s="1">
        <v>3.1</v>
      </c>
      <c r="H5206" s="1">
        <v>23.6</v>
      </c>
      <c r="I5206" s="1">
        <v>1.8</v>
      </c>
      <c r="J5206" s="1">
        <v>3.4</v>
      </c>
      <c r="K5206" s="1"/>
      <c r="L5206" s="1">
        <v>0</v>
      </c>
      <c r="M5206" s="1"/>
      <c r="O5206" s="1">
        <v>0</v>
      </c>
      <c r="Q5206" s="1">
        <v>23.6</v>
      </c>
      <c r="R5206" s="1">
        <v>19.7</v>
      </c>
      <c r="U5206" s="1">
        <v>50</v>
      </c>
      <c r="X5206" s="1">
        <v>0</v>
      </c>
    </row>
    <row r="5207" spans="1:24" x14ac:dyDescent="0.25">
      <c r="A5207" s="22">
        <v>43558</v>
      </c>
      <c r="B5207" s="1">
        <v>0</v>
      </c>
      <c r="C5207" s="1">
        <v>15.7</v>
      </c>
      <c r="D5207" s="1">
        <v>27.5</v>
      </c>
      <c r="F5207" s="1">
        <v>17.600000000000001</v>
      </c>
      <c r="G5207" s="1">
        <v>33.299999999999997</v>
      </c>
      <c r="H5207" s="1">
        <v>0</v>
      </c>
      <c r="I5207" s="1">
        <v>18.7</v>
      </c>
      <c r="J5207" s="1">
        <v>38</v>
      </c>
      <c r="K5207" s="1"/>
      <c r="L5207" s="1">
        <v>9.9060000000000006</v>
      </c>
      <c r="M5207" s="1"/>
      <c r="O5207" s="1">
        <v>8.1280000000000001</v>
      </c>
      <c r="Q5207" s="1">
        <v>0</v>
      </c>
      <c r="R5207" s="1">
        <v>0</v>
      </c>
      <c r="U5207" s="1">
        <v>30</v>
      </c>
      <c r="X5207" s="1">
        <v>15.6</v>
      </c>
    </row>
    <row r="5208" spans="1:24" x14ac:dyDescent="0.25">
      <c r="A5208" s="22">
        <v>43559</v>
      </c>
      <c r="B5208" s="1">
        <v>0</v>
      </c>
      <c r="C5208" s="1">
        <v>13.2</v>
      </c>
      <c r="D5208" s="1">
        <v>1.1000000000000001</v>
      </c>
      <c r="F5208" s="1">
        <v>5.4</v>
      </c>
      <c r="G5208" s="1">
        <v>8.5</v>
      </c>
      <c r="H5208" s="1">
        <v>0</v>
      </c>
      <c r="I5208" s="1">
        <v>0</v>
      </c>
      <c r="J5208" s="1">
        <v>2.6</v>
      </c>
      <c r="K5208" s="1"/>
      <c r="L5208" s="1">
        <v>0.7619999999999999</v>
      </c>
      <c r="M5208" s="1"/>
      <c r="O5208" s="1">
        <v>6.0959999999999992</v>
      </c>
      <c r="Q5208" s="1">
        <v>0</v>
      </c>
      <c r="R5208" s="1">
        <v>0</v>
      </c>
      <c r="U5208" s="1">
        <v>3</v>
      </c>
      <c r="X5208" s="1">
        <v>0</v>
      </c>
    </row>
    <row r="5209" spans="1:24" x14ac:dyDescent="0.25">
      <c r="A5209" s="22">
        <v>43560</v>
      </c>
      <c r="B5209" s="1">
        <v>0</v>
      </c>
      <c r="C5209" s="1">
        <v>0</v>
      </c>
      <c r="D5209" s="1">
        <v>1</v>
      </c>
      <c r="F5209" s="1">
        <v>0</v>
      </c>
      <c r="G5209" s="1">
        <v>0.4</v>
      </c>
      <c r="H5209" s="1">
        <v>7.9</v>
      </c>
      <c r="I5209" s="1">
        <v>0</v>
      </c>
      <c r="J5209" s="1">
        <v>1.5</v>
      </c>
      <c r="K5209" s="1"/>
      <c r="L5209" s="1">
        <v>1.016</v>
      </c>
      <c r="M5209" s="1"/>
      <c r="O5209" s="1">
        <v>0</v>
      </c>
      <c r="Q5209" s="1">
        <v>7.9</v>
      </c>
      <c r="R5209" s="1">
        <v>6</v>
      </c>
      <c r="U5209" s="1">
        <v>0</v>
      </c>
      <c r="X5209" s="1">
        <v>0</v>
      </c>
    </row>
    <row r="5210" spans="1:24" x14ac:dyDescent="0.25">
      <c r="A5210" s="22">
        <v>43561</v>
      </c>
      <c r="B5210" s="1">
        <v>34.1</v>
      </c>
      <c r="C5210" s="1">
        <v>30.1</v>
      </c>
      <c r="D5210" s="1">
        <v>42</v>
      </c>
      <c r="F5210" s="1">
        <v>11.6</v>
      </c>
      <c r="G5210" s="1">
        <v>23.1</v>
      </c>
      <c r="H5210" s="1">
        <v>1.4</v>
      </c>
      <c r="I5210" s="1">
        <v>0</v>
      </c>
      <c r="J5210" s="1">
        <v>42.3</v>
      </c>
      <c r="K5210" s="1"/>
      <c r="L5210" s="1">
        <v>7.3659999999999988</v>
      </c>
      <c r="M5210" s="1"/>
      <c r="O5210" s="1">
        <v>17.018000000000001</v>
      </c>
      <c r="Q5210" s="1">
        <v>1.4</v>
      </c>
      <c r="R5210" s="1">
        <v>0</v>
      </c>
      <c r="U5210" s="1">
        <v>27</v>
      </c>
      <c r="X5210" s="1">
        <v>4.7</v>
      </c>
    </row>
    <row r="5211" spans="1:24" x14ac:dyDescent="0.25">
      <c r="A5211" s="22">
        <v>43562</v>
      </c>
      <c r="B5211" s="1">
        <v>0</v>
      </c>
      <c r="C5211" s="1">
        <v>3</v>
      </c>
      <c r="D5211" s="1">
        <v>2.8</v>
      </c>
      <c r="F5211" s="1">
        <v>0.7</v>
      </c>
      <c r="G5211" s="1">
        <v>5.3</v>
      </c>
      <c r="H5211" s="1">
        <v>0.6</v>
      </c>
      <c r="I5211" s="1">
        <v>0</v>
      </c>
      <c r="J5211" s="1">
        <v>0.9</v>
      </c>
      <c r="K5211" s="1"/>
      <c r="L5211" s="1">
        <v>0</v>
      </c>
      <c r="M5211" s="1"/>
      <c r="O5211" s="1">
        <v>1.778</v>
      </c>
      <c r="Q5211" s="1">
        <v>0.6</v>
      </c>
      <c r="R5211" s="1">
        <v>0.9</v>
      </c>
      <c r="U5211" s="1">
        <v>8</v>
      </c>
      <c r="X5211" s="1">
        <v>1.3</v>
      </c>
    </row>
    <row r="5212" spans="1:24" x14ac:dyDescent="0.25">
      <c r="A5212" s="22">
        <v>43563</v>
      </c>
      <c r="B5212" s="1">
        <v>0</v>
      </c>
      <c r="C5212" s="1">
        <v>2.2000000000000002</v>
      </c>
      <c r="D5212" s="1">
        <v>0.7</v>
      </c>
      <c r="F5212" s="1">
        <v>1.3</v>
      </c>
      <c r="G5212" s="1">
        <v>0.3</v>
      </c>
      <c r="H5212" s="1">
        <v>3.8</v>
      </c>
      <c r="I5212" s="1">
        <v>6.4</v>
      </c>
      <c r="J5212" s="1">
        <v>2.1</v>
      </c>
      <c r="K5212" s="1"/>
      <c r="L5212" s="1">
        <v>0</v>
      </c>
      <c r="M5212" s="1"/>
      <c r="O5212" s="1">
        <v>1.5239999999999998</v>
      </c>
      <c r="Q5212" s="1">
        <v>3.8</v>
      </c>
      <c r="R5212" s="1">
        <v>1.9</v>
      </c>
      <c r="U5212" s="1">
        <v>1</v>
      </c>
      <c r="X5212" s="1">
        <v>0.7</v>
      </c>
    </row>
    <row r="5213" spans="1:24" x14ac:dyDescent="0.25">
      <c r="A5213" s="22">
        <v>43564</v>
      </c>
      <c r="B5213" s="1">
        <v>0</v>
      </c>
      <c r="C5213" s="1">
        <v>5.9</v>
      </c>
      <c r="D5213" s="1">
        <v>7.5</v>
      </c>
      <c r="F5213" s="1">
        <v>2.4</v>
      </c>
      <c r="G5213" s="1">
        <v>5.4</v>
      </c>
      <c r="H5213" s="1">
        <v>0</v>
      </c>
      <c r="I5213" s="1">
        <v>7.7</v>
      </c>
      <c r="J5213" s="1">
        <v>3.6</v>
      </c>
      <c r="K5213" s="1"/>
      <c r="L5213" s="1">
        <v>3.302</v>
      </c>
      <c r="M5213" s="1"/>
      <c r="O5213" s="1">
        <v>5.5880000000000001</v>
      </c>
      <c r="Q5213" s="1">
        <v>0</v>
      </c>
      <c r="R5213" s="1">
        <v>0</v>
      </c>
      <c r="U5213" s="1">
        <v>10</v>
      </c>
      <c r="X5213" s="1">
        <v>0</v>
      </c>
    </row>
    <row r="5214" spans="1:24" x14ac:dyDescent="0.25">
      <c r="A5214" s="22">
        <v>43565</v>
      </c>
      <c r="B5214" s="1">
        <v>18.5</v>
      </c>
      <c r="C5214" s="1">
        <v>0</v>
      </c>
      <c r="D5214" s="1">
        <v>0</v>
      </c>
      <c r="F5214" s="1">
        <v>0</v>
      </c>
      <c r="G5214" s="1">
        <v>0.6</v>
      </c>
      <c r="H5214" s="1">
        <v>0</v>
      </c>
      <c r="I5214" s="1">
        <v>0</v>
      </c>
      <c r="J5214" s="1">
        <v>6.3</v>
      </c>
      <c r="K5214" s="1"/>
      <c r="L5214" s="1">
        <v>0</v>
      </c>
      <c r="M5214" s="1"/>
      <c r="O5214" s="1">
        <v>0</v>
      </c>
      <c r="Q5214" s="1">
        <v>0</v>
      </c>
      <c r="R5214" s="1">
        <v>0</v>
      </c>
      <c r="U5214" s="1">
        <v>0</v>
      </c>
      <c r="X5214" s="1">
        <v>2.8</v>
      </c>
    </row>
    <row r="5215" spans="1:24" x14ac:dyDescent="0.25">
      <c r="A5215" s="22">
        <v>43566</v>
      </c>
      <c r="B5215" s="1">
        <v>0</v>
      </c>
      <c r="C5215" s="1">
        <v>0</v>
      </c>
      <c r="D5215" s="1">
        <v>0</v>
      </c>
      <c r="F5215" s="1">
        <v>0</v>
      </c>
      <c r="G5215" s="1">
        <v>2.7</v>
      </c>
      <c r="H5215" s="1">
        <v>0</v>
      </c>
      <c r="I5215" s="1">
        <v>5.4</v>
      </c>
      <c r="J5215" s="1">
        <v>7.5</v>
      </c>
      <c r="K5215" s="1"/>
      <c r="L5215" s="1">
        <v>0</v>
      </c>
      <c r="M5215" s="1"/>
      <c r="O5215" s="1">
        <v>0</v>
      </c>
      <c r="Q5215" s="1">
        <v>0</v>
      </c>
      <c r="R5215" s="1">
        <v>0</v>
      </c>
      <c r="U5215" s="1">
        <v>5</v>
      </c>
      <c r="X5215" s="1">
        <v>0</v>
      </c>
    </row>
    <row r="5216" spans="1:24" x14ac:dyDescent="0.25">
      <c r="A5216" s="22">
        <v>43567</v>
      </c>
      <c r="B5216" s="1">
        <v>0</v>
      </c>
      <c r="C5216" s="1">
        <v>0</v>
      </c>
      <c r="D5216" s="1">
        <v>0</v>
      </c>
      <c r="F5216" s="1">
        <v>0</v>
      </c>
      <c r="G5216" s="1">
        <v>0</v>
      </c>
      <c r="H5216" s="1">
        <v>14.3</v>
      </c>
      <c r="I5216" s="1">
        <v>4</v>
      </c>
      <c r="J5216" s="1">
        <v>0</v>
      </c>
      <c r="K5216" s="1"/>
      <c r="L5216" s="1">
        <v>0</v>
      </c>
      <c r="M5216" s="1"/>
      <c r="O5216" s="1">
        <v>0</v>
      </c>
      <c r="Q5216" s="1">
        <v>14.3</v>
      </c>
      <c r="R5216" s="1">
        <v>0</v>
      </c>
      <c r="U5216" s="1">
        <v>0</v>
      </c>
      <c r="X5216" s="1">
        <v>15.7</v>
      </c>
    </row>
    <row r="5217" spans="1:24" x14ac:dyDescent="0.25">
      <c r="A5217" s="22">
        <v>43568</v>
      </c>
      <c r="B5217" s="1">
        <v>22.6</v>
      </c>
      <c r="C5217" s="1">
        <v>44.2</v>
      </c>
      <c r="D5217" s="1">
        <v>18</v>
      </c>
      <c r="F5217" s="1">
        <v>62.2</v>
      </c>
      <c r="G5217" s="1">
        <v>63.6</v>
      </c>
      <c r="H5217" s="1">
        <v>15.3</v>
      </c>
      <c r="I5217" s="1">
        <v>9</v>
      </c>
      <c r="J5217" s="1">
        <v>57.2</v>
      </c>
      <c r="K5217" s="1"/>
      <c r="L5217" s="1">
        <v>6.8579999999999997</v>
      </c>
      <c r="M5217" s="1"/>
      <c r="O5217" s="1">
        <v>21.081999999999997</v>
      </c>
      <c r="Q5217" s="1">
        <v>15.3</v>
      </c>
      <c r="R5217" s="1">
        <v>5.8</v>
      </c>
      <c r="U5217" s="1">
        <v>50</v>
      </c>
      <c r="X5217" s="1">
        <v>9.1999999999999993</v>
      </c>
    </row>
    <row r="5218" spans="1:24" x14ac:dyDescent="0.25">
      <c r="A5218" s="22">
        <v>43569</v>
      </c>
      <c r="B5218" s="1">
        <v>0</v>
      </c>
      <c r="C5218" s="1">
        <v>15.6</v>
      </c>
      <c r="D5218" s="1">
        <v>36.5</v>
      </c>
      <c r="F5218" s="1">
        <v>24.3</v>
      </c>
      <c r="G5218" s="1">
        <v>17.5</v>
      </c>
      <c r="H5218" s="1">
        <v>1.6</v>
      </c>
      <c r="I5218" s="1">
        <v>46.3</v>
      </c>
      <c r="J5218" s="1">
        <v>30.5</v>
      </c>
      <c r="K5218" s="1"/>
      <c r="L5218" s="1">
        <v>11.43</v>
      </c>
      <c r="M5218" s="1"/>
      <c r="O5218" s="1">
        <v>0</v>
      </c>
      <c r="Q5218" s="1">
        <v>1.6</v>
      </c>
      <c r="R5218" s="1">
        <v>12.1</v>
      </c>
      <c r="U5218" s="1">
        <v>35</v>
      </c>
      <c r="X5218" s="1">
        <v>9.1999999999999993</v>
      </c>
    </row>
    <row r="5219" spans="1:24" x14ac:dyDescent="0.25">
      <c r="A5219" s="22">
        <v>43570</v>
      </c>
      <c r="B5219" s="1">
        <v>0</v>
      </c>
      <c r="C5219" s="1">
        <v>3.3</v>
      </c>
      <c r="D5219" s="1">
        <v>14.5</v>
      </c>
      <c r="F5219" s="1">
        <v>2.1</v>
      </c>
      <c r="G5219" s="1">
        <v>2.6</v>
      </c>
      <c r="H5219" s="1">
        <v>3.9</v>
      </c>
      <c r="I5219" s="1">
        <v>1.3</v>
      </c>
      <c r="J5219" s="1">
        <v>8.5</v>
      </c>
      <c r="K5219" s="1"/>
      <c r="L5219" s="1">
        <v>2.794</v>
      </c>
      <c r="M5219" s="1"/>
      <c r="O5219" s="1">
        <v>0</v>
      </c>
      <c r="Q5219" s="1">
        <v>3.9</v>
      </c>
      <c r="R5219" s="1">
        <v>1.9</v>
      </c>
      <c r="U5219" s="1">
        <v>7</v>
      </c>
      <c r="X5219" s="1">
        <v>2.9</v>
      </c>
    </row>
    <row r="5220" spans="1:24" x14ac:dyDescent="0.25">
      <c r="A5220" s="22">
        <v>43571</v>
      </c>
      <c r="B5220" s="1">
        <v>4</v>
      </c>
      <c r="C5220" s="1">
        <v>2.2000000000000002</v>
      </c>
      <c r="D5220" s="1">
        <v>11</v>
      </c>
      <c r="F5220" s="1">
        <v>0</v>
      </c>
      <c r="G5220" s="1">
        <v>4.4000000000000004</v>
      </c>
      <c r="H5220" s="1">
        <v>0.1</v>
      </c>
      <c r="I5220" s="1">
        <v>1.2</v>
      </c>
      <c r="J5220" s="1">
        <v>7.1</v>
      </c>
      <c r="K5220" s="1"/>
      <c r="L5220" s="1">
        <v>4.0640000000000001</v>
      </c>
      <c r="M5220" s="1"/>
      <c r="O5220" s="1">
        <v>3.8099999999999996</v>
      </c>
      <c r="Q5220" s="1">
        <v>0.1</v>
      </c>
      <c r="R5220" s="1">
        <v>1.1000000000000001</v>
      </c>
      <c r="U5220" s="1">
        <v>9</v>
      </c>
      <c r="X5220" s="1">
        <v>4.0999999999999996</v>
      </c>
    </row>
    <row r="5221" spans="1:24" x14ac:dyDescent="0.25">
      <c r="A5221" s="22">
        <v>43572</v>
      </c>
      <c r="B5221" s="1">
        <v>0</v>
      </c>
      <c r="C5221" s="1">
        <v>4</v>
      </c>
      <c r="D5221" s="1">
        <v>5.2</v>
      </c>
      <c r="F5221" s="1">
        <v>0</v>
      </c>
      <c r="G5221" s="1">
        <v>6.5</v>
      </c>
      <c r="H5221" s="1">
        <v>14.5</v>
      </c>
      <c r="I5221" s="1">
        <v>3.2</v>
      </c>
      <c r="J5221" s="1">
        <v>8</v>
      </c>
      <c r="K5221" s="1"/>
      <c r="L5221" s="1">
        <v>0</v>
      </c>
      <c r="M5221" s="1"/>
      <c r="O5221" s="1">
        <v>0.7619999999999999</v>
      </c>
      <c r="Q5221" s="1">
        <v>14.5</v>
      </c>
      <c r="R5221" s="1">
        <v>0.7</v>
      </c>
      <c r="U5221" s="1">
        <v>0</v>
      </c>
      <c r="X5221" s="1">
        <v>9.4</v>
      </c>
    </row>
    <row r="5222" spans="1:24" x14ac:dyDescent="0.25">
      <c r="A5222" s="22">
        <v>43573</v>
      </c>
      <c r="B5222" s="1">
        <v>38.9</v>
      </c>
      <c r="C5222" s="1">
        <v>9.9</v>
      </c>
      <c r="D5222" s="1">
        <v>19.2</v>
      </c>
      <c r="F5222" s="1">
        <v>13.4</v>
      </c>
      <c r="G5222" s="1">
        <v>7.7</v>
      </c>
      <c r="H5222" s="1">
        <v>9.8000000000000007</v>
      </c>
      <c r="I5222" s="1">
        <v>5.2</v>
      </c>
      <c r="J5222" s="1">
        <v>10.5</v>
      </c>
      <c r="K5222" s="1"/>
      <c r="L5222" s="1">
        <v>20.065999999999999</v>
      </c>
      <c r="M5222" s="1"/>
      <c r="O5222" s="1">
        <v>0</v>
      </c>
      <c r="Q5222" s="1">
        <v>9.8000000000000007</v>
      </c>
      <c r="R5222" s="1">
        <v>16.8</v>
      </c>
      <c r="U5222" s="1">
        <v>0</v>
      </c>
      <c r="X5222" s="1">
        <v>12.7</v>
      </c>
    </row>
    <row r="5223" spans="1:24" x14ac:dyDescent="0.25">
      <c r="A5223" s="22">
        <v>43574</v>
      </c>
      <c r="B5223" s="1">
        <v>0</v>
      </c>
      <c r="C5223" s="1">
        <v>17.100000000000001</v>
      </c>
      <c r="D5223" s="1">
        <v>17</v>
      </c>
      <c r="F5223" s="1">
        <v>0</v>
      </c>
      <c r="G5223" s="1">
        <v>2.9</v>
      </c>
      <c r="H5223" s="1">
        <v>7.9</v>
      </c>
      <c r="I5223" s="1">
        <v>0.7</v>
      </c>
      <c r="J5223" s="1">
        <v>8.5</v>
      </c>
      <c r="K5223" s="1"/>
      <c r="L5223" s="1">
        <v>8.636000000000001</v>
      </c>
      <c r="M5223" s="1"/>
      <c r="O5223" s="1">
        <v>14.731999999999998</v>
      </c>
      <c r="Q5223" s="1">
        <v>7.9</v>
      </c>
      <c r="R5223" s="1">
        <v>7.2</v>
      </c>
      <c r="U5223" s="1">
        <v>35</v>
      </c>
      <c r="X5223" s="1">
        <v>3.1</v>
      </c>
    </row>
    <row r="5224" spans="1:24" x14ac:dyDescent="0.25">
      <c r="A5224" s="22">
        <v>43575</v>
      </c>
      <c r="B5224" s="1">
        <v>0</v>
      </c>
      <c r="C5224" s="1">
        <v>6.3</v>
      </c>
      <c r="D5224" s="1">
        <v>14.3</v>
      </c>
      <c r="F5224" s="1">
        <v>15.7</v>
      </c>
      <c r="G5224" s="1">
        <v>12.1</v>
      </c>
      <c r="H5224" s="1">
        <v>5.0999999999999996</v>
      </c>
      <c r="I5224" s="1">
        <v>6.7</v>
      </c>
      <c r="J5224" s="1">
        <v>8.5</v>
      </c>
      <c r="K5224" s="1"/>
      <c r="L5224" s="1">
        <v>3.8099999999999996</v>
      </c>
      <c r="M5224" s="1"/>
      <c r="O5224" s="1">
        <v>2.54</v>
      </c>
      <c r="Q5224" s="1">
        <v>5.0999999999999996</v>
      </c>
      <c r="R5224" s="1">
        <v>7.1</v>
      </c>
      <c r="U5224" s="1">
        <v>0</v>
      </c>
      <c r="X5224" s="1">
        <v>1.2</v>
      </c>
    </row>
    <row r="5225" spans="1:24" x14ac:dyDescent="0.25">
      <c r="A5225" s="22">
        <v>43576</v>
      </c>
      <c r="B5225" s="1">
        <v>11.4</v>
      </c>
      <c r="C5225" s="1">
        <v>2.6</v>
      </c>
      <c r="D5225" s="1">
        <v>3.4</v>
      </c>
      <c r="F5225" s="1">
        <v>0</v>
      </c>
      <c r="G5225" s="1">
        <v>2.5</v>
      </c>
      <c r="H5225" s="1">
        <v>19.100000000000001</v>
      </c>
      <c r="I5225" s="1">
        <v>2.6</v>
      </c>
      <c r="J5225" s="1">
        <v>6.2</v>
      </c>
      <c r="K5225" s="1"/>
      <c r="L5225" s="1">
        <v>8.636000000000001</v>
      </c>
      <c r="M5225" s="1"/>
      <c r="O5225" s="1">
        <v>0</v>
      </c>
      <c r="Q5225" s="1">
        <v>19.100000000000001</v>
      </c>
      <c r="R5225" s="1">
        <v>5.0999999999999996</v>
      </c>
      <c r="U5225" s="1">
        <v>16</v>
      </c>
      <c r="X5225" s="1">
        <v>0</v>
      </c>
    </row>
    <row r="5226" spans="1:24" x14ac:dyDescent="0.25">
      <c r="A5226" s="22">
        <v>43577</v>
      </c>
      <c r="B5226" s="1">
        <v>17.600000000000001</v>
      </c>
      <c r="C5226" s="1">
        <v>11.3</v>
      </c>
      <c r="D5226" s="1">
        <v>11.3</v>
      </c>
      <c r="F5226" s="1">
        <v>11</v>
      </c>
      <c r="G5226" s="1">
        <v>6.3</v>
      </c>
      <c r="H5226" s="1">
        <v>0</v>
      </c>
      <c r="I5226" s="1">
        <v>3.7</v>
      </c>
      <c r="J5226" s="1">
        <v>14</v>
      </c>
      <c r="K5226" s="1"/>
      <c r="L5226" s="1">
        <v>7.8739999999999997</v>
      </c>
      <c r="M5226" s="1"/>
      <c r="O5226" s="1">
        <v>11.43</v>
      </c>
      <c r="Q5226" s="1">
        <v>0</v>
      </c>
      <c r="R5226" s="1">
        <v>9.1999999999999993</v>
      </c>
      <c r="U5226" s="1">
        <v>15</v>
      </c>
      <c r="X5226" s="1">
        <v>0.4</v>
      </c>
    </row>
    <row r="5227" spans="1:24" x14ac:dyDescent="0.25">
      <c r="A5227" s="22">
        <v>43578</v>
      </c>
      <c r="B5227" s="1">
        <v>0</v>
      </c>
      <c r="C5227" s="1">
        <v>0</v>
      </c>
      <c r="D5227" s="1">
        <v>0</v>
      </c>
      <c r="F5227" s="1">
        <v>0</v>
      </c>
      <c r="G5227" s="1">
        <v>0.6</v>
      </c>
      <c r="H5227" s="1">
        <v>0</v>
      </c>
      <c r="I5227" s="1">
        <v>0</v>
      </c>
      <c r="J5227" s="1">
        <v>0</v>
      </c>
      <c r="K5227" s="1"/>
      <c r="L5227" s="1">
        <v>0.7619999999999999</v>
      </c>
      <c r="M5227" s="1"/>
      <c r="O5227" s="1">
        <v>0</v>
      </c>
      <c r="Q5227" s="1">
        <v>0</v>
      </c>
      <c r="R5227" s="1">
        <v>0</v>
      </c>
      <c r="U5227" s="1">
        <v>0</v>
      </c>
      <c r="X5227" s="1">
        <v>0</v>
      </c>
    </row>
    <row r="5228" spans="1:24" x14ac:dyDescent="0.25">
      <c r="A5228" s="22">
        <v>43579</v>
      </c>
      <c r="B5228" s="1">
        <v>0</v>
      </c>
      <c r="C5228" s="1">
        <v>0</v>
      </c>
      <c r="D5228" s="1">
        <v>0</v>
      </c>
      <c r="F5228" s="1">
        <v>0</v>
      </c>
      <c r="G5228" s="1">
        <v>0</v>
      </c>
      <c r="H5228" s="1">
        <v>2.1</v>
      </c>
      <c r="I5228" s="1">
        <v>0</v>
      </c>
      <c r="J5228" s="1">
        <v>0</v>
      </c>
      <c r="K5228" s="1"/>
      <c r="L5228" s="1">
        <v>0</v>
      </c>
      <c r="M5228" s="1"/>
      <c r="O5228" s="1">
        <v>0</v>
      </c>
      <c r="Q5228" s="1">
        <v>2.1</v>
      </c>
      <c r="R5228" s="1">
        <v>0</v>
      </c>
      <c r="U5228" s="1">
        <v>0</v>
      </c>
      <c r="X5228" s="1">
        <v>1.5</v>
      </c>
    </row>
    <row r="5229" spans="1:24" x14ac:dyDescent="0.25">
      <c r="A5229" s="22">
        <v>43580</v>
      </c>
      <c r="B5229" s="1">
        <v>0</v>
      </c>
      <c r="C5229" s="1">
        <v>0</v>
      </c>
      <c r="D5229" s="1">
        <v>0</v>
      </c>
      <c r="F5229" s="1">
        <v>0</v>
      </c>
      <c r="G5229" s="1">
        <v>2.5</v>
      </c>
      <c r="H5229" s="1">
        <v>0</v>
      </c>
      <c r="I5229" s="1">
        <v>1</v>
      </c>
      <c r="J5229" s="1">
        <v>0</v>
      </c>
      <c r="K5229" s="1"/>
      <c r="L5229" s="1">
        <v>0</v>
      </c>
      <c r="M5229" s="1"/>
      <c r="O5229" s="1">
        <v>0</v>
      </c>
      <c r="Q5229" s="1">
        <v>0</v>
      </c>
      <c r="R5229" s="1">
        <v>1.2</v>
      </c>
      <c r="U5229" s="1">
        <v>0</v>
      </c>
      <c r="X5229" s="1">
        <v>0</v>
      </c>
    </row>
    <row r="5230" spans="1:24" x14ac:dyDescent="0.25">
      <c r="A5230" s="22">
        <v>43581</v>
      </c>
      <c r="B5230" s="1">
        <v>0</v>
      </c>
      <c r="C5230" s="1">
        <v>0</v>
      </c>
      <c r="D5230" s="1">
        <v>2.2999999999999998</v>
      </c>
      <c r="F5230" s="1">
        <v>0</v>
      </c>
      <c r="G5230" s="1">
        <v>0.5</v>
      </c>
      <c r="H5230" s="1">
        <v>0</v>
      </c>
      <c r="I5230" s="1">
        <v>0</v>
      </c>
      <c r="J5230" s="1">
        <v>1.6</v>
      </c>
      <c r="K5230" s="1"/>
      <c r="L5230" s="1">
        <v>0</v>
      </c>
      <c r="M5230" s="1"/>
      <c r="O5230" s="1">
        <v>1.27</v>
      </c>
      <c r="Q5230" s="1">
        <v>0</v>
      </c>
      <c r="R5230" s="1">
        <v>0</v>
      </c>
      <c r="U5230" s="1">
        <v>4</v>
      </c>
      <c r="X5230" s="1">
        <v>0</v>
      </c>
    </row>
    <row r="5231" spans="1:24" x14ac:dyDescent="0.25">
      <c r="A5231" s="22">
        <v>43582</v>
      </c>
      <c r="B5231" s="1">
        <v>0</v>
      </c>
      <c r="C5231" s="1">
        <v>0</v>
      </c>
      <c r="D5231" s="1">
        <v>0</v>
      </c>
      <c r="F5231" s="1">
        <v>0</v>
      </c>
      <c r="G5231" s="1">
        <v>0.2</v>
      </c>
      <c r="H5231" s="1">
        <v>0</v>
      </c>
      <c r="I5231" s="1">
        <v>0</v>
      </c>
      <c r="J5231" s="1">
        <v>0</v>
      </c>
      <c r="K5231" s="1"/>
      <c r="L5231" s="1">
        <v>0</v>
      </c>
      <c r="M5231" s="1"/>
      <c r="O5231" s="1">
        <v>0</v>
      </c>
      <c r="Q5231" s="1">
        <v>0</v>
      </c>
      <c r="R5231" s="1">
        <v>0</v>
      </c>
      <c r="U5231" s="1">
        <v>0</v>
      </c>
      <c r="X5231" s="1">
        <v>0</v>
      </c>
    </row>
    <row r="5232" spans="1:24" x14ac:dyDescent="0.25">
      <c r="A5232" s="22">
        <v>43583</v>
      </c>
      <c r="B5232" s="1">
        <v>0</v>
      </c>
      <c r="C5232" s="1">
        <v>0</v>
      </c>
      <c r="D5232" s="1">
        <v>0</v>
      </c>
      <c r="F5232" s="1">
        <v>0</v>
      </c>
      <c r="G5232" s="1">
        <v>0</v>
      </c>
      <c r="H5232" s="1">
        <v>0</v>
      </c>
      <c r="I5232" s="1">
        <v>2.6</v>
      </c>
      <c r="J5232" s="1">
        <v>0.5</v>
      </c>
      <c r="K5232" s="1"/>
      <c r="L5232" s="1">
        <v>0</v>
      </c>
      <c r="M5232" s="1"/>
      <c r="O5232" s="1">
        <v>1.27</v>
      </c>
      <c r="Q5232" s="1">
        <v>0</v>
      </c>
      <c r="R5232" s="1">
        <v>0.5</v>
      </c>
      <c r="U5232" s="1">
        <v>0</v>
      </c>
      <c r="X5232" s="1">
        <v>0</v>
      </c>
    </row>
    <row r="5233" spans="1:24" x14ac:dyDescent="0.25">
      <c r="A5233" s="22">
        <v>43584</v>
      </c>
      <c r="B5233" s="1">
        <v>0</v>
      </c>
      <c r="C5233" s="1">
        <v>0</v>
      </c>
      <c r="D5233" s="1">
        <v>0</v>
      </c>
      <c r="F5233" s="1">
        <v>0</v>
      </c>
      <c r="G5233" s="1">
        <v>0.1</v>
      </c>
      <c r="H5233" s="1">
        <v>0</v>
      </c>
      <c r="I5233" s="1">
        <v>0</v>
      </c>
      <c r="J5233" s="1">
        <v>0</v>
      </c>
      <c r="K5233" s="1"/>
      <c r="L5233" s="1">
        <v>0</v>
      </c>
      <c r="M5233" s="1"/>
      <c r="O5233" s="1">
        <v>0</v>
      </c>
      <c r="Q5233" s="1">
        <v>4.5999999999999996</v>
      </c>
      <c r="R5233" s="1">
        <v>0</v>
      </c>
      <c r="U5233" s="1">
        <v>0</v>
      </c>
      <c r="X5233" s="1">
        <v>0</v>
      </c>
    </row>
    <row r="5234" spans="1:24" x14ac:dyDescent="0.25">
      <c r="A5234" s="22">
        <v>43585</v>
      </c>
      <c r="B5234" s="1">
        <v>0</v>
      </c>
      <c r="C5234" s="1">
        <v>0.7</v>
      </c>
      <c r="D5234" s="1">
        <v>2.8</v>
      </c>
      <c r="F5234" s="1">
        <v>0</v>
      </c>
      <c r="G5234" s="1">
        <v>1.5</v>
      </c>
      <c r="H5234" s="1">
        <v>4.5999999999999996</v>
      </c>
      <c r="I5234" s="1">
        <v>3</v>
      </c>
      <c r="J5234" s="1">
        <v>1.3</v>
      </c>
      <c r="K5234" s="1"/>
      <c r="L5234" s="1">
        <v>10.413999999999998</v>
      </c>
      <c r="M5234" s="1"/>
      <c r="O5234" s="1">
        <v>3.8099999999999996</v>
      </c>
      <c r="Q5234" s="1">
        <v>1.7</v>
      </c>
      <c r="R5234" s="1">
        <v>3.4</v>
      </c>
      <c r="U5234" s="1">
        <v>6</v>
      </c>
      <c r="X5234" s="1">
        <v>0</v>
      </c>
    </row>
    <row r="5235" spans="1:24" x14ac:dyDescent="0.25">
      <c r="A5235" s="22">
        <v>43586</v>
      </c>
      <c r="B5235" s="1">
        <v>8.1999999999999993</v>
      </c>
      <c r="C5235" s="1">
        <v>6.5</v>
      </c>
      <c r="D5235" s="1">
        <v>4.3</v>
      </c>
      <c r="F5235" s="1">
        <v>1.3</v>
      </c>
      <c r="G5235" s="1">
        <v>6.9</v>
      </c>
      <c r="H5235" s="1">
        <v>0.5</v>
      </c>
      <c r="I5235" s="1">
        <v>1.3</v>
      </c>
      <c r="J5235" s="1">
        <v>3.9</v>
      </c>
      <c r="K5235" s="1">
        <v>5.8</v>
      </c>
      <c r="L5235" s="1">
        <v>1.778</v>
      </c>
      <c r="M5235" s="1">
        <v>6.3</v>
      </c>
      <c r="O5235" s="1"/>
      <c r="Q5235" s="1">
        <v>0</v>
      </c>
      <c r="R5235" s="1">
        <v>0</v>
      </c>
      <c r="U5235" s="1">
        <v>7</v>
      </c>
      <c r="X5235" s="1">
        <v>0</v>
      </c>
    </row>
    <row r="5236" spans="1:24" x14ac:dyDescent="0.25">
      <c r="A5236" s="22">
        <v>43587</v>
      </c>
      <c r="B5236" s="1">
        <v>0</v>
      </c>
      <c r="C5236" s="1">
        <v>0.7</v>
      </c>
      <c r="D5236" s="1">
        <v>1.3</v>
      </c>
      <c r="F5236" s="1">
        <v>0</v>
      </c>
      <c r="G5236" s="1">
        <v>1.1000000000000001</v>
      </c>
      <c r="H5236" s="1">
        <v>2.2000000000000002</v>
      </c>
      <c r="I5236" s="1">
        <v>6.5</v>
      </c>
      <c r="J5236" s="1">
        <v>3.4</v>
      </c>
      <c r="K5236" s="1">
        <v>4.2</v>
      </c>
      <c r="L5236" s="1">
        <v>1.5239999999999998</v>
      </c>
      <c r="M5236" s="1">
        <v>0.9</v>
      </c>
      <c r="O5236" s="1"/>
      <c r="Q5236" s="1">
        <v>0</v>
      </c>
      <c r="R5236" s="1">
        <v>9</v>
      </c>
      <c r="U5236" s="1">
        <v>0</v>
      </c>
      <c r="X5236" s="1">
        <v>0</v>
      </c>
    </row>
    <row r="5237" spans="1:24" x14ac:dyDescent="0.25">
      <c r="A5237" s="22">
        <v>43588</v>
      </c>
      <c r="B5237" s="1">
        <v>7.3</v>
      </c>
      <c r="C5237" s="1">
        <v>0</v>
      </c>
      <c r="D5237" s="1">
        <v>0.7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O5237" s="1"/>
      <c r="Q5237" s="1">
        <v>10.199999999999999</v>
      </c>
      <c r="R5237" s="1">
        <v>0</v>
      </c>
      <c r="U5237" s="1">
        <v>0</v>
      </c>
      <c r="X5237" s="1">
        <v>0</v>
      </c>
    </row>
    <row r="5238" spans="1:24" x14ac:dyDescent="0.25">
      <c r="A5238" s="22">
        <v>43589</v>
      </c>
      <c r="B5238" s="1">
        <v>4.3</v>
      </c>
      <c r="C5238" s="1">
        <v>1.9</v>
      </c>
      <c r="D5238" s="1">
        <v>1.9</v>
      </c>
      <c r="F5238" s="1">
        <v>0</v>
      </c>
      <c r="G5238" s="1">
        <v>0</v>
      </c>
      <c r="H5238" s="1">
        <v>0</v>
      </c>
      <c r="I5238" s="1">
        <v>0</v>
      </c>
      <c r="J5238" s="1">
        <v>1.2</v>
      </c>
      <c r="K5238" s="1">
        <v>2.8</v>
      </c>
      <c r="L5238" s="1">
        <v>0</v>
      </c>
      <c r="M5238" s="1">
        <v>0</v>
      </c>
      <c r="O5238" s="1"/>
      <c r="Q5238" s="1">
        <v>3.3</v>
      </c>
      <c r="R5238" s="1">
        <v>0</v>
      </c>
      <c r="U5238" s="1">
        <v>0</v>
      </c>
      <c r="X5238" s="1">
        <v>0</v>
      </c>
    </row>
    <row r="5239" spans="1:24" x14ac:dyDescent="0.25">
      <c r="A5239" s="22">
        <v>43590</v>
      </c>
      <c r="B5239" s="1">
        <v>0</v>
      </c>
      <c r="C5239" s="1">
        <v>0</v>
      </c>
      <c r="D5239" s="1">
        <v>5.8</v>
      </c>
      <c r="F5239" s="1">
        <v>0</v>
      </c>
      <c r="G5239" s="1">
        <v>0.6</v>
      </c>
      <c r="H5239" s="1">
        <v>0</v>
      </c>
      <c r="I5239" s="1">
        <v>0</v>
      </c>
      <c r="J5239" s="1">
        <v>5.5</v>
      </c>
      <c r="K5239" s="1">
        <v>6.7</v>
      </c>
      <c r="L5239" s="1">
        <v>0</v>
      </c>
      <c r="M5239" s="1">
        <v>0</v>
      </c>
      <c r="O5239" s="1"/>
      <c r="Q5239" s="1">
        <v>0</v>
      </c>
      <c r="R5239" s="1">
        <v>0</v>
      </c>
      <c r="U5239" s="1">
        <v>3</v>
      </c>
      <c r="X5239" s="1">
        <v>0</v>
      </c>
    </row>
    <row r="5240" spans="1:24" x14ac:dyDescent="0.25">
      <c r="A5240" s="22">
        <v>43591</v>
      </c>
      <c r="B5240" s="1">
        <v>6.2</v>
      </c>
      <c r="C5240" s="1">
        <v>3.9</v>
      </c>
      <c r="D5240" s="1">
        <v>2.2999999999999998</v>
      </c>
      <c r="F5240" s="1">
        <v>0</v>
      </c>
      <c r="G5240" s="1">
        <v>1.6</v>
      </c>
      <c r="H5240" s="1">
        <v>0</v>
      </c>
      <c r="I5240" s="1">
        <v>0.3</v>
      </c>
      <c r="J5240" s="1">
        <v>4.7</v>
      </c>
      <c r="K5240" s="1">
        <v>2.2000000000000002</v>
      </c>
      <c r="L5240" s="1">
        <v>0</v>
      </c>
      <c r="M5240" s="1">
        <v>0</v>
      </c>
      <c r="O5240" s="1"/>
      <c r="Q5240" s="1">
        <v>0.4</v>
      </c>
      <c r="R5240" s="1">
        <v>0</v>
      </c>
      <c r="U5240" s="1">
        <v>5</v>
      </c>
      <c r="X5240" s="1">
        <v>0.2</v>
      </c>
    </row>
    <row r="5241" spans="1:24" x14ac:dyDescent="0.25">
      <c r="A5241" s="22">
        <v>43592</v>
      </c>
      <c r="B5241" s="1">
        <v>2.1</v>
      </c>
      <c r="C5241" s="1">
        <v>2.2999999999999998</v>
      </c>
      <c r="D5241" s="1">
        <v>5.5</v>
      </c>
      <c r="F5241" s="1">
        <v>0</v>
      </c>
      <c r="G5241" s="1">
        <v>2.7</v>
      </c>
      <c r="H5241" s="1">
        <v>0</v>
      </c>
      <c r="I5241" s="1">
        <v>0.6</v>
      </c>
      <c r="J5241" s="1">
        <v>5.7</v>
      </c>
      <c r="K5241" s="1">
        <v>3.4</v>
      </c>
      <c r="L5241" s="1">
        <v>0</v>
      </c>
      <c r="M5241" s="1">
        <v>1.1000000000000001</v>
      </c>
      <c r="O5241" s="1"/>
      <c r="Q5241" s="1">
        <v>0</v>
      </c>
      <c r="R5241" s="1">
        <v>0</v>
      </c>
      <c r="U5241" s="1">
        <v>0</v>
      </c>
      <c r="X5241" s="1">
        <v>0</v>
      </c>
    </row>
    <row r="5242" spans="1:24" x14ac:dyDescent="0.25">
      <c r="A5242" s="22">
        <v>43593</v>
      </c>
      <c r="B5242" s="1">
        <v>0</v>
      </c>
      <c r="C5242" s="1">
        <v>0</v>
      </c>
      <c r="D5242" s="1">
        <v>5.2</v>
      </c>
      <c r="F5242" s="1">
        <v>0</v>
      </c>
      <c r="G5242" s="1">
        <v>1.9</v>
      </c>
      <c r="H5242" s="1">
        <v>0</v>
      </c>
      <c r="I5242" s="1">
        <v>1.2</v>
      </c>
      <c r="J5242" s="1">
        <v>14.5</v>
      </c>
      <c r="K5242" s="1">
        <v>4</v>
      </c>
      <c r="L5242" s="1">
        <v>0</v>
      </c>
      <c r="M5242" s="1">
        <v>3</v>
      </c>
      <c r="O5242" s="1"/>
      <c r="Q5242" s="1">
        <v>0</v>
      </c>
      <c r="R5242" s="1">
        <v>0</v>
      </c>
      <c r="U5242" s="1">
        <v>12</v>
      </c>
      <c r="X5242" s="1">
        <v>0</v>
      </c>
    </row>
    <row r="5243" spans="1:24" x14ac:dyDescent="0.25">
      <c r="A5243" s="22">
        <v>43594</v>
      </c>
      <c r="B5243" s="1">
        <v>0</v>
      </c>
      <c r="C5243" s="1">
        <v>0</v>
      </c>
      <c r="D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0.6</v>
      </c>
      <c r="K5243" s="1">
        <v>3.4</v>
      </c>
      <c r="L5243" s="1">
        <v>0</v>
      </c>
      <c r="M5243" s="1">
        <v>0</v>
      </c>
      <c r="O5243" s="1"/>
      <c r="Q5243" s="1">
        <v>4.2</v>
      </c>
      <c r="R5243" s="1">
        <v>0</v>
      </c>
      <c r="U5243" s="1">
        <v>4</v>
      </c>
      <c r="X5243" s="1">
        <v>0</v>
      </c>
    </row>
    <row r="5244" spans="1:24" x14ac:dyDescent="0.25">
      <c r="A5244" s="22">
        <v>43595</v>
      </c>
      <c r="B5244" s="1">
        <v>7.3</v>
      </c>
      <c r="C5244" s="1">
        <v>4.5</v>
      </c>
      <c r="D5244" s="1">
        <v>8.1999999999999993</v>
      </c>
      <c r="F5244" s="1">
        <v>0</v>
      </c>
      <c r="G5244" s="1">
        <v>3.7</v>
      </c>
      <c r="H5244" s="1">
        <v>0</v>
      </c>
      <c r="I5244" s="1">
        <v>2</v>
      </c>
      <c r="J5244" s="1">
        <v>6.1</v>
      </c>
      <c r="K5244" s="1">
        <v>6.2</v>
      </c>
      <c r="L5244" s="1">
        <v>10.921999999999999</v>
      </c>
      <c r="M5244" s="1">
        <v>4.8</v>
      </c>
      <c r="O5244" s="1"/>
      <c r="Q5244" s="1">
        <v>5.0999999999999996</v>
      </c>
      <c r="R5244" s="1">
        <v>2.4</v>
      </c>
      <c r="U5244" s="1">
        <v>0</v>
      </c>
      <c r="X5244" s="1">
        <v>0</v>
      </c>
    </row>
    <row r="5245" spans="1:24" x14ac:dyDescent="0.25">
      <c r="A5245" s="22">
        <v>43596</v>
      </c>
      <c r="B5245" s="1">
        <v>8.6999999999999993</v>
      </c>
      <c r="C5245" s="1">
        <v>11.6</v>
      </c>
      <c r="D5245" s="1">
        <v>0</v>
      </c>
      <c r="F5245" s="1">
        <v>4</v>
      </c>
      <c r="G5245" s="1">
        <v>12.3</v>
      </c>
      <c r="H5245" s="1">
        <v>0</v>
      </c>
      <c r="I5245" s="1">
        <v>3.3</v>
      </c>
      <c r="J5245" s="1">
        <v>18.100000000000001</v>
      </c>
      <c r="K5245" s="1">
        <v>4.7</v>
      </c>
      <c r="L5245" s="1">
        <v>0</v>
      </c>
      <c r="M5245" s="1">
        <v>0</v>
      </c>
      <c r="O5245" s="1"/>
      <c r="Q5245" s="1">
        <v>0</v>
      </c>
      <c r="R5245" s="1">
        <v>3.3</v>
      </c>
      <c r="U5245" s="1">
        <v>8</v>
      </c>
      <c r="X5245" s="1">
        <v>0.4</v>
      </c>
    </row>
    <row r="5246" spans="1:24" x14ac:dyDescent="0.25">
      <c r="A5246" s="22">
        <v>43597</v>
      </c>
      <c r="B5246" s="1">
        <v>6.5</v>
      </c>
      <c r="C5246" s="1">
        <v>0</v>
      </c>
      <c r="D5246" s="1">
        <v>15</v>
      </c>
      <c r="F5246" s="1">
        <v>6.7</v>
      </c>
      <c r="G5246" s="1">
        <v>2.2999999999999998</v>
      </c>
      <c r="H5246" s="1">
        <v>15</v>
      </c>
      <c r="I5246" s="1">
        <v>1</v>
      </c>
      <c r="J5246" s="1">
        <v>0</v>
      </c>
      <c r="K5246" s="1">
        <v>4.0999999999999996</v>
      </c>
      <c r="L5246" s="1">
        <v>0</v>
      </c>
      <c r="M5246" s="1">
        <v>0</v>
      </c>
      <c r="O5246" s="1"/>
      <c r="Q5246" s="1">
        <v>0</v>
      </c>
      <c r="R5246" s="1">
        <v>0</v>
      </c>
      <c r="U5246" s="1">
        <v>0.6</v>
      </c>
      <c r="X5246" s="1">
        <v>0</v>
      </c>
    </row>
    <row r="5247" spans="1:24" x14ac:dyDescent="0.25">
      <c r="A5247" s="22">
        <v>43598</v>
      </c>
      <c r="B5247" s="1">
        <v>0</v>
      </c>
      <c r="C5247" s="1">
        <v>0</v>
      </c>
      <c r="D5247" s="1">
        <v>5.7</v>
      </c>
      <c r="F5247" s="1">
        <v>0</v>
      </c>
      <c r="G5247" s="1">
        <v>0</v>
      </c>
      <c r="H5247" s="1">
        <v>1.6</v>
      </c>
      <c r="I5247" s="1">
        <v>0</v>
      </c>
      <c r="J5247" s="1">
        <v>2.4</v>
      </c>
      <c r="K5247" s="1">
        <v>0</v>
      </c>
      <c r="L5247" s="1">
        <v>0</v>
      </c>
      <c r="M5247" s="1">
        <v>0.4</v>
      </c>
      <c r="O5247" s="1"/>
      <c r="Q5247" s="1">
        <v>0</v>
      </c>
      <c r="R5247" s="1">
        <v>0</v>
      </c>
      <c r="U5247" s="1">
        <v>0</v>
      </c>
      <c r="X5247" s="1">
        <v>0</v>
      </c>
    </row>
    <row r="5248" spans="1:24" x14ac:dyDescent="0.25">
      <c r="A5248" s="22">
        <v>43599</v>
      </c>
      <c r="B5248" s="1">
        <v>5.6</v>
      </c>
      <c r="C5248" s="1">
        <v>0</v>
      </c>
      <c r="D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  <c r="K5248" s="1">
        <v>2.2999999999999998</v>
      </c>
      <c r="L5248" s="1">
        <v>17.779999999999998</v>
      </c>
      <c r="M5248" s="1">
        <v>0</v>
      </c>
      <c r="O5248" s="1"/>
      <c r="Q5248" s="1">
        <v>1.1000000000000001</v>
      </c>
      <c r="R5248" s="1">
        <v>1.7</v>
      </c>
      <c r="U5248" s="1">
        <v>0</v>
      </c>
      <c r="X5248" s="1">
        <v>0.6</v>
      </c>
    </row>
    <row r="5249" spans="1:24" x14ac:dyDescent="0.25">
      <c r="A5249" s="22">
        <v>43600</v>
      </c>
      <c r="B5249" s="1">
        <v>4.3</v>
      </c>
      <c r="C5249" s="1">
        <v>0</v>
      </c>
      <c r="D5249" s="1">
        <v>0</v>
      </c>
      <c r="F5249" s="1">
        <v>0</v>
      </c>
      <c r="G5249" s="1">
        <v>0.2</v>
      </c>
      <c r="H5249" s="1">
        <v>0</v>
      </c>
      <c r="I5249" s="1">
        <v>0</v>
      </c>
      <c r="J5249" s="1">
        <v>0</v>
      </c>
      <c r="K5249" s="1">
        <v>1.9</v>
      </c>
      <c r="L5249" s="1">
        <v>0</v>
      </c>
      <c r="M5249" s="1">
        <v>0</v>
      </c>
      <c r="O5249" s="1"/>
      <c r="Q5249" s="1">
        <v>0</v>
      </c>
      <c r="R5249" s="1">
        <v>0</v>
      </c>
      <c r="U5249" s="1">
        <v>0</v>
      </c>
      <c r="X5249" s="1">
        <v>0</v>
      </c>
    </row>
    <row r="5250" spans="1:24" x14ac:dyDescent="0.25">
      <c r="A5250" s="22">
        <v>43601</v>
      </c>
      <c r="B5250" s="1">
        <v>0</v>
      </c>
      <c r="C5250" s="1">
        <v>2.6</v>
      </c>
      <c r="D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3.5</v>
      </c>
      <c r="L5250" s="1">
        <v>0</v>
      </c>
      <c r="M5250" s="1">
        <v>0</v>
      </c>
      <c r="O5250" s="1"/>
      <c r="Q5250" s="1">
        <v>0</v>
      </c>
      <c r="R5250" s="1">
        <v>0.6</v>
      </c>
      <c r="U5250" s="1">
        <v>2</v>
      </c>
      <c r="X5250" s="1">
        <v>0</v>
      </c>
    </row>
    <row r="5251" spans="1:24" x14ac:dyDescent="0.25">
      <c r="A5251" s="22">
        <v>43602</v>
      </c>
      <c r="B5251" s="1">
        <v>5.4</v>
      </c>
      <c r="C5251" s="1">
        <v>4.2</v>
      </c>
      <c r="D5251" s="1">
        <v>2.2999999999999998</v>
      </c>
      <c r="F5251" s="1">
        <v>0</v>
      </c>
      <c r="G5251" s="1">
        <v>2.5</v>
      </c>
      <c r="H5251" s="1">
        <v>0</v>
      </c>
      <c r="I5251" s="1">
        <v>1.1000000000000001</v>
      </c>
      <c r="J5251" s="1">
        <v>0.9</v>
      </c>
      <c r="K5251" s="1">
        <v>0.9</v>
      </c>
      <c r="L5251" s="1">
        <v>0</v>
      </c>
      <c r="M5251" s="1">
        <v>1.9</v>
      </c>
      <c r="O5251" s="1"/>
      <c r="Q5251" s="1">
        <v>0.1</v>
      </c>
      <c r="R5251" s="1">
        <v>0.3</v>
      </c>
      <c r="U5251" s="1">
        <v>0</v>
      </c>
      <c r="X5251" s="1">
        <v>0.1</v>
      </c>
    </row>
    <row r="5252" spans="1:24" x14ac:dyDescent="0.25">
      <c r="A5252" s="22">
        <v>43603</v>
      </c>
      <c r="B5252" s="1">
        <v>6.3</v>
      </c>
      <c r="C5252" s="1">
        <v>0.2</v>
      </c>
      <c r="D5252" s="1">
        <v>0</v>
      </c>
      <c r="F5252" s="1">
        <v>0</v>
      </c>
      <c r="G5252" s="1">
        <v>2.1</v>
      </c>
      <c r="H5252" s="1">
        <v>0.4</v>
      </c>
      <c r="I5252" s="1">
        <v>1.8</v>
      </c>
      <c r="J5252" s="1">
        <v>0</v>
      </c>
      <c r="K5252" s="1">
        <v>0</v>
      </c>
      <c r="L5252" s="1">
        <v>0</v>
      </c>
      <c r="M5252" s="1">
        <v>1.7</v>
      </c>
      <c r="O5252" s="1"/>
      <c r="Q5252" s="1">
        <v>5.8</v>
      </c>
      <c r="R5252" s="1">
        <v>2</v>
      </c>
      <c r="U5252" s="1">
        <v>2</v>
      </c>
      <c r="X5252" s="1">
        <v>0</v>
      </c>
    </row>
    <row r="5253" spans="1:24" x14ac:dyDescent="0.25">
      <c r="A5253" s="22">
        <v>43604</v>
      </c>
      <c r="B5253" s="1">
        <v>0</v>
      </c>
      <c r="C5253" s="1">
        <v>3.7</v>
      </c>
      <c r="D5253" s="1">
        <v>0</v>
      </c>
      <c r="F5253" s="1">
        <v>0</v>
      </c>
      <c r="G5253" s="1">
        <v>1.8</v>
      </c>
      <c r="H5253" s="1">
        <v>1.5</v>
      </c>
      <c r="I5253" s="1">
        <v>0</v>
      </c>
      <c r="J5253" s="1">
        <v>0.5</v>
      </c>
      <c r="K5253" s="1">
        <v>0.1</v>
      </c>
      <c r="L5253" s="1">
        <v>0</v>
      </c>
      <c r="M5253" s="1">
        <v>0.5</v>
      </c>
      <c r="O5253" s="1"/>
      <c r="Q5253" s="1">
        <v>0</v>
      </c>
      <c r="R5253" s="1">
        <v>0</v>
      </c>
      <c r="U5253" s="1">
        <v>2</v>
      </c>
      <c r="X5253" s="1">
        <v>0</v>
      </c>
    </row>
    <row r="5254" spans="1:24" x14ac:dyDescent="0.25">
      <c r="A5254" s="22">
        <v>43605</v>
      </c>
      <c r="B5254" s="1">
        <v>0</v>
      </c>
      <c r="C5254" s="1">
        <v>2.2000000000000002</v>
      </c>
      <c r="D5254" s="1">
        <v>1.2</v>
      </c>
      <c r="F5254" s="1">
        <v>4.0999999999999996</v>
      </c>
      <c r="G5254" s="1">
        <v>2.5</v>
      </c>
      <c r="H5254" s="1">
        <v>0</v>
      </c>
      <c r="I5254" s="1">
        <v>1.5</v>
      </c>
      <c r="J5254" s="1">
        <v>5</v>
      </c>
      <c r="K5254" s="1">
        <v>0</v>
      </c>
      <c r="L5254" s="1">
        <v>11.43</v>
      </c>
      <c r="M5254" s="1">
        <v>0</v>
      </c>
      <c r="O5254" s="1"/>
      <c r="Q5254" s="1">
        <v>0</v>
      </c>
      <c r="R5254" s="1">
        <v>5.8</v>
      </c>
      <c r="U5254" s="1">
        <v>2</v>
      </c>
      <c r="X5254" s="1">
        <v>0</v>
      </c>
    </row>
    <row r="5255" spans="1:24" x14ac:dyDescent="0.25">
      <c r="A5255" s="22">
        <v>43606</v>
      </c>
      <c r="B5255" s="1">
        <v>0</v>
      </c>
      <c r="C5255" s="1">
        <v>0</v>
      </c>
      <c r="D5255" s="1">
        <v>2.1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3.4</v>
      </c>
      <c r="L5255" s="1">
        <v>0</v>
      </c>
      <c r="M5255" s="1">
        <v>0</v>
      </c>
      <c r="O5255" s="1"/>
      <c r="Q5255" s="1">
        <v>0</v>
      </c>
      <c r="R5255" s="1">
        <v>0</v>
      </c>
      <c r="U5255" s="1">
        <v>4</v>
      </c>
      <c r="X5255" s="1">
        <v>0</v>
      </c>
    </row>
    <row r="5256" spans="1:24" x14ac:dyDescent="0.25">
      <c r="A5256" s="22">
        <v>43607</v>
      </c>
      <c r="B5256" s="1">
        <v>0</v>
      </c>
      <c r="C5256" s="1">
        <v>0</v>
      </c>
      <c r="D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4.8</v>
      </c>
      <c r="L5256" s="1">
        <v>0</v>
      </c>
      <c r="M5256" s="1">
        <v>0</v>
      </c>
      <c r="O5256" s="1"/>
      <c r="Q5256" s="1">
        <v>0</v>
      </c>
      <c r="R5256" s="1">
        <v>0</v>
      </c>
      <c r="U5256" s="1">
        <v>0</v>
      </c>
      <c r="X5256" s="1">
        <v>0</v>
      </c>
    </row>
    <row r="5257" spans="1:24" x14ac:dyDescent="0.25">
      <c r="A5257" s="22">
        <v>43608</v>
      </c>
      <c r="B5257" s="1">
        <v>0</v>
      </c>
      <c r="C5257" s="1">
        <v>0</v>
      </c>
      <c r="D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0.8</v>
      </c>
      <c r="K5257" s="1">
        <v>11.2</v>
      </c>
      <c r="L5257" s="1">
        <v>0</v>
      </c>
      <c r="M5257" s="1">
        <v>1.4</v>
      </c>
      <c r="O5257" s="1"/>
      <c r="Q5257" s="1">
        <v>0</v>
      </c>
      <c r="R5257" s="1">
        <v>0</v>
      </c>
      <c r="U5257" s="1">
        <v>0</v>
      </c>
      <c r="X5257" s="1">
        <v>0.1</v>
      </c>
    </row>
    <row r="5258" spans="1:24" x14ac:dyDescent="0.25">
      <c r="A5258" s="22">
        <v>43609</v>
      </c>
      <c r="B5258" s="1">
        <v>0</v>
      </c>
      <c r="C5258" s="1">
        <v>0</v>
      </c>
      <c r="D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0.1</v>
      </c>
      <c r="L5258" s="1">
        <v>0</v>
      </c>
      <c r="M5258" s="1">
        <v>0</v>
      </c>
      <c r="O5258" s="1"/>
      <c r="Q5258" s="1">
        <v>0</v>
      </c>
      <c r="R5258" s="1">
        <v>0</v>
      </c>
      <c r="U5258" s="1">
        <v>0</v>
      </c>
      <c r="X5258" s="1">
        <v>0</v>
      </c>
    </row>
    <row r="5259" spans="1:24" x14ac:dyDescent="0.25">
      <c r="A5259" s="22">
        <v>43610</v>
      </c>
      <c r="B5259" s="1">
        <v>0</v>
      </c>
      <c r="C5259" s="1">
        <v>0</v>
      </c>
      <c r="D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O5259" s="1"/>
      <c r="Q5259" s="1">
        <v>0</v>
      </c>
      <c r="R5259" s="1">
        <v>0</v>
      </c>
      <c r="U5259" s="1">
        <v>0</v>
      </c>
      <c r="X5259" s="1">
        <v>0</v>
      </c>
    </row>
    <row r="5260" spans="1:24" x14ac:dyDescent="0.25">
      <c r="A5260" s="22">
        <v>43611</v>
      </c>
      <c r="B5260" s="1">
        <v>0</v>
      </c>
      <c r="C5260" s="1">
        <v>1.9</v>
      </c>
      <c r="D5260" s="1">
        <v>0</v>
      </c>
      <c r="F5260" s="1">
        <v>0</v>
      </c>
      <c r="G5260" s="1">
        <v>0</v>
      </c>
      <c r="H5260" s="1">
        <v>3.4</v>
      </c>
      <c r="I5260" s="1">
        <v>0</v>
      </c>
      <c r="J5260" s="1">
        <v>2.2000000000000002</v>
      </c>
      <c r="K5260" s="1">
        <v>0</v>
      </c>
      <c r="L5260" s="1">
        <v>0</v>
      </c>
      <c r="M5260" s="1">
        <v>0.5</v>
      </c>
      <c r="O5260" s="1"/>
      <c r="Q5260" s="1">
        <v>1.1000000000000001</v>
      </c>
      <c r="R5260" s="1">
        <v>0</v>
      </c>
      <c r="U5260" s="1">
        <v>0</v>
      </c>
      <c r="X5260" s="1">
        <v>0</v>
      </c>
    </row>
    <row r="5261" spans="1:24" x14ac:dyDescent="0.25">
      <c r="A5261" s="22">
        <v>43612</v>
      </c>
      <c r="B5261" s="1">
        <v>0</v>
      </c>
      <c r="C5261" s="1">
        <v>0</v>
      </c>
      <c r="D5261" s="1">
        <v>3.6</v>
      </c>
      <c r="F5261" s="1">
        <v>0</v>
      </c>
      <c r="G5261" s="1">
        <v>0.5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0.2</v>
      </c>
      <c r="O5261" s="1"/>
      <c r="Q5261" s="1">
        <v>0</v>
      </c>
      <c r="R5261" s="1">
        <v>0.7</v>
      </c>
      <c r="U5261" s="1">
        <v>1</v>
      </c>
      <c r="X5261" s="1">
        <v>0</v>
      </c>
    </row>
    <row r="5262" spans="1:24" x14ac:dyDescent="0.25">
      <c r="A5262" s="22">
        <v>43613</v>
      </c>
      <c r="B5262" s="1">
        <v>15.6</v>
      </c>
      <c r="C5262" s="1">
        <v>0</v>
      </c>
      <c r="D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O5262" s="1"/>
      <c r="Q5262" s="1">
        <v>7.9</v>
      </c>
      <c r="R5262" s="1">
        <v>0</v>
      </c>
      <c r="U5262" s="1">
        <v>3</v>
      </c>
      <c r="X5262" s="1">
        <v>0</v>
      </c>
    </row>
    <row r="5263" spans="1:24" x14ac:dyDescent="0.25">
      <c r="A5263" s="22">
        <v>43614</v>
      </c>
      <c r="B5263" s="1">
        <v>0</v>
      </c>
      <c r="C5263" s="1">
        <v>6.1</v>
      </c>
      <c r="D5263" s="1">
        <v>16.899999999999999</v>
      </c>
      <c r="F5263" s="1">
        <v>16.2</v>
      </c>
      <c r="G5263" s="1">
        <v>34.4</v>
      </c>
      <c r="H5263" s="1">
        <v>25</v>
      </c>
      <c r="I5263" s="1">
        <v>0</v>
      </c>
      <c r="J5263" s="1">
        <v>23.2</v>
      </c>
      <c r="K5263" s="1">
        <v>0</v>
      </c>
      <c r="L5263" s="1">
        <v>3.8099999999999996</v>
      </c>
      <c r="M5263" s="1">
        <v>26</v>
      </c>
      <c r="O5263" s="1"/>
      <c r="Q5263" s="1">
        <v>0</v>
      </c>
      <c r="R5263" s="1">
        <v>2.1</v>
      </c>
      <c r="U5263" s="1">
        <v>21</v>
      </c>
      <c r="X5263" s="1">
        <v>15.2</v>
      </c>
    </row>
    <row r="5264" spans="1:24" x14ac:dyDescent="0.25">
      <c r="A5264" s="22">
        <v>43615</v>
      </c>
      <c r="B5264" s="1">
        <v>3</v>
      </c>
      <c r="C5264" s="1"/>
      <c r="D5264" s="1">
        <v>2.6</v>
      </c>
      <c r="F5264" s="1">
        <v>0</v>
      </c>
      <c r="G5264" s="1">
        <v>0</v>
      </c>
      <c r="H5264" s="1">
        <v>0</v>
      </c>
      <c r="I5264" s="1">
        <v>15</v>
      </c>
      <c r="J5264" s="1">
        <v>0</v>
      </c>
      <c r="K5264" s="1">
        <v>0</v>
      </c>
      <c r="L5264" s="1">
        <v>0</v>
      </c>
      <c r="M5264" s="1">
        <v>0</v>
      </c>
      <c r="O5264" s="1"/>
      <c r="Q5264" s="1">
        <v>0</v>
      </c>
      <c r="R5264" s="1">
        <v>0</v>
      </c>
      <c r="U5264" s="1">
        <v>3</v>
      </c>
      <c r="X5264" s="1">
        <v>5.3</v>
      </c>
    </row>
    <row r="5265" spans="1:24" x14ac:dyDescent="0.25">
      <c r="A5265" s="22">
        <v>43616</v>
      </c>
      <c r="B5265" s="1">
        <v>0</v>
      </c>
      <c r="C5265" s="1"/>
      <c r="D5265" s="1">
        <v>1.4</v>
      </c>
      <c r="F5265" s="1">
        <v>0</v>
      </c>
      <c r="G5265" s="1">
        <v>0.9</v>
      </c>
      <c r="H5265" s="1">
        <v>0</v>
      </c>
      <c r="I5265" s="1">
        <v>0</v>
      </c>
      <c r="J5265" s="1">
        <v>4.4000000000000004</v>
      </c>
      <c r="K5265" s="1">
        <v>0</v>
      </c>
      <c r="L5265" s="1">
        <v>3.302</v>
      </c>
      <c r="M5265" s="1">
        <v>0.5</v>
      </c>
      <c r="O5265" s="1"/>
      <c r="Q5265" s="1">
        <v>5.7</v>
      </c>
      <c r="R5265" s="1">
        <v>0</v>
      </c>
      <c r="U5265" s="1">
        <v>4</v>
      </c>
      <c r="X5265" s="1">
        <v>0</v>
      </c>
    </row>
    <row r="5266" spans="1:24" x14ac:dyDescent="0.25">
      <c r="A5266" s="22">
        <v>43617</v>
      </c>
      <c r="B5266" s="12">
        <v>0</v>
      </c>
      <c r="C5266" s="12">
        <v>0</v>
      </c>
      <c r="D5266" s="12">
        <v>0</v>
      </c>
      <c r="F5266" s="12">
        <v>0</v>
      </c>
      <c r="G5266" s="12">
        <v>0.3</v>
      </c>
      <c r="H5266" s="12"/>
      <c r="I5266" s="12">
        <v>0</v>
      </c>
      <c r="J5266" s="12">
        <v>6.3</v>
      </c>
      <c r="K5266" s="12"/>
      <c r="L5266" s="12">
        <v>3.8099999999999996</v>
      </c>
      <c r="M5266" s="12">
        <v>0.7</v>
      </c>
      <c r="O5266" s="12"/>
      <c r="Q5266" s="12">
        <v>0</v>
      </c>
      <c r="R5266" s="12">
        <v>2.9</v>
      </c>
      <c r="U5266" s="12">
        <v>0</v>
      </c>
      <c r="X5266" s="12">
        <v>0</v>
      </c>
    </row>
    <row r="5267" spans="1:24" x14ac:dyDescent="0.25">
      <c r="A5267" s="22">
        <v>43618</v>
      </c>
      <c r="B5267" s="12">
        <v>6.4</v>
      </c>
      <c r="C5267" s="12">
        <v>1.7</v>
      </c>
      <c r="D5267" s="12">
        <v>0</v>
      </c>
      <c r="F5267" s="12">
        <v>0</v>
      </c>
      <c r="G5267" s="12">
        <v>2.6</v>
      </c>
      <c r="H5267" s="12"/>
      <c r="I5267" s="12">
        <v>0</v>
      </c>
      <c r="J5267" s="12">
        <v>0</v>
      </c>
      <c r="K5267" s="12"/>
      <c r="L5267" s="12">
        <v>0</v>
      </c>
      <c r="M5267" s="12">
        <v>0</v>
      </c>
      <c r="O5267" s="12"/>
      <c r="Q5267" s="12">
        <v>0</v>
      </c>
      <c r="R5267" s="12">
        <v>0</v>
      </c>
      <c r="U5267" s="12">
        <v>0.5</v>
      </c>
      <c r="X5267" s="12">
        <v>0</v>
      </c>
    </row>
    <row r="5268" spans="1:24" x14ac:dyDescent="0.25">
      <c r="A5268" s="22">
        <v>43619</v>
      </c>
      <c r="B5268" s="12">
        <v>0</v>
      </c>
      <c r="C5268" s="12">
        <v>0.4</v>
      </c>
      <c r="D5268" s="12">
        <v>0</v>
      </c>
      <c r="F5268" s="12">
        <v>0</v>
      </c>
      <c r="G5268" s="12">
        <v>0</v>
      </c>
      <c r="H5268" s="12"/>
      <c r="I5268" s="12">
        <v>0.4</v>
      </c>
      <c r="J5268" s="12">
        <v>0</v>
      </c>
      <c r="K5268" s="12"/>
      <c r="L5268" s="12">
        <v>0</v>
      </c>
      <c r="M5268" s="12">
        <v>0.5</v>
      </c>
      <c r="O5268" s="12"/>
      <c r="Q5268" s="12">
        <v>0.3</v>
      </c>
      <c r="R5268" s="12">
        <v>0.5</v>
      </c>
      <c r="U5268" s="12">
        <v>0</v>
      </c>
      <c r="X5268" s="12">
        <v>0</v>
      </c>
    </row>
    <row r="5269" spans="1:24" x14ac:dyDescent="0.25">
      <c r="A5269" s="22">
        <v>43620</v>
      </c>
      <c r="B5269" s="12">
        <v>0</v>
      </c>
      <c r="C5269" s="12">
        <v>1.7</v>
      </c>
      <c r="D5269" s="12">
        <v>0</v>
      </c>
      <c r="F5269" s="12">
        <v>0</v>
      </c>
      <c r="G5269" s="12">
        <v>0</v>
      </c>
      <c r="H5269" s="12"/>
      <c r="I5269" s="12">
        <v>0</v>
      </c>
      <c r="J5269" s="12">
        <v>0</v>
      </c>
      <c r="K5269" s="12"/>
      <c r="L5269" s="12">
        <v>0</v>
      </c>
      <c r="M5269" s="12">
        <v>0</v>
      </c>
      <c r="O5269" s="12"/>
      <c r="Q5269" s="12">
        <v>0</v>
      </c>
      <c r="R5269" s="12">
        <v>1.1000000000000001</v>
      </c>
      <c r="U5269" s="12">
        <v>0.2</v>
      </c>
      <c r="X5269" s="12">
        <v>1.3</v>
      </c>
    </row>
    <row r="5270" spans="1:24" x14ac:dyDescent="0.25">
      <c r="A5270" s="22">
        <v>43621</v>
      </c>
      <c r="B5270" s="12">
        <v>0</v>
      </c>
      <c r="C5270" s="12">
        <v>0</v>
      </c>
      <c r="D5270" s="12">
        <v>0</v>
      </c>
      <c r="F5270" s="12">
        <v>0</v>
      </c>
      <c r="G5270" s="12">
        <v>0</v>
      </c>
      <c r="H5270" s="12"/>
      <c r="I5270" s="12">
        <v>0</v>
      </c>
      <c r="J5270" s="12">
        <v>0</v>
      </c>
      <c r="K5270" s="12"/>
      <c r="L5270" s="12">
        <v>0</v>
      </c>
      <c r="M5270" s="12">
        <v>0.9</v>
      </c>
      <c r="O5270" s="12"/>
      <c r="Q5270" s="12">
        <v>0</v>
      </c>
      <c r="R5270" s="12">
        <v>0</v>
      </c>
      <c r="U5270" s="12">
        <v>0</v>
      </c>
      <c r="X5270" s="12">
        <v>0</v>
      </c>
    </row>
    <row r="5271" spans="1:24" x14ac:dyDescent="0.25">
      <c r="A5271" s="22">
        <v>43622</v>
      </c>
      <c r="B5271" s="12">
        <v>0</v>
      </c>
      <c r="C5271" s="12">
        <v>0.9</v>
      </c>
      <c r="D5271" s="12">
        <v>0</v>
      </c>
      <c r="F5271" s="12">
        <v>0</v>
      </c>
      <c r="G5271" s="12">
        <v>0</v>
      </c>
      <c r="H5271" s="12"/>
      <c r="I5271" s="12">
        <v>0.4</v>
      </c>
      <c r="J5271" s="12">
        <v>1.8</v>
      </c>
      <c r="K5271" s="12"/>
      <c r="L5271" s="12">
        <v>0.7619999999999999</v>
      </c>
      <c r="M5271" s="12">
        <v>0</v>
      </c>
      <c r="O5271" s="12"/>
      <c r="Q5271" s="12">
        <v>0</v>
      </c>
      <c r="R5271" s="12">
        <v>0.1</v>
      </c>
      <c r="U5271" s="12">
        <v>0</v>
      </c>
      <c r="X5271" s="12">
        <v>0</v>
      </c>
    </row>
    <row r="5272" spans="1:24" x14ac:dyDescent="0.25">
      <c r="A5272" s="22">
        <v>43623</v>
      </c>
      <c r="B5272" s="12">
        <v>0</v>
      </c>
      <c r="C5272" s="12">
        <v>2.5</v>
      </c>
      <c r="D5272" s="12">
        <v>0</v>
      </c>
      <c r="F5272" s="12">
        <v>0</v>
      </c>
      <c r="G5272" s="12">
        <v>0</v>
      </c>
      <c r="H5272" s="12"/>
      <c r="I5272" s="12">
        <v>0</v>
      </c>
      <c r="J5272" s="12">
        <v>0</v>
      </c>
      <c r="K5272" s="12"/>
      <c r="L5272" s="12">
        <v>0</v>
      </c>
      <c r="M5272" s="12">
        <v>0</v>
      </c>
      <c r="O5272" s="12"/>
      <c r="Q5272" s="12">
        <v>0</v>
      </c>
      <c r="R5272" s="12">
        <v>0</v>
      </c>
      <c r="U5272" s="12">
        <v>0</v>
      </c>
      <c r="X5272" s="12">
        <v>0</v>
      </c>
    </row>
    <row r="5273" spans="1:24" x14ac:dyDescent="0.25">
      <c r="A5273" s="22">
        <v>43624</v>
      </c>
      <c r="B5273" s="12">
        <v>0</v>
      </c>
      <c r="C5273" s="12">
        <v>0</v>
      </c>
      <c r="D5273" s="12">
        <v>0</v>
      </c>
      <c r="F5273" s="12">
        <v>0</v>
      </c>
      <c r="G5273" s="12">
        <v>0.2</v>
      </c>
      <c r="H5273" s="12"/>
      <c r="I5273" s="12">
        <v>0</v>
      </c>
      <c r="J5273" s="12">
        <v>0.4</v>
      </c>
      <c r="K5273" s="12"/>
      <c r="L5273" s="12">
        <v>0</v>
      </c>
      <c r="M5273" s="12">
        <v>0.2</v>
      </c>
      <c r="O5273" s="12"/>
      <c r="Q5273" s="12">
        <v>2.2999999999999998</v>
      </c>
      <c r="R5273" s="12">
        <v>0</v>
      </c>
      <c r="U5273" s="12">
        <v>0</v>
      </c>
      <c r="X5273" s="12">
        <v>0</v>
      </c>
    </row>
    <row r="5274" spans="1:24" x14ac:dyDescent="0.25">
      <c r="A5274" s="22">
        <v>43625</v>
      </c>
      <c r="B5274" s="12">
        <v>0</v>
      </c>
      <c r="C5274" s="12">
        <v>7.2</v>
      </c>
      <c r="D5274" s="12">
        <v>1.1000000000000001</v>
      </c>
      <c r="F5274" s="12">
        <v>6.5</v>
      </c>
      <c r="G5274" s="12">
        <v>3.4</v>
      </c>
      <c r="H5274" s="12"/>
      <c r="I5274" s="12">
        <v>0</v>
      </c>
      <c r="J5274" s="12">
        <v>3.6</v>
      </c>
      <c r="K5274" s="12"/>
      <c r="L5274" s="12">
        <v>0</v>
      </c>
      <c r="M5274" s="12">
        <v>1</v>
      </c>
      <c r="O5274" s="12"/>
      <c r="Q5274" s="12">
        <v>4.8</v>
      </c>
      <c r="R5274" s="12">
        <v>6.5</v>
      </c>
      <c r="U5274" s="12">
        <v>0</v>
      </c>
      <c r="X5274" s="12">
        <v>4.4000000000000004</v>
      </c>
    </row>
    <row r="5275" spans="1:24" x14ac:dyDescent="0.25">
      <c r="A5275" s="22">
        <v>43626</v>
      </c>
      <c r="B5275" s="12">
        <v>0</v>
      </c>
      <c r="C5275" s="12">
        <v>1.2</v>
      </c>
      <c r="D5275" s="12">
        <v>6.7</v>
      </c>
      <c r="F5275" s="12">
        <v>0</v>
      </c>
      <c r="G5275" s="12">
        <v>3</v>
      </c>
      <c r="H5275" s="12"/>
      <c r="I5275" s="12">
        <v>2.5</v>
      </c>
      <c r="J5275" s="12">
        <v>4.4000000000000004</v>
      </c>
      <c r="K5275" s="12"/>
      <c r="L5275" s="12">
        <v>1.27</v>
      </c>
      <c r="M5275" s="12">
        <v>1</v>
      </c>
      <c r="O5275" s="12"/>
      <c r="Q5275" s="12">
        <v>0</v>
      </c>
      <c r="R5275" s="12">
        <v>0.1</v>
      </c>
      <c r="U5275" s="12">
        <v>0.2</v>
      </c>
      <c r="X5275" s="12">
        <v>0</v>
      </c>
    </row>
    <row r="5276" spans="1:24" x14ac:dyDescent="0.25">
      <c r="A5276" s="22">
        <v>43627</v>
      </c>
      <c r="B5276" s="12">
        <v>23.5</v>
      </c>
      <c r="C5276" s="12">
        <v>0</v>
      </c>
      <c r="D5276" s="12">
        <v>0</v>
      </c>
      <c r="F5276" s="12">
        <v>0</v>
      </c>
      <c r="G5276" s="12">
        <v>0</v>
      </c>
      <c r="H5276" s="12"/>
      <c r="I5276" s="12">
        <v>0</v>
      </c>
      <c r="J5276" s="12">
        <v>0</v>
      </c>
      <c r="K5276" s="12"/>
      <c r="L5276" s="12">
        <v>0</v>
      </c>
      <c r="M5276" s="12">
        <v>0</v>
      </c>
      <c r="O5276" s="12"/>
      <c r="Q5276" s="12">
        <v>0.5</v>
      </c>
      <c r="R5276" s="12">
        <v>0</v>
      </c>
      <c r="U5276" s="12">
        <v>0</v>
      </c>
      <c r="X5276" s="12">
        <v>0</v>
      </c>
    </row>
    <row r="5277" spans="1:24" x14ac:dyDescent="0.25">
      <c r="A5277" s="22">
        <v>43628</v>
      </c>
      <c r="B5277" s="12">
        <v>0</v>
      </c>
      <c r="C5277" s="12">
        <v>0.7</v>
      </c>
      <c r="D5277" s="12">
        <v>1.2</v>
      </c>
      <c r="F5277" s="12">
        <v>3.1</v>
      </c>
      <c r="G5277" s="12">
        <v>3.3</v>
      </c>
      <c r="H5277" s="12"/>
      <c r="I5277" s="12">
        <v>1.5</v>
      </c>
      <c r="J5277" s="12">
        <v>12.3</v>
      </c>
      <c r="K5277" s="12"/>
      <c r="L5277" s="12">
        <v>0</v>
      </c>
      <c r="M5277" s="12">
        <v>2.2999999999999998</v>
      </c>
      <c r="O5277" s="12"/>
      <c r="Q5277" s="12">
        <v>0</v>
      </c>
      <c r="R5277" s="12">
        <v>0.4</v>
      </c>
      <c r="U5277" s="12">
        <v>0</v>
      </c>
      <c r="X5277" s="12">
        <v>5.0999999999999996</v>
      </c>
    </row>
    <row r="5278" spans="1:24" x14ac:dyDescent="0.25">
      <c r="A5278" s="22">
        <v>43629</v>
      </c>
      <c r="B5278" s="12"/>
      <c r="C5278" s="12">
        <v>0</v>
      </c>
      <c r="D5278" s="12">
        <v>0</v>
      </c>
      <c r="F5278" s="12">
        <v>2.6</v>
      </c>
      <c r="G5278" s="12">
        <v>0</v>
      </c>
      <c r="H5278" s="12"/>
      <c r="I5278" s="12">
        <v>0</v>
      </c>
      <c r="J5278" s="12">
        <v>0</v>
      </c>
      <c r="K5278" s="12"/>
      <c r="L5278" s="12">
        <v>0</v>
      </c>
      <c r="M5278" s="12">
        <v>0</v>
      </c>
      <c r="O5278" s="12"/>
      <c r="Q5278" s="12">
        <v>9.5</v>
      </c>
      <c r="R5278" s="12">
        <v>0</v>
      </c>
      <c r="U5278" s="12">
        <v>1.3</v>
      </c>
      <c r="X5278" s="12">
        <v>0</v>
      </c>
    </row>
    <row r="5279" spans="1:24" x14ac:dyDescent="0.25">
      <c r="A5279" s="22">
        <v>43630</v>
      </c>
      <c r="B5279" s="12"/>
      <c r="C5279" s="12">
        <v>0</v>
      </c>
      <c r="D5279" s="12">
        <v>0</v>
      </c>
      <c r="F5279" s="12">
        <v>0</v>
      </c>
      <c r="G5279" s="12">
        <v>4.4000000000000004</v>
      </c>
      <c r="H5279" s="12"/>
      <c r="I5279" s="12">
        <v>7.3</v>
      </c>
      <c r="J5279" s="12">
        <v>6.3</v>
      </c>
      <c r="K5279" s="12"/>
      <c r="L5279" s="12">
        <v>6.35</v>
      </c>
      <c r="M5279" s="12">
        <v>6.6</v>
      </c>
      <c r="O5279" s="12"/>
      <c r="Q5279" s="12">
        <v>9.6999999999999993</v>
      </c>
      <c r="R5279" s="12">
        <v>5.0999999999999996</v>
      </c>
      <c r="U5279" s="12">
        <v>0</v>
      </c>
      <c r="X5279" s="12">
        <v>0</v>
      </c>
    </row>
    <row r="5280" spans="1:24" x14ac:dyDescent="0.25">
      <c r="A5280" s="22">
        <v>43631</v>
      </c>
      <c r="B5280" s="12">
        <v>0</v>
      </c>
      <c r="C5280" s="12">
        <v>11.1</v>
      </c>
      <c r="D5280" s="12">
        <v>2</v>
      </c>
      <c r="F5280" s="12">
        <v>11.8</v>
      </c>
      <c r="G5280" s="12">
        <v>14.7</v>
      </c>
      <c r="H5280" s="12"/>
      <c r="I5280" s="12">
        <v>13.4</v>
      </c>
      <c r="J5280" s="12">
        <v>13.4</v>
      </c>
      <c r="K5280" s="12"/>
      <c r="L5280" s="12">
        <v>0</v>
      </c>
      <c r="M5280" s="12">
        <v>14.5</v>
      </c>
      <c r="O5280" s="12"/>
      <c r="Q5280" s="12">
        <v>6.4</v>
      </c>
      <c r="R5280" s="12">
        <v>5.7</v>
      </c>
      <c r="U5280" s="12">
        <v>0.5</v>
      </c>
      <c r="X5280" s="12">
        <v>10.4</v>
      </c>
    </row>
    <row r="5281" spans="1:24" x14ac:dyDescent="0.25">
      <c r="A5281" s="22">
        <v>43632</v>
      </c>
      <c r="B5281" s="12">
        <v>30.1</v>
      </c>
      <c r="C5281" s="12">
        <v>8.5</v>
      </c>
      <c r="D5281" s="12">
        <v>9.9</v>
      </c>
      <c r="F5281" s="12">
        <v>6.2</v>
      </c>
      <c r="G5281" s="12">
        <v>8.1999999999999993</v>
      </c>
      <c r="H5281" s="12"/>
      <c r="I5281" s="12">
        <v>4.4000000000000004</v>
      </c>
      <c r="J5281" s="12">
        <v>11.3</v>
      </c>
      <c r="K5281" s="12"/>
      <c r="L5281" s="12">
        <v>1.5239999999999998</v>
      </c>
      <c r="M5281" s="12">
        <v>8.1999999999999993</v>
      </c>
      <c r="O5281" s="12"/>
      <c r="Q5281" s="12">
        <v>8.8000000000000007</v>
      </c>
      <c r="R5281" s="12">
        <v>1.2</v>
      </c>
      <c r="U5281" s="12">
        <v>1.7</v>
      </c>
      <c r="X5281" s="12">
        <v>0</v>
      </c>
    </row>
    <row r="5282" spans="1:24" x14ac:dyDescent="0.25">
      <c r="A5282" s="22">
        <v>43633</v>
      </c>
      <c r="B5282" s="12">
        <v>0</v>
      </c>
      <c r="C5282" s="12">
        <v>7.3</v>
      </c>
      <c r="D5282" s="12">
        <v>15.3</v>
      </c>
      <c r="F5282" s="12">
        <v>1.1000000000000001</v>
      </c>
      <c r="G5282" s="12">
        <v>1.9</v>
      </c>
      <c r="H5282" s="12"/>
      <c r="I5282" s="12">
        <v>0</v>
      </c>
      <c r="J5282" s="12">
        <v>1.8</v>
      </c>
      <c r="K5282" s="12"/>
      <c r="L5282" s="12">
        <v>5.8419999999999996</v>
      </c>
      <c r="M5282" s="12">
        <v>3.5</v>
      </c>
      <c r="O5282" s="12"/>
      <c r="Q5282" s="12">
        <v>0.3</v>
      </c>
      <c r="R5282" s="12">
        <v>7</v>
      </c>
      <c r="U5282" s="12">
        <v>0.3</v>
      </c>
      <c r="X5282" s="12">
        <v>0</v>
      </c>
    </row>
    <row r="5283" spans="1:24" x14ac:dyDescent="0.25">
      <c r="A5283" s="22">
        <v>43634</v>
      </c>
      <c r="B5283" s="12">
        <v>0</v>
      </c>
      <c r="C5283" s="12">
        <v>1.1000000000000001</v>
      </c>
      <c r="D5283" s="12">
        <v>2</v>
      </c>
      <c r="F5283" s="12">
        <v>2.1</v>
      </c>
      <c r="G5283" s="12">
        <v>3.1</v>
      </c>
      <c r="H5283" s="12"/>
      <c r="I5283" s="12">
        <v>3.5</v>
      </c>
      <c r="J5283" s="12">
        <v>3.1</v>
      </c>
      <c r="K5283" s="12"/>
      <c r="L5283" s="12">
        <v>0.254</v>
      </c>
      <c r="M5283" s="12">
        <v>2.1</v>
      </c>
      <c r="O5283" s="12"/>
      <c r="Q5283" s="12">
        <v>0</v>
      </c>
      <c r="R5283" s="12">
        <v>0.5</v>
      </c>
      <c r="U5283" s="12">
        <v>0.7</v>
      </c>
      <c r="X5283" s="12">
        <v>0</v>
      </c>
    </row>
    <row r="5284" spans="1:24" x14ac:dyDescent="0.25">
      <c r="A5284" s="22">
        <v>43635</v>
      </c>
      <c r="B5284" s="12">
        <v>0</v>
      </c>
      <c r="C5284" s="12">
        <v>0.3</v>
      </c>
      <c r="D5284" s="12">
        <v>2.4</v>
      </c>
      <c r="F5284" s="12">
        <v>0.5</v>
      </c>
      <c r="G5284" s="12">
        <v>0.5</v>
      </c>
      <c r="H5284" s="12"/>
      <c r="I5284" s="12">
        <v>0</v>
      </c>
      <c r="J5284" s="12">
        <v>0</v>
      </c>
      <c r="K5284" s="12"/>
      <c r="L5284" s="12">
        <v>0.7619999999999999</v>
      </c>
      <c r="M5284" s="12">
        <v>0.1</v>
      </c>
      <c r="O5284" s="12"/>
      <c r="Q5284" s="12">
        <v>33.200000000000003</v>
      </c>
      <c r="R5284" s="12">
        <v>0</v>
      </c>
      <c r="U5284" s="12">
        <v>0.3</v>
      </c>
      <c r="X5284" s="12">
        <v>0</v>
      </c>
    </row>
    <row r="5285" spans="1:24" x14ac:dyDescent="0.25">
      <c r="A5285" s="22">
        <v>43636</v>
      </c>
      <c r="B5285" s="12">
        <v>0</v>
      </c>
      <c r="C5285" s="12">
        <v>34.799999999999997</v>
      </c>
      <c r="D5285" s="12">
        <v>43.3</v>
      </c>
      <c r="F5285" s="12">
        <v>37.700000000000003</v>
      </c>
      <c r="G5285" s="12">
        <v>51.5</v>
      </c>
      <c r="H5285" s="12"/>
      <c r="I5285" s="12">
        <v>45.2</v>
      </c>
      <c r="J5285" s="12">
        <v>6.47</v>
      </c>
      <c r="K5285" s="12"/>
      <c r="L5285" s="12">
        <v>22.605999999999998</v>
      </c>
      <c r="M5285" s="12">
        <v>54</v>
      </c>
      <c r="O5285" s="12"/>
      <c r="Q5285" s="12">
        <v>0</v>
      </c>
      <c r="R5285" s="12">
        <v>32.4</v>
      </c>
      <c r="U5285" s="12">
        <v>1</v>
      </c>
      <c r="X5285" s="12">
        <v>5.0999999999999996</v>
      </c>
    </row>
    <row r="5286" spans="1:24" x14ac:dyDescent="0.25">
      <c r="A5286" s="22">
        <v>43637</v>
      </c>
      <c r="B5286" s="12">
        <v>0</v>
      </c>
      <c r="C5286" s="12">
        <v>0.3</v>
      </c>
      <c r="D5286" s="12">
        <v>3</v>
      </c>
      <c r="F5286" s="12">
        <v>0</v>
      </c>
      <c r="G5286" s="12">
        <v>0.1</v>
      </c>
      <c r="H5286" s="12"/>
      <c r="I5286" s="12">
        <v>10.1</v>
      </c>
      <c r="J5286" s="12">
        <v>0</v>
      </c>
      <c r="K5286" s="12"/>
      <c r="L5286" s="12">
        <v>1.016</v>
      </c>
      <c r="M5286" s="12">
        <v>0</v>
      </c>
      <c r="O5286" s="12"/>
      <c r="Q5286" s="12">
        <v>3.1</v>
      </c>
      <c r="R5286" s="12">
        <v>0</v>
      </c>
      <c r="U5286" s="12">
        <v>40</v>
      </c>
      <c r="X5286" s="12">
        <v>0</v>
      </c>
    </row>
    <row r="5287" spans="1:24" x14ac:dyDescent="0.25">
      <c r="A5287" s="22">
        <v>43638</v>
      </c>
      <c r="B5287" s="12">
        <v>0</v>
      </c>
      <c r="C5287" s="12">
        <v>1.5</v>
      </c>
      <c r="D5287" s="12">
        <v>0</v>
      </c>
      <c r="F5287" s="12">
        <v>2</v>
      </c>
      <c r="G5287" s="12">
        <v>1.7</v>
      </c>
      <c r="H5287" s="12"/>
      <c r="I5287" s="12">
        <v>0</v>
      </c>
      <c r="J5287" s="12">
        <v>0</v>
      </c>
      <c r="K5287" s="12"/>
      <c r="L5287" s="12">
        <v>6.6040000000000001</v>
      </c>
      <c r="M5287" s="12">
        <v>0.8</v>
      </c>
      <c r="O5287" s="12"/>
      <c r="Q5287" s="12">
        <v>37.9</v>
      </c>
      <c r="R5287" s="12">
        <v>2.1</v>
      </c>
      <c r="U5287" s="12">
        <v>0.6</v>
      </c>
      <c r="X5287" s="12">
        <v>7.3</v>
      </c>
    </row>
    <row r="5288" spans="1:24" x14ac:dyDescent="0.25">
      <c r="A5288" s="22">
        <v>43639</v>
      </c>
      <c r="B5288" s="12">
        <v>0</v>
      </c>
      <c r="C5288" s="12">
        <v>24.9</v>
      </c>
      <c r="D5288" s="12">
        <v>41.5</v>
      </c>
      <c r="F5288" s="12">
        <v>34.700000000000003</v>
      </c>
      <c r="G5288" s="12">
        <v>17.5</v>
      </c>
      <c r="H5288" s="12"/>
      <c r="I5288" s="12">
        <v>11.4</v>
      </c>
      <c r="J5288" s="12">
        <v>39.200000000000003</v>
      </c>
      <c r="K5288" s="12"/>
      <c r="L5288" s="12">
        <v>18.287999999999997</v>
      </c>
      <c r="M5288" s="12">
        <v>22.5</v>
      </c>
      <c r="O5288" s="12"/>
      <c r="Q5288" s="12">
        <v>0.5</v>
      </c>
      <c r="R5288" s="12">
        <v>21.4</v>
      </c>
      <c r="U5288" s="12">
        <v>0.5</v>
      </c>
      <c r="X5288" s="12">
        <v>15.2</v>
      </c>
    </row>
    <row r="5289" spans="1:24" x14ac:dyDescent="0.25">
      <c r="A5289" s="22">
        <v>43640</v>
      </c>
      <c r="B5289" s="12">
        <v>0</v>
      </c>
      <c r="C5289" s="12">
        <v>0.8</v>
      </c>
      <c r="D5289" s="12">
        <v>3.5</v>
      </c>
      <c r="F5289" s="12">
        <v>0</v>
      </c>
      <c r="G5289" s="12">
        <v>0.5</v>
      </c>
      <c r="H5289" s="12"/>
      <c r="I5289" s="12">
        <v>0</v>
      </c>
      <c r="J5289" s="12">
        <v>0</v>
      </c>
      <c r="K5289" s="12"/>
      <c r="L5289" s="12">
        <v>0</v>
      </c>
      <c r="M5289" s="12">
        <v>0</v>
      </c>
      <c r="O5289" s="12"/>
      <c r="Q5289" s="12">
        <v>0.8</v>
      </c>
      <c r="R5289" s="12">
        <v>0.5</v>
      </c>
      <c r="U5289" s="12">
        <v>45</v>
      </c>
      <c r="X5289" s="12">
        <v>10.1</v>
      </c>
    </row>
    <row r="5290" spans="1:24" x14ac:dyDescent="0.25">
      <c r="A5290" s="22">
        <v>43641</v>
      </c>
      <c r="B5290" s="12">
        <v>0</v>
      </c>
      <c r="C5290" s="12">
        <v>1.3</v>
      </c>
      <c r="D5290" s="12">
        <v>0</v>
      </c>
      <c r="F5290" s="12">
        <v>2</v>
      </c>
      <c r="G5290" s="12">
        <v>3.7</v>
      </c>
      <c r="H5290" s="12"/>
      <c r="I5290" s="12">
        <v>1.8</v>
      </c>
      <c r="J5290" s="12">
        <v>5.4</v>
      </c>
      <c r="K5290" s="12"/>
      <c r="L5290" s="12">
        <v>2.2859999999999996</v>
      </c>
      <c r="M5290" s="12">
        <v>5.4</v>
      </c>
      <c r="O5290" s="12"/>
      <c r="Q5290" s="12">
        <v>0</v>
      </c>
      <c r="R5290" s="12">
        <v>0</v>
      </c>
      <c r="U5290" s="12">
        <v>0.3</v>
      </c>
      <c r="X5290" s="12">
        <v>0</v>
      </c>
    </row>
    <row r="5291" spans="1:24" x14ac:dyDescent="0.25">
      <c r="A5291" s="22">
        <v>43642</v>
      </c>
      <c r="B5291" s="12">
        <v>0</v>
      </c>
      <c r="C5291" s="12">
        <v>0</v>
      </c>
      <c r="D5291" s="12">
        <v>0</v>
      </c>
      <c r="F5291" s="12">
        <v>0</v>
      </c>
      <c r="G5291" s="12">
        <v>0</v>
      </c>
      <c r="H5291" s="12"/>
      <c r="I5291" s="12">
        <v>0</v>
      </c>
      <c r="J5291" s="12">
        <v>0</v>
      </c>
      <c r="K5291" s="12"/>
      <c r="L5291" s="12">
        <v>0</v>
      </c>
      <c r="M5291" s="12">
        <v>0</v>
      </c>
      <c r="O5291" s="12"/>
      <c r="Q5291" s="12">
        <v>12.6</v>
      </c>
      <c r="R5291" s="12">
        <v>6.9</v>
      </c>
      <c r="U5291" s="12">
        <v>0.1</v>
      </c>
      <c r="X5291" s="12">
        <v>0</v>
      </c>
    </row>
    <row r="5292" spans="1:24" x14ac:dyDescent="0.25">
      <c r="A5292" s="22">
        <v>43643</v>
      </c>
      <c r="B5292" s="12">
        <v>56.6</v>
      </c>
      <c r="C5292" s="12">
        <v>9.6999999999999993</v>
      </c>
      <c r="D5292" s="12">
        <v>11</v>
      </c>
      <c r="F5292" s="12">
        <v>0</v>
      </c>
      <c r="G5292" s="12">
        <v>0</v>
      </c>
      <c r="H5292" s="12"/>
      <c r="I5292" s="12">
        <v>0.9</v>
      </c>
      <c r="J5292" s="12">
        <v>2.8</v>
      </c>
      <c r="K5292" s="12"/>
      <c r="L5292" s="12">
        <v>12.191999999999998</v>
      </c>
      <c r="M5292" s="12">
        <v>2.2999999999999998</v>
      </c>
      <c r="O5292" s="12"/>
      <c r="Q5292" s="12">
        <v>15.1</v>
      </c>
      <c r="R5292" s="12">
        <v>11.4</v>
      </c>
      <c r="U5292" s="12">
        <v>0</v>
      </c>
      <c r="X5292" s="12">
        <v>5.4</v>
      </c>
    </row>
    <row r="5293" spans="1:24" x14ac:dyDescent="0.25">
      <c r="A5293" s="22">
        <v>43644</v>
      </c>
      <c r="B5293" s="12">
        <v>53.3</v>
      </c>
      <c r="C5293" s="12">
        <v>44.1</v>
      </c>
      <c r="D5293" s="12">
        <v>42.2</v>
      </c>
      <c r="F5293" s="12">
        <v>36.1</v>
      </c>
      <c r="G5293" s="12">
        <v>33</v>
      </c>
      <c r="H5293" s="12"/>
      <c r="I5293" s="12">
        <v>3.1</v>
      </c>
      <c r="J5293" s="12">
        <v>56.3</v>
      </c>
      <c r="K5293" s="12"/>
      <c r="L5293" s="12">
        <v>11.43</v>
      </c>
      <c r="M5293" s="12">
        <v>33.9</v>
      </c>
      <c r="O5293" s="12"/>
      <c r="Q5293" s="12">
        <v>34.799999999999997</v>
      </c>
      <c r="R5293" s="12">
        <v>25.5</v>
      </c>
      <c r="U5293" s="12">
        <v>0.7</v>
      </c>
      <c r="X5293" s="12">
        <v>25.4</v>
      </c>
    </row>
    <row r="5294" spans="1:24" x14ac:dyDescent="0.25">
      <c r="A5294" s="22">
        <v>43645</v>
      </c>
      <c r="B5294" s="12">
        <v>0</v>
      </c>
      <c r="C5294" s="12">
        <v>23.3</v>
      </c>
      <c r="D5294" s="12">
        <v>15</v>
      </c>
      <c r="F5294" s="12">
        <v>6.1</v>
      </c>
      <c r="G5294" s="12">
        <v>14.9</v>
      </c>
      <c r="H5294" s="12"/>
      <c r="I5294" s="12">
        <v>34.9</v>
      </c>
      <c r="J5294" s="12">
        <v>25.6</v>
      </c>
      <c r="K5294" s="12"/>
      <c r="L5294" s="12">
        <v>11.937999999999999</v>
      </c>
      <c r="M5294" s="12">
        <v>13.7</v>
      </c>
      <c r="O5294" s="12"/>
      <c r="Q5294" s="12">
        <v>0.2</v>
      </c>
      <c r="R5294" s="12">
        <v>0.4</v>
      </c>
      <c r="U5294" s="12">
        <v>45</v>
      </c>
      <c r="X5294" s="12">
        <v>5.2</v>
      </c>
    </row>
    <row r="5295" spans="1:24" x14ac:dyDescent="0.25">
      <c r="A5295" s="22">
        <v>43646</v>
      </c>
      <c r="B5295" s="12">
        <v>0</v>
      </c>
      <c r="C5295" s="12">
        <v>1.6</v>
      </c>
      <c r="D5295" s="12">
        <v>2.1</v>
      </c>
      <c r="F5295" s="12">
        <v>0</v>
      </c>
      <c r="G5295" s="12">
        <v>3.4</v>
      </c>
      <c r="H5295" s="12"/>
      <c r="I5295" s="12">
        <v>4.4000000000000004</v>
      </c>
      <c r="J5295" s="12">
        <v>3.3</v>
      </c>
      <c r="K5295" s="12"/>
      <c r="L5295" s="12">
        <v>0</v>
      </c>
      <c r="M5295" s="12">
        <v>2.7</v>
      </c>
      <c r="O5295" s="12"/>
      <c r="Q5295" s="12">
        <v>0</v>
      </c>
      <c r="R5295" s="12">
        <v>0</v>
      </c>
      <c r="U5295" s="12">
        <v>0</v>
      </c>
      <c r="X5295" s="12">
        <v>0</v>
      </c>
    </row>
    <row r="5296" spans="1:24" x14ac:dyDescent="0.25">
      <c r="A5296" s="22">
        <v>43647</v>
      </c>
      <c r="B5296" s="12">
        <v>0</v>
      </c>
      <c r="C5296" s="12">
        <v>0</v>
      </c>
      <c r="D5296" s="12">
        <v>7</v>
      </c>
      <c r="F5296" s="12"/>
      <c r="G5296" s="12">
        <v>0</v>
      </c>
      <c r="H5296" s="12"/>
      <c r="I5296" s="12"/>
      <c r="J5296" s="12">
        <v>0</v>
      </c>
      <c r="K5296" s="12"/>
      <c r="L5296" s="12"/>
      <c r="M5296" s="12">
        <v>0</v>
      </c>
      <c r="O5296" s="12"/>
      <c r="Q5296" s="12">
        <v>0</v>
      </c>
      <c r="R5296" s="12"/>
      <c r="U5296" s="12"/>
      <c r="X5296" s="12"/>
    </row>
    <row r="5297" spans="1:24" x14ac:dyDescent="0.25">
      <c r="A5297" s="22">
        <v>43648</v>
      </c>
      <c r="B5297" s="12">
        <v>0</v>
      </c>
      <c r="C5297" s="12">
        <v>2</v>
      </c>
      <c r="D5297" s="12">
        <v>2</v>
      </c>
      <c r="F5297" s="12"/>
      <c r="G5297" s="12">
        <v>1.4</v>
      </c>
      <c r="H5297" s="12"/>
      <c r="I5297" s="12"/>
      <c r="J5297" s="12">
        <v>0</v>
      </c>
      <c r="K5297" s="12"/>
      <c r="L5297" s="12"/>
      <c r="M5297" s="12">
        <v>1</v>
      </c>
      <c r="O5297" s="12"/>
      <c r="Q5297" s="12">
        <v>0</v>
      </c>
      <c r="R5297" s="12"/>
      <c r="U5297" s="12"/>
      <c r="X5297" s="12"/>
    </row>
    <row r="5298" spans="1:24" x14ac:dyDescent="0.25">
      <c r="A5298" s="22">
        <v>43649</v>
      </c>
      <c r="B5298" s="12">
        <v>0</v>
      </c>
      <c r="C5298" s="12">
        <v>0</v>
      </c>
      <c r="D5298" s="12">
        <v>1.3</v>
      </c>
      <c r="F5298" s="12"/>
      <c r="G5298" s="12">
        <v>0</v>
      </c>
      <c r="H5298" s="12"/>
      <c r="I5298" s="12"/>
      <c r="J5298" s="12">
        <v>0</v>
      </c>
      <c r="K5298" s="12"/>
      <c r="L5298" s="12"/>
      <c r="M5298" s="12">
        <v>0.2</v>
      </c>
      <c r="O5298" s="12"/>
      <c r="Q5298" s="12">
        <v>23.2</v>
      </c>
      <c r="R5298" s="12"/>
      <c r="U5298" s="12"/>
      <c r="X5298" s="12"/>
    </row>
    <row r="5299" spans="1:24" x14ac:dyDescent="0.25">
      <c r="A5299" s="22">
        <v>43650</v>
      </c>
      <c r="B5299" s="12">
        <v>59.9</v>
      </c>
      <c r="C5299" s="12">
        <v>36</v>
      </c>
      <c r="D5299" s="12">
        <v>45.4</v>
      </c>
      <c r="F5299" s="12"/>
      <c r="G5299" s="12">
        <v>34.700000000000003</v>
      </c>
      <c r="H5299" s="12"/>
      <c r="I5299" s="12"/>
      <c r="J5299" s="12">
        <v>51.7</v>
      </c>
      <c r="K5299" s="12"/>
      <c r="L5299" s="12"/>
      <c r="M5299" s="12">
        <v>28.9</v>
      </c>
      <c r="O5299" s="12"/>
      <c r="Q5299" s="12">
        <v>3.2</v>
      </c>
      <c r="R5299" s="12"/>
      <c r="U5299" s="12"/>
      <c r="X5299" s="12"/>
    </row>
    <row r="5300" spans="1:24" x14ac:dyDescent="0.25">
      <c r="A5300" s="22">
        <v>43651</v>
      </c>
      <c r="B5300" s="12">
        <v>0</v>
      </c>
      <c r="C5300" s="12">
        <v>44.4</v>
      </c>
      <c r="D5300" s="12">
        <v>10.1</v>
      </c>
      <c r="F5300" s="12"/>
      <c r="G5300" s="12">
        <v>4</v>
      </c>
      <c r="H5300" s="12"/>
      <c r="I5300" s="12"/>
      <c r="J5300" s="12">
        <v>5.7</v>
      </c>
      <c r="K5300" s="12"/>
      <c r="L5300" s="12"/>
      <c r="M5300" s="12">
        <v>3.7</v>
      </c>
      <c r="O5300" s="12"/>
      <c r="Q5300" s="12">
        <v>0</v>
      </c>
      <c r="R5300" s="12"/>
      <c r="U5300" s="12"/>
      <c r="X5300" s="12"/>
    </row>
    <row r="5301" spans="1:24" x14ac:dyDescent="0.25">
      <c r="A5301" s="22">
        <v>43652</v>
      </c>
      <c r="B5301" s="12">
        <v>0</v>
      </c>
      <c r="C5301" s="12">
        <v>1.6</v>
      </c>
      <c r="D5301" s="12">
        <v>5.5</v>
      </c>
      <c r="F5301" s="12"/>
      <c r="G5301" s="12">
        <v>0</v>
      </c>
      <c r="H5301" s="12"/>
      <c r="I5301" s="12"/>
      <c r="J5301" s="12">
        <v>0</v>
      </c>
      <c r="K5301" s="12"/>
      <c r="L5301" s="12"/>
      <c r="M5301" s="12">
        <v>0</v>
      </c>
      <c r="O5301" s="12"/>
      <c r="Q5301" s="12">
        <v>0.3</v>
      </c>
      <c r="R5301" s="12"/>
      <c r="U5301" s="12"/>
      <c r="X5301" s="12"/>
    </row>
    <row r="5302" spans="1:24" x14ac:dyDescent="0.25">
      <c r="A5302" s="22">
        <v>43653</v>
      </c>
      <c r="B5302" s="12">
        <v>0</v>
      </c>
      <c r="C5302" s="12">
        <v>1.7</v>
      </c>
      <c r="D5302" s="12">
        <v>2.7</v>
      </c>
      <c r="F5302" s="12"/>
      <c r="G5302" s="12">
        <v>0</v>
      </c>
      <c r="H5302" s="12"/>
      <c r="I5302" s="12"/>
      <c r="J5302" s="12">
        <v>0</v>
      </c>
      <c r="K5302" s="12"/>
      <c r="L5302" s="12"/>
      <c r="M5302" s="12">
        <v>0</v>
      </c>
      <c r="O5302" s="12"/>
      <c r="Q5302" s="12">
        <v>6</v>
      </c>
      <c r="R5302" s="12"/>
      <c r="U5302" s="12"/>
      <c r="X5302" s="12"/>
    </row>
    <row r="5303" spans="1:24" x14ac:dyDescent="0.25">
      <c r="A5303" s="22">
        <v>43654</v>
      </c>
      <c r="B5303" s="12">
        <v>0</v>
      </c>
      <c r="C5303" s="12">
        <v>11.5</v>
      </c>
      <c r="D5303" s="12">
        <v>10.199999999999999</v>
      </c>
      <c r="F5303" s="12"/>
      <c r="G5303" s="12">
        <v>8</v>
      </c>
      <c r="H5303" s="12"/>
      <c r="I5303" s="12"/>
      <c r="J5303" s="12">
        <v>6.7</v>
      </c>
      <c r="K5303" s="12"/>
      <c r="L5303" s="12"/>
      <c r="M5303" s="12">
        <v>7.7</v>
      </c>
      <c r="O5303" s="12"/>
      <c r="Q5303" s="12">
        <v>27.6</v>
      </c>
      <c r="R5303" s="12"/>
      <c r="U5303" s="12"/>
      <c r="X5303" s="12"/>
    </row>
    <row r="5304" spans="1:24" x14ac:dyDescent="0.25">
      <c r="A5304" s="22">
        <v>43655</v>
      </c>
      <c r="B5304" s="12">
        <v>43.5</v>
      </c>
      <c r="C5304" s="12">
        <v>36.799999999999997</v>
      </c>
      <c r="D5304" s="12">
        <v>42.5</v>
      </c>
      <c r="F5304" s="12"/>
      <c r="G5304" s="12">
        <v>25.4</v>
      </c>
      <c r="H5304" s="12"/>
      <c r="I5304" s="12"/>
      <c r="J5304" s="12">
        <v>32.9</v>
      </c>
      <c r="K5304" s="12"/>
      <c r="L5304" s="12"/>
      <c r="M5304" s="12">
        <v>26</v>
      </c>
      <c r="O5304" s="12"/>
      <c r="Q5304" s="12">
        <v>2.8</v>
      </c>
      <c r="R5304" s="12"/>
      <c r="U5304" s="12"/>
      <c r="X5304" s="12"/>
    </row>
    <row r="5305" spans="1:24" x14ac:dyDescent="0.25">
      <c r="A5305" s="22">
        <v>43656</v>
      </c>
      <c r="B5305" s="12">
        <v>1</v>
      </c>
      <c r="C5305" s="12">
        <v>9.3000000000000007</v>
      </c>
      <c r="D5305" s="12">
        <v>5.5</v>
      </c>
      <c r="F5305" s="12"/>
      <c r="G5305" s="12">
        <v>0</v>
      </c>
      <c r="H5305" s="12"/>
      <c r="I5305" s="12"/>
      <c r="J5305" s="12">
        <v>6.7</v>
      </c>
      <c r="K5305" s="12"/>
      <c r="L5305" s="12"/>
      <c r="M5305" s="12">
        <v>2.9</v>
      </c>
      <c r="O5305" s="12"/>
      <c r="Q5305" s="12">
        <v>3.4</v>
      </c>
      <c r="R5305" s="12"/>
      <c r="U5305" s="12"/>
      <c r="X5305" s="12"/>
    </row>
    <row r="5306" spans="1:24" x14ac:dyDescent="0.25">
      <c r="A5306" s="22">
        <v>43657</v>
      </c>
      <c r="B5306" s="12">
        <v>0</v>
      </c>
      <c r="C5306" s="12">
        <v>6.3</v>
      </c>
      <c r="D5306" s="12">
        <v>2</v>
      </c>
      <c r="F5306" s="12"/>
      <c r="G5306" s="12">
        <v>7.5</v>
      </c>
      <c r="H5306" s="12"/>
      <c r="I5306" s="12"/>
      <c r="J5306" s="12">
        <v>8.3000000000000007</v>
      </c>
      <c r="K5306" s="12"/>
      <c r="L5306" s="12"/>
      <c r="M5306" s="12">
        <v>8.6999999999999993</v>
      </c>
      <c r="O5306" s="12"/>
      <c r="Q5306" s="12">
        <v>3.3</v>
      </c>
      <c r="R5306" s="12"/>
      <c r="U5306" s="12"/>
      <c r="X5306" s="12"/>
    </row>
    <row r="5307" spans="1:24" x14ac:dyDescent="0.25">
      <c r="A5307" s="22">
        <v>43658</v>
      </c>
      <c r="B5307" s="12">
        <v>64.099999999999994</v>
      </c>
      <c r="C5307" s="12">
        <v>3.7</v>
      </c>
      <c r="D5307" s="12">
        <v>4.9000000000000004</v>
      </c>
      <c r="F5307" s="12"/>
      <c r="G5307" s="12">
        <v>6.1</v>
      </c>
      <c r="H5307" s="12"/>
      <c r="I5307" s="12"/>
      <c r="J5307" s="12">
        <v>2.9</v>
      </c>
      <c r="K5307" s="12"/>
      <c r="L5307" s="12"/>
      <c r="M5307" s="12">
        <v>4.7</v>
      </c>
      <c r="O5307" s="12"/>
      <c r="Q5307" s="12">
        <v>63.9</v>
      </c>
      <c r="R5307" s="12"/>
      <c r="U5307" s="12"/>
      <c r="X5307" s="12"/>
    </row>
    <row r="5308" spans="1:24" x14ac:dyDescent="0.25">
      <c r="A5308" s="22">
        <v>43659</v>
      </c>
      <c r="B5308" s="12">
        <v>0</v>
      </c>
      <c r="C5308" s="12">
        <v>55.1</v>
      </c>
      <c r="D5308" s="12">
        <v>13</v>
      </c>
      <c r="F5308" s="12"/>
      <c r="G5308" s="12">
        <v>63.7</v>
      </c>
      <c r="H5308" s="12"/>
      <c r="I5308" s="12"/>
      <c r="J5308" s="12">
        <v>97.5</v>
      </c>
      <c r="K5308" s="12"/>
      <c r="L5308" s="12"/>
      <c r="M5308" s="12">
        <v>84.7</v>
      </c>
      <c r="O5308" s="12"/>
      <c r="Q5308" s="12">
        <v>8.4</v>
      </c>
      <c r="R5308" s="12"/>
      <c r="U5308" s="12"/>
      <c r="X5308" s="12"/>
    </row>
    <row r="5309" spans="1:24" x14ac:dyDescent="0.25">
      <c r="A5309" s="22">
        <v>43660</v>
      </c>
      <c r="B5309" s="12">
        <v>0</v>
      </c>
      <c r="C5309" s="12">
        <v>10.199999999999999</v>
      </c>
      <c r="D5309" s="12">
        <v>11.3</v>
      </c>
      <c r="F5309" s="12"/>
      <c r="G5309" s="12">
        <v>13.2</v>
      </c>
      <c r="H5309" s="12"/>
      <c r="I5309" s="12"/>
      <c r="J5309" s="12">
        <v>23.7</v>
      </c>
      <c r="K5309" s="12"/>
      <c r="L5309" s="12"/>
      <c r="M5309" s="12">
        <v>12.3</v>
      </c>
      <c r="O5309" s="12"/>
      <c r="Q5309" s="12">
        <v>54.8</v>
      </c>
      <c r="R5309" s="12"/>
      <c r="U5309" s="12"/>
      <c r="X5309" s="12"/>
    </row>
    <row r="5310" spans="1:24" x14ac:dyDescent="0.25">
      <c r="A5310" s="22">
        <v>43661</v>
      </c>
      <c r="B5310" s="12">
        <v>79</v>
      </c>
      <c r="C5310" s="12">
        <v>58.7</v>
      </c>
      <c r="D5310" s="12">
        <v>62.2</v>
      </c>
      <c r="F5310" s="12"/>
      <c r="G5310" s="12">
        <v>34.700000000000003</v>
      </c>
      <c r="H5310" s="12"/>
      <c r="I5310" s="12"/>
      <c r="J5310" s="12">
        <v>45.9</v>
      </c>
      <c r="K5310" s="12"/>
      <c r="L5310" s="12"/>
      <c r="M5310" s="12">
        <v>36.299999999999997</v>
      </c>
      <c r="O5310" s="12"/>
      <c r="Q5310" s="12">
        <v>0</v>
      </c>
      <c r="R5310" s="12"/>
      <c r="U5310" s="12"/>
      <c r="X5310" s="12"/>
    </row>
    <row r="5311" spans="1:24" x14ac:dyDescent="0.25">
      <c r="A5311" s="22">
        <v>43662</v>
      </c>
      <c r="B5311" s="12">
        <v>32.5</v>
      </c>
      <c r="C5311" s="12">
        <v>39.200000000000003</v>
      </c>
      <c r="D5311" s="12">
        <v>56.3</v>
      </c>
      <c r="F5311" s="12"/>
      <c r="G5311" s="12">
        <v>28.2</v>
      </c>
      <c r="H5311" s="12"/>
      <c r="I5311" s="12"/>
      <c r="J5311" s="12">
        <v>42.1</v>
      </c>
      <c r="K5311" s="12"/>
      <c r="L5311" s="12"/>
      <c r="M5311" s="12">
        <v>31.8</v>
      </c>
      <c r="O5311" s="12"/>
      <c r="Q5311" s="12">
        <v>0</v>
      </c>
      <c r="R5311" s="12"/>
      <c r="U5311" s="12"/>
      <c r="X5311" s="12"/>
    </row>
    <row r="5312" spans="1:24" x14ac:dyDescent="0.25">
      <c r="A5312" s="22">
        <v>43663</v>
      </c>
      <c r="B5312" s="12">
        <v>0</v>
      </c>
      <c r="C5312" s="12">
        <v>0.6</v>
      </c>
      <c r="D5312" s="12">
        <v>25.5</v>
      </c>
      <c r="F5312" s="12"/>
      <c r="G5312" s="12">
        <v>1.5</v>
      </c>
      <c r="H5312" s="12"/>
      <c r="I5312" s="12"/>
      <c r="J5312" s="12">
        <v>66</v>
      </c>
      <c r="K5312" s="12"/>
      <c r="L5312" s="12"/>
      <c r="M5312" s="12">
        <v>0.5</v>
      </c>
      <c r="O5312" s="12"/>
      <c r="Q5312" s="38">
        <v>58.4</v>
      </c>
      <c r="R5312" s="12"/>
      <c r="U5312" s="12"/>
      <c r="X5312" s="12"/>
    </row>
    <row r="5313" spans="1:24" x14ac:dyDescent="0.25">
      <c r="A5313" s="22">
        <v>43664</v>
      </c>
      <c r="B5313" s="12">
        <v>0</v>
      </c>
      <c r="C5313" s="12">
        <v>25.4</v>
      </c>
      <c r="D5313" s="12">
        <v>14</v>
      </c>
      <c r="F5313" s="12"/>
      <c r="G5313" s="12">
        <v>44.9</v>
      </c>
      <c r="H5313" s="12"/>
      <c r="I5313" s="12"/>
      <c r="J5313" s="12">
        <v>38.200000000000003</v>
      </c>
      <c r="K5313" s="12"/>
      <c r="L5313" s="12"/>
      <c r="M5313" s="12">
        <v>55.8</v>
      </c>
      <c r="O5313" s="12"/>
      <c r="Q5313" s="38">
        <v>9.8000000000000007</v>
      </c>
      <c r="R5313" s="12"/>
      <c r="U5313" s="12"/>
      <c r="X5313" s="12"/>
    </row>
    <row r="5314" spans="1:24" x14ac:dyDescent="0.25">
      <c r="A5314" s="22">
        <v>43665</v>
      </c>
      <c r="B5314" s="12">
        <v>37.799999999999997</v>
      </c>
      <c r="C5314" s="12">
        <v>9.4</v>
      </c>
      <c r="D5314" s="12">
        <v>12.7</v>
      </c>
      <c r="F5314" s="12"/>
      <c r="G5314" s="12">
        <v>5.5</v>
      </c>
      <c r="H5314" s="12"/>
      <c r="I5314" s="12"/>
      <c r="J5314" s="12">
        <v>10.1</v>
      </c>
      <c r="K5314" s="12"/>
      <c r="L5314" s="12"/>
      <c r="M5314" s="12">
        <v>4.7</v>
      </c>
      <c r="O5314" s="12"/>
      <c r="Q5314" s="38">
        <v>0</v>
      </c>
      <c r="R5314" s="12"/>
      <c r="U5314" s="12"/>
      <c r="X5314" s="12"/>
    </row>
    <row r="5315" spans="1:24" x14ac:dyDescent="0.25">
      <c r="A5315" s="22">
        <v>43666</v>
      </c>
      <c r="B5315" s="12">
        <v>5</v>
      </c>
      <c r="C5315" s="12">
        <v>0</v>
      </c>
      <c r="D5315" s="12">
        <v>0</v>
      </c>
      <c r="F5315" s="12"/>
      <c r="G5315" s="12">
        <v>0</v>
      </c>
      <c r="H5315" s="12"/>
      <c r="I5315" s="12"/>
      <c r="J5315" s="12">
        <v>0</v>
      </c>
      <c r="K5315" s="12"/>
      <c r="L5315" s="12"/>
      <c r="M5315" s="12">
        <v>0</v>
      </c>
      <c r="O5315" s="12"/>
      <c r="Q5315" s="38">
        <v>0</v>
      </c>
      <c r="R5315" s="12"/>
      <c r="U5315" s="12"/>
      <c r="X5315" s="12"/>
    </row>
    <row r="5316" spans="1:24" x14ac:dyDescent="0.25">
      <c r="A5316" s="22">
        <v>43667</v>
      </c>
      <c r="B5316" s="12">
        <v>0</v>
      </c>
      <c r="C5316" s="12">
        <v>1.6</v>
      </c>
      <c r="D5316" s="12">
        <v>2.1</v>
      </c>
      <c r="F5316" s="12"/>
      <c r="G5316" s="12">
        <v>2.9</v>
      </c>
      <c r="H5316" s="12"/>
      <c r="I5316" s="12"/>
      <c r="J5316" s="12">
        <v>0.1</v>
      </c>
      <c r="K5316" s="12"/>
      <c r="L5316" s="12"/>
      <c r="M5316" s="12">
        <v>0.1</v>
      </c>
      <c r="O5316" s="12"/>
      <c r="Q5316" s="12">
        <v>2</v>
      </c>
      <c r="R5316" s="12"/>
      <c r="U5316" s="12"/>
      <c r="X5316" s="12"/>
    </row>
    <row r="5317" spans="1:24" x14ac:dyDescent="0.25">
      <c r="A5317" s="22">
        <v>43668</v>
      </c>
      <c r="B5317" s="12">
        <v>10</v>
      </c>
      <c r="C5317" s="12">
        <v>5.4</v>
      </c>
      <c r="D5317" s="12">
        <v>6</v>
      </c>
      <c r="F5317" s="12"/>
      <c r="G5317" s="12">
        <v>4</v>
      </c>
      <c r="H5317" s="12"/>
      <c r="I5317" s="12"/>
      <c r="J5317" s="12">
        <v>11.2</v>
      </c>
      <c r="K5317" s="12"/>
      <c r="L5317" s="12"/>
      <c r="M5317" s="12">
        <v>6.5</v>
      </c>
      <c r="O5317" s="12"/>
      <c r="Q5317" s="12">
        <v>0</v>
      </c>
      <c r="R5317" s="12"/>
      <c r="U5317" s="12"/>
      <c r="X5317" s="12"/>
    </row>
    <row r="5318" spans="1:24" x14ac:dyDescent="0.25">
      <c r="A5318" s="22">
        <v>43669</v>
      </c>
      <c r="B5318" s="12">
        <v>0</v>
      </c>
      <c r="C5318" s="12">
        <v>0.2</v>
      </c>
      <c r="D5318" s="12">
        <v>2</v>
      </c>
      <c r="F5318" s="12"/>
      <c r="G5318" s="12">
        <v>2.5</v>
      </c>
      <c r="H5318" s="12"/>
      <c r="I5318" s="12"/>
      <c r="J5318" s="12">
        <v>0</v>
      </c>
      <c r="K5318" s="12"/>
      <c r="L5318" s="12"/>
      <c r="M5318" s="12">
        <v>4</v>
      </c>
      <c r="O5318" s="12"/>
      <c r="Q5318" s="12">
        <v>6.8</v>
      </c>
      <c r="R5318" s="12"/>
      <c r="U5318" s="12"/>
      <c r="X5318" s="12"/>
    </row>
    <row r="5319" spans="1:24" x14ac:dyDescent="0.25">
      <c r="A5319" s="22">
        <v>43670</v>
      </c>
      <c r="B5319" s="12">
        <v>0</v>
      </c>
      <c r="C5319" s="12">
        <v>15</v>
      </c>
      <c r="D5319" s="12">
        <v>9.1</v>
      </c>
      <c r="F5319" s="12"/>
      <c r="G5319" s="12">
        <v>9.5</v>
      </c>
      <c r="H5319" s="12"/>
      <c r="I5319" s="12"/>
      <c r="J5319" s="12">
        <v>8.4</v>
      </c>
      <c r="K5319" s="12"/>
      <c r="L5319" s="12"/>
      <c r="M5319" s="12">
        <v>6.5</v>
      </c>
      <c r="O5319" s="12"/>
      <c r="Q5319" s="12">
        <v>0</v>
      </c>
      <c r="R5319" s="12"/>
      <c r="U5319" s="12"/>
      <c r="X5319" s="12"/>
    </row>
    <row r="5320" spans="1:24" x14ac:dyDescent="0.25">
      <c r="A5320" s="22">
        <v>43671</v>
      </c>
      <c r="B5320" s="12">
        <v>5.3</v>
      </c>
      <c r="C5320" s="12">
        <v>10.9</v>
      </c>
      <c r="D5320" s="12">
        <v>9.6999999999999993</v>
      </c>
      <c r="F5320" s="12"/>
      <c r="G5320" s="12">
        <v>26.2</v>
      </c>
      <c r="H5320" s="12"/>
      <c r="I5320" s="12"/>
      <c r="J5320" s="12">
        <v>4.4000000000000004</v>
      </c>
      <c r="K5320" s="12"/>
      <c r="L5320" s="12"/>
      <c r="M5320" s="12">
        <v>27</v>
      </c>
      <c r="O5320" s="12"/>
      <c r="Q5320" s="12">
        <v>1</v>
      </c>
      <c r="R5320" s="12"/>
      <c r="U5320" s="12"/>
      <c r="X5320" s="12"/>
    </row>
    <row r="5321" spans="1:24" x14ac:dyDescent="0.25">
      <c r="A5321" s="22">
        <v>43672</v>
      </c>
      <c r="B5321" s="12">
        <v>10.199999999999999</v>
      </c>
      <c r="C5321" s="12">
        <v>2.7</v>
      </c>
      <c r="D5321" s="12">
        <v>0</v>
      </c>
      <c r="F5321" s="12"/>
      <c r="G5321" s="12">
        <v>2.8</v>
      </c>
      <c r="H5321" s="12"/>
      <c r="I5321" s="12"/>
      <c r="J5321" s="12">
        <v>0.1</v>
      </c>
      <c r="K5321" s="12"/>
      <c r="L5321" s="12"/>
      <c r="M5321" s="12">
        <v>4.3</v>
      </c>
      <c r="O5321" s="12"/>
      <c r="Q5321" s="12">
        <v>0</v>
      </c>
      <c r="R5321" s="12"/>
      <c r="U5321" s="12"/>
      <c r="X5321" s="12"/>
    </row>
    <row r="5322" spans="1:24" x14ac:dyDescent="0.25">
      <c r="A5322" s="22">
        <v>43673</v>
      </c>
      <c r="B5322" s="12">
        <v>7.3</v>
      </c>
      <c r="C5322" s="12">
        <v>0.6</v>
      </c>
      <c r="D5322" s="12">
        <v>0</v>
      </c>
      <c r="F5322" s="12"/>
      <c r="G5322" s="12">
        <v>0.9</v>
      </c>
      <c r="H5322" s="12"/>
      <c r="I5322" s="12"/>
      <c r="J5322" s="12">
        <v>0</v>
      </c>
      <c r="K5322" s="12"/>
      <c r="L5322" s="12"/>
      <c r="M5322" s="12">
        <v>0.4</v>
      </c>
      <c r="O5322" s="12"/>
      <c r="Q5322" s="12">
        <v>4.3</v>
      </c>
      <c r="R5322" s="12"/>
      <c r="U5322" s="12"/>
      <c r="X5322" s="12"/>
    </row>
    <row r="5323" spans="1:24" x14ac:dyDescent="0.25">
      <c r="A5323" s="22">
        <v>43674</v>
      </c>
      <c r="B5323" s="12">
        <v>8.5</v>
      </c>
      <c r="C5323" s="12">
        <v>0</v>
      </c>
      <c r="D5323" s="12">
        <v>11.6</v>
      </c>
      <c r="F5323" s="12"/>
      <c r="G5323" s="12">
        <v>8.5</v>
      </c>
      <c r="H5323" s="12"/>
      <c r="I5323" s="12"/>
      <c r="J5323" s="12">
        <v>8.6</v>
      </c>
      <c r="K5323" s="12"/>
      <c r="L5323" s="12"/>
      <c r="M5323" s="12">
        <v>5.7</v>
      </c>
      <c r="O5323" s="12"/>
      <c r="Q5323" s="12">
        <v>3.1</v>
      </c>
      <c r="R5323" s="12"/>
      <c r="U5323" s="12"/>
      <c r="X5323" s="12"/>
    </row>
    <row r="5324" spans="1:24" x14ac:dyDescent="0.25">
      <c r="A5324" s="22">
        <v>43675</v>
      </c>
      <c r="B5324" s="12">
        <v>4.0999999999999996</v>
      </c>
      <c r="C5324" s="12">
        <v>9.1</v>
      </c>
      <c r="D5324" s="12">
        <v>0</v>
      </c>
      <c r="F5324" s="12"/>
      <c r="G5324" s="12">
        <v>2.1</v>
      </c>
      <c r="H5324" s="12"/>
      <c r="I5324" s="12"/>
      <c r="J5324" s="12">
        <v>2.8</v>
      </c>
      <c r="K5324" s="12"/>
      <c r="L5324" s="12"/>
      <c r="M5324" s="12">
        <v>1.3</v>
      </c>
      <c r="O5324" s="12"/>
      <c r="Q5324" s="12">
        <v>11.6</v>
      </c>
      <c r="R5324" s="12"/>
      <c r="U5324" s="12"/>
      <c r="X5324" s="12"/>
    </row>
    <row r="5325" spans="1:24" x14ac:dyDescent="0.25">
      <c r="A5325" s="22">
        <v>43676</v>
      </c>
      <c r="B5325" s="12">
        <v>0.1</v>
      </c>
      <c r="C5325" s="12">
        <v>1.6</v>
      </c>
      <c r="D5325" s="12">
        <v>5</v>
      </c>
      <c r="F5325" s="12"/>
      <c r="G5325" s="12">
        <v>6.7</v>
      </c>
      <c r="H5325" s="12"/>
      <c r="I5325" s="12"/>
      <c r="J5325" s="12">
        <v>0.5</v>
      </c>
      <c r="K5325" s="12"/>
      <c r="L5325" s="12"/>
      <c r="M5325" s="12">
        <v>0</v>
      </c>
      <c r="O5325" s="12"/>
      <c r="Q5325" s="12">
        <v>1</v>
      </c>
      <c r="R5325" s="12"/>
      <c r="U5325" s="12"/>
      <c r="X5325" s="12"/>
    </row>
    <row r="5326" spans="1:24" x14ac:dyDescent="0.25">
      <c r="A5326" s="22">
        <v>43677</v>
      </c>
      <c r="B5326" s="12">
        <v>0</v>
      </c>
      <c r="C5326" s="12">
        <v>9.8000000000000007</v>
      </c>
      <c r="D5326" s="12">
        <v>10</v>
      </c>
      <c r="F5326" s="12"/>
      <c r="G5326" s="12">
        <v>1.2</v>
      </c>
      <c r="H5326" s="12"/>
      <c r="I5326" s="12"/>
      <c r="J5326" s="12">
        <v>34</v>
      </c>
      <c r="K5326" s="12"/>
      <c r="L5326" s="12"/>
      <c r="M5326" s="12">
        <v>1.5</v>
      </c>
      <c r="O5326" s="12"/>
      <c r="Q5326" s="12">
        <v>0.1</v>
      </c>
      <c r="R5326" s="12"/>
      <c r="U5326" s="12"/>
      <c r="X5326" s="12"/>
    </row>
    <row r="5327" spans="1:24" x14ac:dyDescent="0.25">
      <c r="A5327" s="22">
        <v>43678</v>
      </c>
      <c r="B5327" s="12">
        <v>0</v>
      </c>
      <c r="C5327" s="12">
        <v>1.8</v>
      </c>
      <c r="D5327" s="12">
        <v>2</v>
      </c>
      <c r="F5327" s="12">
        <v>6.5</v>
      </c>
      <c r="G5327" s="12">
        <v>1.2</v>
      </c>
      <c r="H5327" s="12"/>
      <c r="I5327" s="12">
        <v>0</v>
      </c>
      <c r="J5327" s="12">
        <v>1.9</v>
      </c>
      <c r="K5327" s="12">
        <v>0.9</v>
      </c>
      <c r="L5327" s="12">
        <v>0</v>
      </c>
      <c r="M5327" s="12">
        <v>1.8</v>
      </c>
      <c r="O5327" s="12">
        <v>3.302</v>
      </c>
      <c r="Q5327" s="12">
        <v>0.4</v>
      </c>
      <c r="R5327" s="12">
        <v>0</v>
      </c>
      <c r="U5327" s="12">
        <v>2</v>
      </c>
      <c r="X5327" s="12">
        <v>0</v>
      </c>
    </row>
    <row r="5328" spans="1:24" x14ac:dyDescent="0.25">
      <c r="A5328" s="22">
        <v>43679</v>
      </c>
      <c r="B5328" s="12">
        <v>5</v>
      </c>
      <c r="C5328" s="12">
        <v>0.7</v>
      </c>
      <c r="D5328" s="12">
        <v>3.1</v>
      </c>
      <c r="F5328" s="12">
        <v>0</v>
      </c>
      <c r="G5328" s="12">
        <v>2.4</v>
      </c>
      <c r="H5328" s="12"/>
      <c r="I5328" s="12">
        <v>0.9</v>
      </c>
      <c r="J5328" s="12">
        <v>1.3</v>
      </c>
      <c r="K5328" s="12">
        <v>0.5</v>
      </c>
      <c r="L5328" s="12">
        <v>2.2859999999999996</v>
      </c>
      <c r="M5328" s="12">
        <v>1.1000000000000001</v>
      </c>
      <c r="O5328" s="12">
        <v>0</v>
      </c>
      <c r="Q5328" s="12">
        <v>13.6</v>
      </c>
      <c r="R5328" s="12">
        <v>0.1</v>
      </c>
      <c r="U5328" s="12">
        <v>2</v>
      </c>
      <c r="X5328" s="12">
        <v>0</v>
      </c>
    </row>
    <row r="5329" spans="1:24" x14ac:dyDescent="0.25">
      <c r="A5329" s="22">
        <v>43680</v>
      </c>
      <c r="B5329" s="12">
        <v>0</v>
      </c>
      <c r="C5329" s="12">
        <v>20.2</v>
      </c>
      <c r="D5329" s="12">
        <v>3</v>
      </c>
      <c r="F5329" s="12">
        <v>4</v>
      </c>
      <c r="G5329" s="12">
        <v>9</v>
      </c>
      <c r="H5329" s="12"/>
      <c r="I5329" s="12">
        <v>6.3</v>
      </c>
      <c r="J5329" s="12">
        <v>14.9</v>
      </c>
      <c r="K5329" s="12">
        <v>8</v>
      </c>
      <c r="L5329" s="12">
        <v>1.778</v>
      </c>
      <c r="M5329" s="12">
        <v>8.5</v>
      </c>
      <c r="O5329" s="12">
        <v>9.6519999999999992</v>
      </c>
      <c r="Q5329" s="12">
        <v>13.4</v>
      </c>
      <c r="R5329" s="12">
        <v>7.6</v>
      </c>
      <c r="U5329" s="12">
        <v>15</v>
      </c>
      <c r="X5329" s="12">
        <v>5.2</v>
      </c>
    </row>
    <row r="5330" spans="1:24" x14ac:dyDescent="0.25">
      <c r="A5330" s="22">
        <v>43681</v>
      </c>
      <c r="B5330" s="12">
        <v>19</v>
      </c>
      <c r="C5330" s="12">
        <v>17.7</v>
      </c>
      <c r="D5330" s="12">
        <v>22.1</v>
      </c>
      <c r="F5330" s="12">
        <v>4.7</v>
      </c>
      <c r="G5330" s="12">
        <v>10.5</v>
      </c>
      <c r="H5330" s="12"/>
      <c r="I5330" s="12">
        <v>7.9</v>
      </c>
      <c r="J5330" s="12">
        <v>15.4</v>
      </c>
      <c r="K5330" s="12">
        <v>9.1999999999999993</v>
      </c>
      <c r="L5330" s="12">
        <v>12.191999999999998</v>
      </c>
      <c r="M5330" s="12">
        <v>9.5</v>
      </c>
      <c r="O5330" s="12">
        <v>19.558</v>
      </c>
      <c r="Q5330" s="12">
        <v>39</v>
      </c>
      <c r="R5330" s="12">
        <v>11.6</v>
      </c>
      <c r="U5330" s="12">
        <v>14</v>
      </c>
      <c r="X5330" s="12">
        <v>25.4</v>
      </c>
    </row>
    <row r="5331" spans="1:24" x14ac:dyDescent="0.25">
      <c r="A5331" s="22">
        <v>43682</v>
      </c>
      <c r="B5331" s="12">
        <v>41.9</v>
      </c>
      <c r="C5331" s="12">
        <v>37.799999999999997</v>
      </c>
      <c r="D5331" s="12">
        <v>79.900000000000006</v>
      </c>
      <c r="F5331" s="12">
        <v>21.9</v>
      </c>
      <c r="G5331" s="12">
        <v>29.6</v>
      </c>
      <c r="H5331" s="12"/>
      <c r="I5331" s="12">
        <v>25.9</v>
      </c>
      <c r="J5331" s="12">
        <v>57.5</v>
      </c>
      <c r="K5331" s="12">
        <v>54.8</v>
      </c>
      <c r="L5331" s="12">
        <v>28.194000000000003</v>
      </c>
      <c r="M5331" s="12">
        <v>25.7</v>
      </c>
      <c r="O5331" s="12">
        <v>41.91</v>
      </c>
      <c r="Q5331" s="12">
        <v>0.9</v>
      </c>
      <c r="R5331" s="12">
        <v>43.2</v>
      </c>
      <c r="U5331" s="12">
        <v>73</v>
      </c>
      <c r="X5331" s="12">
        <v>30.5</v>
      </c>
    </row>
    <row r="5332" spans="1:24" x14ac:dyDescent="0.25">
      <c r="A5332" s="22">
        <v>43683</v>
      </c>
      <c r="B5332" s="12">
        <v>0</v>
      </c>
      <c r="C5332" s="12">
        <v>49.1</v>
      </c>
      <c r="D5332" s="12">
        <v>16.7</v>
      </c>
      <c r="F5332" s="12">
        <v>2.7</v>
      </c>
      <c r="G5332" s="12">
        <v>4.0999999999999996</v>
      </c>
      <c r="H5332" s="12"/>
      <c r="I5332" s="12">
        <v>0</v>
      </c>
      <c r="J5332" s="12">
        <v>6.7</v>
      </c>
      <c r="K5332" s="12">
        <v>3.4</v>
      </c>
      <c r="L5332" s="12">
        <v>2.2859999999999996</v>
      </c>
      <c r="M5332" s="12">
        <v>6.3</v>
      </c>
      <c r="O5332" s="12">
        <v>3.556</v>
      </c>
      <c r="Q5332" s="12">
        <v>20.399999999999999</v>
      </c>
      <c r="R5332" s="12">
        <v>21.4</v>
      </c>
      <c r="U5332" s="12">
        <v>7</v>
      </c>
      <c r="X5332" s="12">
        <v>0</v>
      </c>
    </row>
    <row r="5333" spans="1:24" x14ac:dyDescent="0.25">
      <c r="A5333" s="22">
        <v>43684</v>
      </c>
      <c r="B5333" s="12">
        <v>0</v>
      </c>
      <c r="C5333" s="12">
        <v>12.4</v>
      </c>
      <c r="D5333" s="12">
        <v>16.5</v>
      </c>
      <c r="F5333" s="12">
        <v>12.5</v>
      </c>
      <c r="G5333" s="12">
        <v>14.9</v>
      </c>
      <c r="H5333" s="12"/>
      <c r="I5333" s="12">
        <v>19.899999999999999</v>
      </c>
      <c r="J5333" s="12">
        <v>23.3</v>
      </c>
      <c r="K5333" s="12">
        <v>16.100000000000001</v>
      </c>
      <c r="L5333" s="12">
        <v>19.303999999999998</v>
      </c>
      <c r="M5333" s="12">
        <v>19</v>
      </c>
      <c r="O5333" s="12">
        <v>19.558</v>
      </c>
      <c r="Q5333" s="12">
        <v>0.9</v>
      </c>
      <c r="R5333" s="12">
        <v>2</v>
      </c>
      <c r="U5333" s="12">
        <v>21</v>
      </c>
      <c r="X5333" s="12">
        <v>3.1</v>
      </c>
    </row>
    <row r="5334" spans="1:24" x14ac:dyDescent="0.25">
      <c r="A5334" s="22">
        <v>43685</v>
      </c>
      <c r="B5334" s="12">
        <v>0</v>
      </c>
      <c r="C5334" s="12">
        <v>11.9</v>
      </c>
      <c r="D5334" s="12">
        <v>11.3</v>
      </c>
      <c r="F5334" s="12">
        <v>7.4</v>
      </c>
      <c r="G5334" s="12">
        <v>3.5</v>
      </c>
      <c r="H5334" s="12"/>
      <c r="I5334" s="12">
        <v>3</v>
      </c>
      <c r="J5334" s="12">
        <v>8.6</v>
      </c>
      <c r="K5334" s="12">
        <v>0.1</v>
      </c>
      <c r="L5334" s="12">
        <v>1.016</v>
      </c>
      <c r="M5334" s="12">
        <v>3.5</v>
      </c>
      <c r="O5334" s="12">
        <v>2.794</v>
      </c>
      <c r="Q5334" s="12">
        <v>0</v>
      </c>
      <c r="R5334" s="12">
        <v>0</v>
      </c>
      <c r="U5334" s="12">
        <v>2</v>
      </c>
      <c r="X5334" s="12">
        <v>0</v>
      </c>
    </row>
    <row r="5335" spans="1:24" x14ac:dyDescent="0.25">
      <c r="A5335" s="22">
        <v>43686</v>
      </c>
      <c r="B5335" s="12">
        <v>0</v>
      </c>
      <c r="C5335" s="12">
        <v>2.2999999999999998</v>
      </c>
      <c r="D5335" s="12">
        <v>0</v>
      </c>
      <c r="F5335" s="12">
        <v>0</v>
      </c>
      <c r="G5335" s="12">
        <v>0</v>
      </c>
      <c r="H5335" s="12"/>
      <c r="I5335" s="12">
        <v>0</v>
      </c>
      <c r="J5335" s="12">
        <v>0.1</v>
      </c>
      <c r="K5335" s="12">
        <v>11</v>
      </c>
      <c r="L5335" s="12">
        <v>0</v>
      </c>
      <c r="M5335" s="12">
        <v>0</v>
      </c>
      <c r="O5335" s="12">
        <v>0</v>
      </c>
      <c r="Q5335" s="12">
        <v>0</v>
      </c>
      <c r="R5335" s="12">
        <v>0</v>
      </c>
      <c r="U5335" s="12">
        <v>0</v>
      </c>
      <c r="X5335" s="12">
        <v>0</v>
      </c>
    </row>
    <row r="5336" spans="1:24" x14ac:dyDescent="0.25">
      <c r="A5336" s="22">
        <v>43687</v>
      </c>
      <c r="B5336" s="12">
        <v>0</v>
      </c>
      <c r="C5336" s="12">
        <v>1.2</v>
      </c>
      <c r="D5336" s="12">
        <v>0</v>
      </c>
      <c r="F5336" s="12">
        <v>0</v>
      </c>
      <c r="G5336" s="12">
        <v>18.2</v>
      </c>
      <c r="H5336" s="12"/>
      <c r="I5336" s="12">
        <v>1.8</v>
      </c>
      <c r="J5336" s="12">
        <v>5.5</v>
      </c>
      <c r="K5336" s="12">
        <v>6.4</v>
      </c>
      <c r="L5336" s="12">
        <v>0.7619999999999999</v>
      </c>
      <c r="M5336" s="12">
        <v>3.5</v>
      </c>
      <c r="O5336" s="12">
        <v>0</v>
      </c>
      <c r="Q5336" s="12">
        <v>4.8</v>
      </c>
      <c r="R5336" s="12">
        <v>0</v>
      </c>
      <c r="U5336" s="12">
        <v>0</v>
      </c>
      <c r="X5336" s="12">
        <v>0</v>
      </c>
    </row>
    <row r="5337" spans="1:24" x14ac:dyDescent="0.25">
      <c r="A5337" s="22">
        <v>43688</v>
      </c>
      <c r="B5337" s="12">
        <v>0</v>
      </c>
      <c r="C5337" s="12">
        <v>1.3</v>
      </c>
      <c r="D5337" s="12">
        <v>5.2</v>
      </c>
      <c r="F5337" s="12">
        <v>0</v>
      </c>
      <c r="G5337" s="12">
        <v>3.5</v>
      </c>
      <c r="H5337" s="12"/>
      <c r="I5337" s="12">
        <v>0</v>
      </c>
      <c r="J5337" s="12">
        <v>4.0999999999999996</v>
      </c>
      <c r="K5337" s="12">
        <v>6.5</v>
      </c>
      <c r="L5337" s="12">
        <v>5.3339999999999996</v>
      </c>
      <c r="M5337" s="12">
        <v>5.6</v>
      </c>
      <c r="O5337" s="12">
        <v>0</v>
      </c>
      <c r="Q5337" s="12">
        <v>3.1</v>
      </c>
      <c r="R5337" s="12">
        <v>0</v>
      </c>
      <c r="U5337" s="12">
        <v>2</v>
      </c>
      <c r="X5337" s="12">
        <v>15.3</v>
      </c>
    </row>
    <row r="5338" spans="1:24" x14ac:dyDescent="0.25">
      <c r="A5338" s="22">
        <v>43689</v>
      </c>
      <c r="B5338" s="12">
        <v>0</v>
      </c>
      <c r="C5338" s="12">
        <v>16.399999999999999</v>
      </c>
      <c r="D5338" s="12">
        <v>11.2</v>
      </c>
      <c r="F5338" s="12">
        <v>4.9000000000000004</v>
      </c>
      <c r="G5338" s="12">
        <v>5.5</v>
      </c>
      <c r="H5338" s="12"/>
      <c r="I5338" s="12">
        <v>9.8000000000000007</v>
      </c>
      <c r="J5338" s="12">
        <v>10.1</v>
      </c>
      <c r="K5338" s="12">
        <v>9.1</v>
      </c>
      <c r="L5338" s="12">
        <v>1.27</v>
      </c>
      <c r="M5338" s="12">
        <v>1.5</v>
      </c>
      <c r="O5338" s="12">
        <v>22.097999999999999</v>
      </c>
      <c r="Q5338" s="12">
        <v>3.4</v>
      </c>
      <c r="R5338" s="12">
        <v>0</v>
      </c>
      <c r="U5338" s="12">
        <v>17</v>
      </c>
      <c r="X5338" s="12">
        <v>0</v>
      </c>
    </row>
    <row r="5339" spans="1:24" x14ac:dyDescent="0.25">
      <c r="A5339" s="22">
        <v>43690</v>
      </c>
      <c r="B5339" s="12">
        <v>0</v>
      </c>
      <c r="C5339" s="12">
        <v>4.5</v>
      </c>
      <c r="D5339" s="12">
        <v>6.8</v>
      </c>
      <c r="F5339" s="12">
        <v>2.4</v>
      </c>
      <c r="G5339" s="12">
        <v>6.5</v>
      </c>
      <c r="H5339" s="12"/>
      <c r="I5339" s="12">
        <v>0</v>
      </c>
      <c r="J5339" s="12">
        <v>15.9</v>
      </c>
      <c r="K5339" s="12">
        <v>0.1</v>
      </c>
      <c r="L5339" s="12">
        <v>0.7619999999999999</v>
      </c>
      <c r="M5339" s="12">
        <v>5.8</v>
      </c>
      <c r="O5339" s="12">
        <v>6.8579999999999997</v>
      </c>
      <c r="Q5339" s="12">
        <v>0</v>
      </c>
      <c r="R5339" s="12">
        <v>4.2</v>
      </c>
      <c r="U5339" s="12">
        <v>1</v>
      </c>
      <c r="X5339" s="12">
        <v>0</v>
      </c>
    </row>
    <row r="5340" spans="1:24" x14ac:dyDescent="0.25">
      <c r="A5340" s="22">
        <v>43691</v>
      </c>
      <c r="B5340" s="12">
        <v>0</v>
      </c>
      <c r="C5340" s="12">
        <v>1</v>
      </c>
      <c r="D5340" s="12">
        <v>0</v>
      </c>
      <c r="F5340" s="12">
        <v>0</v>
      </c>
      <c r="G5340" s="12">
        <v>0</v>
      </c>
      <c r="H5340" s="12"/>
      <c r="I5340" s="12">
        <v>0</v>
      </c>
      <c r="J5340" s="12">
        <v>0</v>
      </c>
      <c r="K5340" s="12">
        <v>13.1</v>
      </c>
      <c r="L5340" s="12">
        <v>1.27</v>
      </c>
      <c r="M5340" s="12">
        <v>0</v>
      </c>
      <c r="O5340" s="12">
        <v>0</v>
      </c>
      <c r="Q5340" s="12">
        <v>26.6</v>
      </c>
      <c r="R5340" s="12">
        <v>0</v>
      </c>
      <c r="U5340" s="12">
        <v>1</v>
      </c>
      <c r="X5340" s="12">
        <v>0</v>
      </c>
    </row>
    <row r="5341" spans="1:24" x14ac:dyDescent="0.25">
      <c r="A5341" s="22">
        <v>43692</v>
      </c>
      <c r="B5341" s="12">
        <v>51</v>
      </c>
      <c r="C5341" s="12">
        <v>63.4</v>
      </c>
      <c r="D5341" s="12">
        <v>59.5</v>
      </c>
      <c r="F5341" s="12">
        <v>29.2</v>
      </c>
      <c r="G5341" s="12">
        <v>32.5</v>
      </c>
      <c r="H5341" s="12"/>
      <c r="I5341" s="12">
        <v>36</v>
      </c>
      <c r="J5341" s="12">
        <v>39.799999999999997</v>
      </c>
      <c r="K5341" s="12">
        <v>29.1</v>
      </c>
      <c r="L5341" s="12">
        <v>19.049999999999997</v>
      </c>
      <c r="M5341" s="12">
        <v>36.700000000000003</v>
      </c>
      <c r="O5341" s="12">
        <v>33.527999999999999</v>
      </c>
      <c r="Q5341" s="12">
        <v>0.3</v>
      </c>
      <c r="R5341" s="12">
        <v>18.399999999999999</v>
      </c>
      <c r="U5341" s="12">
        <v>50</v>
      </c>
      <c r="X5341" s="12">
        <v>10.7</v>
      </c>
    </row>
    <row r="5342" spans="1:24" x14ac:dyDescent="0.25">
      <c r="A5342" s="22">
        <v>43693</v>
      </c>
      <c r="B5342" s="12">
        <v>0</v>
      </c>
      <c r="C5342" s="12">
        <v>1.2</v>
      </c>
      <c r="D5342" s="12">
        <v>0</v>
      </c>
      <c r="F5342" s="12">
        <v>0.6</v>
      </c>
      <c r="G5342" s="12">
        <v>2.1</v>
      </c>
      <c r="H5342" s="12"/>
      <c r="I5342" s="12">
        <v>6.2</v>
      </c>
      <c r="J5342" s="12">
        <v>2.1</v>
      </c>
      <c r="K5342" s="12">
        <v>9.3000000000000007</v>
      </c>
      <c r="L5342" s="12">
        <v>0.7619999999999999</v>
      </c>
      <c r="M5342" s="12">
        <v>0.4</v>
      </c>
      <c r="O5342" s="12">
        <v>13.97</v>
      </c>
      <c r="Q5342" s="12">
        <v>18.3</v>
      </c>
      <c r="R5342" s="12">
        <v>0</v>
      </c>
      <c r="U5342" s="12">
        <v>1</v>
      </c>
      <c r="X5342" s="12">
        <v>0</v>
      </c>
    </row>
    <row r="5343" spans="1:24" x14ac:dyDescent="0.25">
      <c r="A5343" s="22">
        <v>43694</v>
      </c>
      <c r="B5343" s="12">
        <v>77</v>
      </c>
      <c r="C5343" s="12">
        <v>13.4</v>
      </c>
      <c r="D5343" s="12">
        <v>21.1</v>
      </c>
      <c r="F5343" s="12">
        <v>13.4</v>
      </c>
      <c r="G5343" s="12">
        <v>12.1</v>
      </c>
      <c r="H5343" s="12"/>
      <c r="I5343" s="12">
        <v>19</v>
      </c>
      <c r="J5343" s="12">
        <v>4.2</v>
      </c>
      <c r="K5343" s="12">
        <v>0</v>
      </c>
      <c r="L5343" s="12">
        <v>21.843999999999998</v>
      </c>
      <c r="M5343" s="12">
        <v>7.7</v>
      </c>
      <c r="O5343" s="12">
        <v>19.558</v>
      </c>
      <c r="Q5343" s="12">
        <v>20.5</v>
      </c>
      <c r="R5343" s="12">
        <v>15.1</v>
      </c>
      <c r="U5343" s="12">
        <v>17</v>
      </c>
      <c r="X5343" s="12">
        <v>2.9</v>
      </c>
    </row>
    <row r="5344" spans="1:24" x14ac:dyDescent="0.25">
      <c r="A5344" s="22">
        <v>43695</v>
      </c>
      <c r="B5344" s="12">
        <v>0</v>
      </c>
      <c r="C5344" s="12">
        <v>4.5999999999999996</v>
      </c>
      <c r="D5344" s="12">
        <v>12.5</v>
      </c>
      <c r="F5344" s="12">
        <v>0.7</v>
      </c>
      <c r="G5344" s="12">
        <v>4.2</v>
      </c>
      <c r="H5344" s="12"/>
      <c r="I5344" s="12">
        <v>2.6</v>
      </c>
      <c r="J5344" s="12">
        <v>4.7</v>
      </c>
      <c r="K5344" s="12">
        <v>0.1</v>
      </c>
      <c r="L5344" s="12">
        <v>13.715999999999999</v>
      </c>
      <c r="M5344" s="12">
        <v>5.7</v>
      </c>
      <c r="O5344" s="12">
        <v>3.0479999999999996</v>
      </c>
      <c r="Q5344" s="12">
        <v>12.8</v>
      </c>
      <c r="R5344" s="12">
        <v>16.3</v>
      </c>
      <c r="U5344" s="12">
        <v>6</v>
      </c>
      <c r="X5344" s="12">
        <v>0</v>
      </c>
    </row>
    <row r="5345" spans="1:24" x14ac:dyDescent="0.25">
      <c r="A5345" s="22">
        <v>43696</v>
      </c>
      <c r="B5345" s="12">
        <v>0</v>
      </c>
      <c r="C5345" s="12">
        <v>9.1999999999999993</v>
      </c>
      <c r="D5345" s="12">
        <v>8.6999999999999993</v>
      </c>
      <c r="F5345" s="12">
        <v>8.5</v>
      </c>
      <c r="G5345" s="12">
        <v>11.1</v>
      </c>
      <c r="H5345" s="12"/>
      <c r="I5345" s="12">
        <v>11.7</v>
      </c>
      <c r="J5345" s="12">
        <v>11.3</v>
      </c>
      <c r="K5345" s="12">
        <v>11.3</v>
      </c>
      <c r="L5345" s="12">
        <v>8.1280000000000001</v>
      </c>
      <c r="M5345" s="12">
        <v>15.7</v>
      </c>
      <c r="O5345" s="12">
        <v>11.683999999999999</v>
      </c>
      <c r="Q5345" s="12">
        <v>0</v>
      </c>
      <c r="R5345" s="12">
        <v>7</v>
      </c>
      <c r="U5345" s="12">
        <v>1</v>
      </c>
      <c r="X5345" s="12">
        <v>15.5</v>
      </c>
    </row>
    <row r="5346" spans="1:24" x14ac:dyDescent="0.25">
      <c r="A5346" s="22">
        <v>43697</v>
      </c>
      <c r="B5346" s="12">
        <v>0</v>
      </c>
      <c r="C5346" s="12">
        <v>0</v>
      </c>
      <c r="D5346" s="12">
        <v>0</v>
      </c>
      <c r="F5346" s="12">
        <v>0</v>
      </c>
      <c r="G5346" s="12">
        <v>0</v>
      </c>
      <c r="H5346" s="12"/>
      <c r="I5346" s="12">
        <v>0</v>
      </c>
      <c r="J5346" s="12">
        <v>0</v>
      </c>
      <c r="K5346" s="12">
        <v>0.1</v>
      </c>
      <c r="L5346" s="12">
        <v>0</v>
      </c>
      <c r="M5346" s="12">
        <v>1</v>
      </c>
      <c r="O5346" s="12">
        <v>0</v>
      </c>
      <c r="Q5346" s="12">
        <v>14.1</v>
      </c>
      <c r="R5346" s="12">
        <v>0</v>
      </c>
      <c r="U5346" s="12">
        <v>0</v>
      </c>
      <c r="X5346" s="12">
        <v>0</v>
      </c>
    </row>
    <row r="5347" spans="1:24" x14ac:dyDescent="0.25">
      <c r="A5347" s="22">
        <v>43698</v>
      </c>
      <c r="B5347" s="12">
        <v>49</v>
      </c>
      <c r="C5347" s="12">
        <v>2.1</v>
      </c>
      <c r="D5347" s="12">
        <v>0</v>
      </c>
      <c r="F5347" s="12">
        <v>4.3</v>
      </c>
      <c r="G5347" s="12">
        <v>6</v>
      </c>
      <c r="H5347" s="12"/>
      <c r="I5347" s="12">
        <v>5.9</v>
      </c>
      <c r="J5347" s="12">
        <v>3.2</v>
      </c>
      <c r="K5347" s="12">
        <v>10.8</v>
      </c>
      <c r="L5347" s="12">
        <v>13.715999999999999</v>
      </c>
      <c r="M5347" s="12">
        <v>4</v>
      </c>
      <c r="O5347" s="12">
        <v>11.937999999999999</v>
      </c>
      <c r="Q5347" s="12">
        <v>13.1</v>
      </c>
      <c r="R5347" s="12">
        <v>17.399999999999999</v>
      </c>
      <c r="U5347" s="12">
        <v>11</v>
      </c>
      <c r="X5347" s="12">
        <v>8.1999999999999993</v>
      </c>
    </row>
    <row r="5348" spans="1:24" x14ac:dyDescent="0.25">
      <c r="A5348" s="22">
        <v>43699</v>
      </c>
      <c r="B5348" s="12">
        <v>0</v>
      </c>
      <c r="C5348" s="12">
        <v>0</v>
      </c>
      <c r="D5348" s="12">
        <v>8.6999999999999993</v>
      </c>
      <c r="F5348" s="12">
        <v>10.5</v>
      </c>
      <c r="G5348" s="12">
        <v>8.5</v>
      </c>
      <c r="H5348" s="12"/>
      <c r="I5348" s="12">
        <v>6.3</v>
      </c>
      <c r="J5348" s="12">
        <v>9</v>
      </c>
      <c r="K5348" s="12">
        <v>5.8</v>
      </c>
      <c r="L5348" s="12">
        <v>11.43</v>
      </c>
      <c r="M5348" s="12">
        <v>8.1999999999999993</v>
      </c>
      <c r="O5348" s="12">
        <v>2.54</v>
      </c>
      <c r="Q5348" s="12">
        <v>8.1</v>
      </c>
      <c r="R5348" s="12">
        <v>28.2</v>
      </c>
      <c r="U5348" s="12">
        <v>7</v>
      </c>
      <c r="X5348" s="12">
        <v>20.5</v>
      </c>
    </row>
    <row r="5349" spans="1:24" x14ac:dyDescent="0.25">
      <c r="A5349" s="22">
        <v>43700</v>
      </c>
      <c r="B5349" s="12">
        <v>0</v>
      </c>
      <c r="C5349" s="12">
        <v>11.2</v>
      </c>
      <c r="D5349" s="12">
        <v>16.399999999999999</v>
      </c>
      <c r="F5349" s="12">
        <v>0</v>
      </c>
      <c r="G5349" s="12">
        <v>5.5</v>
      </c>
      <c r="H5349" s="12"/>
      <c r="I5349" s="12">
        <v>2.4</v>
      </c>
      <c r="J5349" s="12">
        <v>6.9</v>
      </c>
      <c r="K5349" s="12">
        <v>0.1</v>
      </c>
      <c r="L5349" s="12">
        <v>8.8899999999999988</v>
      </c>
      <c r="M5349" s="12">
        <v>2.8</v>
      </c>
      <c r="O5349" s="12">
        <v>3.8099999999999996</v>
      </c>
      <c r="Q5349" s="12">
        <v>0</v>
      </c>
      <c r="R5349" s="12">
        <v>7.2</v>
      </c>
      <c r="U5349" s="12">
        <v>17</v>
      </c>
      <c r="X5349" s="12">
        <v>0</v>
      </c>
    </row>
    <row r="5350" spans="1:24" x14ac:dyDescent="0.25">
      <c r="A5350" s="22">
        <v>43701</v>
      </c>
      <c r="B5350" s="12">
        <v>0</v>
      </c>
      <c r="C5350" s="12">
        <v>8.1999999999999993</v>
      </c>
      <c r="D5350" s="12">
        <v>2.1</v>
      </c>
      <c r="F5350" s="12">
        <v>0</v>
      </c>
      <c r="G5350" s="12">
        <v>0.8</v>
      </c>
      <c r="H5350" s="12"/>
      <c r="I5350" s="12">
        <v>0</v>
      </c>
      <c r="J5350" s="12">
        <v>0</v>
      </c>
      <c r="K5350" s="12">
        <v>0.4</v>
      </c>
      <c r="L5350" s="12">
        <v>2.032</v>
      </c>
      <c r="M5350" s="12">
        <v>0</v>
      </c>
      <c r="O5350" s="12">
        <v>15.493999999999998</v>
      </c>
      <c r="Q5350" s="12">
        <v>0</v>
      </c>
      <c r="R5350" s="12">
        <v>0</v>
      </c>
      <c r="U5350" s="12">
        <v>0</v>
      </c>
      <c r="X5350" s="12">
        <v>3.7</v>
      </c>
    </row>
    <row r="5351" spans="1:24" x14ac:dyDescent="0.25">
      <c r="A5351" s="22">
        <v>43702</v>
      </c>
      <c r="B5351" s="12">
        <v>0</v>
      </c>
      <c r="C5351" s="12">
        <v>0</v>
      </c>
      <c r="D5351" s="12">
        <v>0</v>
      </c>
      <c r="F5351" s="12">
        <v>0</v>
      </c>
      <c r="G5351" s="12">
        <v>0.5</v>
      </c>
      <c r="H5351" s="12"/>
      <c r="I5351" s="12">
        <v>2.7</v>
      </c>
      <c r="J5351" s="12">
        <v>2.9</v>
      </c>
      <c r="K5351" s="12">
        <v>20.6</v>
      </c>
      <c r="L5351" s="12">
        <v>0</v>
      </c>
      <c r="M5351" s="12">
        <v>0</v>
      </c>
      <c r="O5351" s="12">
        <v>1.778</v>
      </c>
      <c r="Q5351" s="12">
        <v>0.2</v>
      </c>
      <c r="R5351" s="12">
        <v>0</v>
      </c>
      <c r="U5351" s="12">
        <v>0</v>
      </c>
      <c r="X5351" s="12">
        <v>0</v>
      </c>
    </row>
    <row r="5352" spans="1:24" x14ac:dyDescent="0.25">
      <c r="A5352" s="22">
        <v>43703</v>
      </c>
      <c r="B5352" s="12">
        <v>0</v>
      </c>
      <c r="C5352" s="12">
        <v>0</v>
      </c>
      <c r="D5352" s="12">
        <v>2.5</v>
      </c>
      <c r="F5352" s="12">
        <v>0</v>
      </c>
      <c r="G5352" s="12">
        <v>0</v>
      </c>
      <c r="H5352" s="12"/>
      <c r="I5352" s="12">
        <v>0</v>
      </c>
      <c r="J5352" s="12">
        <v>2.2000000000000002</v>
      </c>
      <c r="K5352" s="12">
        <v>0.7</v>
      </c>
      <c r="L5352" s="12">
        <v>0</v>
      </c>
      <c r="M5352" s="12">
        <v>0</v>
      </c>
      <c r="O5352" s="12">
        <v>0</v>
      </c>
      <c r="Q5352" s="12">
        <v>1.5</v>
      </c>
      <c r="R5352" s="12">
        <v>0</v>
      </c>
      <c r="U5352" s="12">
        <v>0</v>
      </c>
      <c r="X5352" s="12">
        <v>0</v>
      </c>
    </row>
    <row r="5353" spans="1:24" x14ac:dyDescent="0.25">
      <c r="A5353" s="22">
        <v>43704</v>
      </c>
      <c r="B5353" s="12">
        <v>0</v>
      </c>
      <c r="C5353" s="12">
        <v>0</v>
      </c>
      <c r="D5353" s="12">
        <v>0</v>
      </c>
      <c r="F5353" s="12">
        <v>0</v>
      </c>
      <c r="G5353" s="12">
        <v>1.1000000000000001</v>
      </c>
      <c r="H5353" s="12"/>
      <c r="I5353" s="12">
        <v>1</v>
      </c>
      <c r="J5353" s="12">
        <v>0</v>
      </c>
      <c r="K5353" s="12">
        <v>0</v>
      </c>
      <c r="L5353" s="12">
        <v>0</v>
      </c>
      <c r="M5353" s="12">
        <v>0</v>
      </c>
      <c r="O5353" s="12">
        <v>1.016</v>
      </c>
      <c r="Q5353" s="12">
        <v>11</v>
      </c>
      <c r="R5353" s="12">
        <v>3.8</v>
      </c>
      <c r="U5353" s="12">
        <v>0</v>
      </c>
      <c r="X5353" s="12">
        <v>10.6</v>
      </c>
    </row>
    <row r="5354" spans="1:24" x14ac:dyDescent="0.25">
      <c r="A5354" s="22">
        <v>43705</v>
      </c>
      <c r="B5354" s="12">
        <v>0</v>
      </c>
      <c r="C5354" s="12">
        <v>0</v>
      </c>
      <c r="D5354" s="12">
        <v>5.7</v>
      </c>
      <c r="F5354" s="12">
        <v>2.2999999999999998</v>
      </c>
      <c r="G5354" s="12">
        <v>0</v>
      </c>
      <c r="H5354" s="12"/>
      <c r="I5354" s="12">
        <v>0</v>
      </c>
      <c r="J5354" s="12">
        <v>0</v>
      </c>
      <c r="K5354" s="12">
        <v>15</v>
      </c>
      <c r="L5354" s="12">
        <v>1.778</v>
      </c>
      <c r="M5354" s="12">
        <v>0</v>
      </c>
      <c r="O5354" s="12">
        <v>0</v>
      </c>
      <c r="Q5354" s="12">
        <v>0</v>
      </c>
      <c r="R5354" s="12">
        <v>12.7</v>
      </c>
      <c r="U5354" s="12">
        <v>0</v>
      </c>
      <c r="X5354" s="12">
        <v>0</v>
      </c>
    </row>
    <row r="5355" spans="1:24" x14ac:dyDescent="0.25">
      <c r="A5355" s="22">
        <v>43706</v>
      </c>
      <c r="B5355" s="12">
        <v>0</v>
      </c>
      <c r="C5355" s="12">
        <v>5.4</v>
      </c>
      <c r="D5355" s="12">
        <v>0</v>
      </c>
      <c r="F5355" s="12">
        <v>0</v>
      </c>
      <c r="G5355" s="12">
        <v>0</v>
      </c>
      <c r="H5355" s="12"/>
      <c r="I5355" s="12">
        <v>0</v>
      </c>
      <c r="J5355" s="12">
        <v>0</v>
      </c>
      <c r="K5355" s="12">
        <v>1.3</v>
      </c>
      <c r="L5355" s="12">
        <v>1.016</v>
      </c>
      <c r="M5355" s="12">
        <v>0</v>
      </c>
      <c r="O5355" s="12">
        <v>0</v>
      </c>
      <c r="Q5355" s="12">
        <v>0</v>
      </c>
      <c r="R5355" s="12">
        <v>0</v>
      </c>
      <c r="U5355" s="12">
        <v>2</v>
      </c>
      <c r="X5355" s="12">
        <v>1.5</v>
      </c>
    </row>
    <row r="5356" spans="1:24" x14ac:dyDescent="0.25">
      <c r="A5356" s="22">
        <v>43707</v>
      </c>
      <c r="B5356" s="12">
        <v>0</v>
      </c>
      <c r="C5356" s="12">
        <v>0</v>
      </c>
      <c r="D5356" s="12">
        <v>0</v>
      </c>
      <c r="F5356" s="12">
        <v>0</v>
      </c>
      <c r="G5356" s="12">
        <v>0.1</v>
      </c>
      <c r="H5356" s="12"/>
      <c r="I5356" s="12">
        <v>0</v>
      </c>
      <c r="J5356" s="12">
        <v>0</v>
      </c>
      <c r="K5356" s="12">
        <v>0</v>
      </c>
      <c r="L5356" s="12">
        <v>0</v>
      </c>
      <c r="M5356" s="12">
        <v>0</v>
      </c>
      <c r="O5356" s="12">
        <v>0</v>
      </c>
      <c r="Q5356" s="12">
        <v>0.9</v>
      </c>
      <c r="R5356" s="12">
        <v>0</v>
      </c>
      <c r="U5356" s="12">
        <v>4</v>
      </c>
      <c r="X5356" s="12">
        <v>0</v>
      </c>
    </row>
    <row r="5357" spans="1:24" x14ac:dyDescent="0.25">
      <c r="A5357" s="22">
        <v>43708</v>
      </c>
      <c r="B5357" s="12">
        <v>32.9</v>
      </c>
      <c r="C5357" s="12">
        <v>4.9000000000000004</v>
      </c>
      <c r="D5357" s="12">
        <v>1.1000000000000001</v>
      </c>
      <c r="F5357" s="12">
        <v>4.2</v>
      </c>
      <c r="G5357" s="12">
        <v>17.7</v>
      </c>
      <c r="H5357" s="12"/>
      <c r="I5357" s="12">
        <v>12.8</v>
      </c>
      <c r="J5357" s="12">
        <v>19.399999999999999</v>
      </c>
      <c r="K5357" s="12">
        <v>0</v>
      </c>
      <c r="L5357" s="12">
        <v>3.302</v>
      </c>
      <c r="M5357" s="12">
        <v>11.7</v>
      </c>
      <c r="O5357" s="12">
        <v>0</v>
      </c>
      <c r="Q5357" s="12">
        <v>1.8</v>
      </c>
      <c r="R5357" s="12">
        <v>2.1</v>
      </c>
      <c r="U5357" s="12">
        <v>0</v>
      </c>
      <c r="X5357" s="12">
        <v>0</v>
      </c>
    </row>
    <row r="5358" spans="1:24" x14ac:dyDescent="0.25">
      <c r="A5358" s="22">
        <v>43709</v>
      </c>
      <c r="B5358" s="12">
        <v>0</v>
      </c>
      <c r="C5358" s="12">
        <v>0</v>
      </c>
      <c r="D5358" s="12">
        <v>0</v>
      </c>
      <c r="F5358" s="12"/>
      <c r="G5358" s="12">
        <v>1.2</v>
      </c>
      <c r="H5358" s="12"/>
      <c r="I5358" s="12"/>
      <c r="J5358" s="12">
        <v>1.5</v>
      </c>
      <c r="K5358" s="12"/>
      <c r="L5358" s="12"/>
      <c r="M5358" s="12">
        <v>0.5</v>
      </c>
      <c r="O5358" s="12"/>
      <c r="Q5358" s="12">
        <v>0</v>
      </c>
      <c r="R5358" s="12"/>
      <c r="U5358" s="12"/>
      <c r="X5358" s="12"/>
    </row>
    <row r="5359" spans="1:24" x14ac:dyDescent="0.25">
      <c r="A5359" s="22">
        <v>43710</v>
      </c>
      <c r="B5359" s="12">
        <v>0</v>
      </c>
      <c r="C5359" s="12">
        <v>2.4</v>
      </c>
      <c r="D5359" s="12">
        <v>16.399999999999999</v>
      </c>
      <c r="F5359" s="12"/>
      <c r="G5359" s="12">
        <v>5.0999999999999996</v>
      </c>
      <c r="H5359" s="12"/>
      <c r="I5359" s="12"/>
      <c r="J5359" s="12">
        <v>15.5</v>
      </c>
      <c r="K5359" s="12"/>
      <c r="L5359" s="12"/>
      <c r="M5359" s="12">
        <v>3.2</v>
      </c>
      <c r="O5359" s="12"/>
      <c r="Q5359" s="12">
        <v>0.9</v>
      </c>
      <c r="R5359" s="12"/>
      <c r="U5359" s="12"/>
      <c r="X5359" s="12"/>
    </row>
    <row r="5360" spans="1:24" x14ac:dyDescent="0.25">
      <c r="A5360" s="22">
        <v>43711</v>
      </c>
      <c r="B5360" s="12">
        <v>0</v>
      </c>
      <c r="C5360" s="12">
        <v>3.1</v>
      </c>
      <c r="D5360" s="12">
        <v>3.6</v>
      </c>
      <c r="F5360" s="12"/>
      <c r="G5360" s="12">
        <v>8.6999999999999993</v>
      </c>
      <c r="H5360" s="12"/>
      <c r="I5360" s="12"/>
      <c r="J5360" s="12">
        <v>20.100000000000001</v>
      </c>
      <c r="K5360" s="12"/>
      <c r="L5360" s="12"/>
      <c r="M5360" s="12">
        <v>9.9</v>
      </c>
      <c r="O5360" s="12"/>
      <c r="Q5360" s="12">
        <v>0.2</v>
      </c>
      <c r="R5360" s="12"/>
      <c r="U5360" s="12"/>
      <c r="X5360" s="12"/>
    </row>
    <row r="5361" spans="1:24" x14ac:dyDescent="0.25">
      <c r="A5361" s="22">
        <v>43712</v>
      </c>
      <c r="B5361" s="12">
        <v>0</v>
      </c>
      <c r="C5361" s="12">
        <v>9.4</v>
      </c>
      <c r="D5361" s="12">
        <v>5.4</v>
      </c>
      <c r="F5361" s="12"/>
      <c r="G5361" s="12">
        <v>3.9</v>
      </c>
      <c r="H5361" s="12"/>
      <c r="I5361" s="12"/>
      <c r="J5361" s="12">
        <v>15.5</v>
      </c>
      <c r="K5361" s="12"/>
      <c r="L5361" s="12"/>
      <c r="M5361" s="12">
        <v>2.6</v>
      </c>
      <c r="O5361" s="12"/>
      <c r="Q5361" s="12">
        <v>0</v>
      </c>
      <c r="R5361" s="12"/>
      <c r="U5361" s="12"/>
      <c r="X5361" s="12"/>
    </row>
    <row r="5362" spans="1:24" x14ac:dyDescent="0.25">
      <c r="A5362" s="22">
        <v>43713</v>
      </c>
      <c r="B5362" s="12">
        <v>0</v>
      </c>
      <c r="C5362" s="12">
        <v>0</v>
      </c>
      <c r="D5362" s="12">
        <v>0</v>
      </c>
      <c r="F5362" s="12"/>
      <c r="G5362" s="12">
        <v>0</v>
      </c>
      <c r="H5362" s="12"/>
      <c r="I5362" s="12"/>
      <c r="J5362" s="12">
        <v>0</v>
      </c>
      <c r="K5362" s="12"/>
      <c r="L5362" s="12"/>
      <c r="M5362" s="12">
        <v>0</v>
      </c>
      <c r="O5362" s="12"/>
      <c r="Q5362" s="12">
        <v>0</v>
      </c>
      <c r="R5362" s="12"/>
      <c r="U5362" s="12"/>
      <c r="X5362" s="12"/>
    </row>
    <row r="5363" spans="1:24" x14ac:dyDescent="0.25">
      <c r="A5363" s="22">
        <v>43714</v>
      </c>
      <c r="B5363" s="12">
        <v>0</v>
      </c>
      <c r="C5363" s="12">
        <v>0</v>
      </c>
      <c r="D5363" s="12">
        <v>0</v>
      </c>
      <c r="F5363" s="12"/>
      <c r="G5363" s="12">
        <v>0</v>
      </c>
      <c r="H5363" s="12"/>
      <c r="I5363" s="12"/>
      <c r="J5363" s="12">
        <v>0</v>
      </c>
      <c r="K5363" s="12"/>
      <c r="L5363" s="12"/>
      <c r="M5363" s="12">
        <v>0</v>
      </c>
      <c r="O5363" s="12"/>
      <c r="Q5363" s="12">
        <v>0</v>
      </c>
      <c r="R5363" s="12"/>
      <c r="U5363" s="12"/>
      <c r="X5363" s="12"/>
    </row>
    <row r="5364" spans="1:24" x14ac:dyDescent="0.25">
      <c r="A5364" s="22">
        <v>43715</v>
      </c>
      <c r="B5364" s="12">
        <v>0</v>
      </c>
      <c r="C5364" s="12">
        <v>0</v>
      </c>
      <c r="D5364" s="12">
        <v>0</v>
      </c>
      <c r="F5364" s="12"/>
      <c r="G5364" s="12">
        <v>0</v>
      </c>
      <c r="H5364" s="12"/>
      <c r="I5364" s="12"/>
      <c r="J5364" s="12">
        <v>0</v>
      </c>
      <c r="K5364" s="12"/>
      <c r="L5364" s="12"/>
      <c r="M5364" s="12">
        <v>0</v>
      </c>
      <c r="O5364" s="12"/>
      <c r="Q5364" s="12">
        <v>0</v>
      </c>
      <c r="R5364" s="12"/>
      <c r="U5364" s="12"/>
      <c r="X5364" s="12"/>
    </row>
    <row r="5365" spans="1:24" x14ac:dyDescent="0.25">
      <c r="A5365" s="22">
        <v>43716</v>
      </c>
      <c r="B5365" s="12">
        <v>0</v>
      </c>
      <c r="C5365" s="12">
        <v>0</v>
      </c>
      <c r="D5365" s="12">
        <v>0</v>
      </c>
      <c r="F5365" s="12"/>
      <c r="G5365" s="12">
        <v>0</v>
      </c>
      <c r="H5365" s="12"/>
      <c r="I5365" s="12"/>
      <c r="J5365" s="12">
        <v>0</v>
      </c>
      <c r="K5365" s="12"/>
      <c r="L5365" s="12"/>
      <c r="M5365" s="12">
        <v>0</v>
      </c>
      <c r="O5365" s="12"/>
      <c r="Q5365" s="12">
        <v>0</v>
      </c>
      <c r="R5365" s="12"/>
      <c r="U5365" s="12"/>
      <c r="X5365" s="12"/>
    </row>
    <row r="5366" spans="1:24" x14ac:dyDescent="0.25">
      <c r="A5366" s="22">
        <v>43717</v>
      </c>
      <c r="B5366" s="12">
        <v>0</v>
      </c>
      <c r="C5366" s="12">
        <v>0</v>
      </c>
      <c r="D5366" s="12">
        <v>0</v>
      </c>
      <c r="F5366" s="12"/>
      <c r="G5366" s="12">
        <v>0</v>
      </c>
      <c r="H5366" s="12"/>
      <c r="I5366" s="12"/>
      <c r="J5366" s="12">
        <v>0</v>
      </c>
      <c r="K5366" s="12"/>
      <c r="L5366" s="12"/>
      <c r="M5366" s="12">
        <v>0</v>
      </c>
      <c r="O5366" s="12"/>
      <c r="Q5366" s="12">
        <v>0</v>
      </c>
      <c r="R5366" s="12"/>
      <c r="U5366" s="12"/>
      <c r="X5366" s="12"/>
    </row>
    <row r="5367" spans="1:24" x14ac:dyDescent="0.25">
      <c r="A5367" s="22">
        <v>43718</v>
      </c>
      <c r="B5367" s="12">
        <v>0</v>
      </c>
      <c r="C5367" s="12">
        <v>6</v>
      </c>
      <c r="D5367" s="12">
        <v>4.0999999999999996</v>
      </c>
      <c r="F5367" s="12"/>
      <c r="G5367" s="12">
        <v>7.5</v>
      </c>
      <c r="H5367" s="12"/>
      <c r="I5367" s="12"/>
      <c r="J5367" s="12">
        <v>48</v>
      </c>
      <c r="K5367" s="12"/>
      <c r="L5367" s="12"/>
      <c r="M5367" s="12">
        <v>3.1</v>
      </c>
      <c r="O5367" s="12"/>
      <c r="Q5367" s="12">
        <v>0</v>
      </c>
      <c r="R5367" s="12"/>
      <c r="U5367" s="12"/>
      <c r="X5367" s="12"/>
    </row>
    <row r="5368" spans="1:24" x14ac:dyDescent="0.25">
      <c r="A5368" s="22">
        <v>43719</v>
      </c>
      <c r="B5368" s="12">
        <v>0</v>
      </c>
      <c r="C5368" s="12">
        <v>6</v>
      </c>
      <c r="D5368" s="12">
        <v>0</v>
      </c>
      <c r="F5368" s="12"/>
      <c r="G5368" s="12">
        <v>0</v>
      </c>
      <c r="H5368" s="12"/>
      <c r="I5368" s="12"/>
      <c r="J5368" s="12">
        <v>0</v>
      </c>
      <c r="K5368" s="12"/>
      <c r="L5368" s="12"/>
      <c r="M5368" s="12">
        <v>0</v>
      </c>
      <c r="O5368" s="12"/>
      <c r="Q5368" s="12">
        <v>0</v>
      </c>
      <c r="R5368" s="12"/>
      <c r="U5368" s="12"/>
      <c r="X5368" s="12"/>
    </row>
    <row r="5369" spans="1:24" x14ac:dyDescent="0.25">
      <c r="A5369" s="22">
        <v>43720</v>
      </c>
      <c r="B5369" s="12">
        <v>0</v>
      </c>
      <c r="C5369" s="12">
        <v>0</v>
      </c>
      <c r="D5369" s="12">
        <v>0</v>
      </c>
      <c r="F5369" s="12"/>
      <c r="G5369" s="12">
        <v>0</v>
      </c>
      <c r="H5369" s="12"/>
      <c r="I5369" s="12"/>
      <c r="J5369" s="12">
        <v>0</v>
      </c>
      <c r="K5369" s="12"/>
      <c r="L5369" s="12"/>
      <c r="M5369" s="12">
        <v>0</v>
      </c>
      <c r="O5369" s="12"/>
      <c r="Q5369" s="12">
        <v>0</v>
      </c>
      <c r="R5369" s="12"/>
      <c r="U5369" s="12"/>
      <c r="X5369" s="12"/>
    </row>
    <row r="5370" spans="1:24" x14ac:dyDescent="0.25">
      <c r="A5370" s="22">
        <v>43721</v>
      </c>
      <c r="B5370" s="12">
        <v>0</v>
      </c>
      <c r="C5370" s="12">
        <v>0</v>
      </c>
      <c r="D5370" s="12">
        <v>0</v>
      </c>
      <c r="F5370" s="12"/>
      <c r="G5370" s="12">
        <v>0</v>
      </c>
      <c r="H5370" s="12"/>
      <c r="I5370" s="12"/>
      <c r="J5370" s="12">
        <v>0</v>
      </c>
      <c r="K5370" s="12"/>
      <c r="L5370" s="12"/>
      <c r="M5370" s="12">
        <v>0</v>
      </c>
      <c r="O5370" s="12"/>
      <c r="Q5370" s="12">
        <v>0</v>
      </c>
      <c r="R5370" s="12"/>
      <c r="U5370" s="12"/>
      <c r="X5370" s="12"/>
    </row>
    <row r="5371" spans="1:24" x14ac:dyDescent="0.25">
      <c r="A5371" s="22">
        <v>43722</v>
      </c>
      <c r="B5371" s="12">
        <v>0</v>
      </c>
      <c r="C5371" s="12">
        <v>0</v>
      </c>
      <c r="D5371" s="12">
        <v>0</v>
      </c>
      <c r="F5371" s="12"/>
      <c r="G5371" s="12">
        <v>0</v>
      </c>
      <c r="H5371" s="12"/>
      <c r="I5371" s="12"/>
      <c r="J5371" s="12">
        <v>0</v>
      </c>
      <c r="K5371" s="12"/>
      <c r="L5371" s="12"/>
      <c r="M5371" s="12">
        <v>0</v>
      </c>
      <c r="O5371" s="12"/>
      <c r="Q5371" s="12">
        <v>0</v>
      </c>
      <c r="R5371" s="12"/>
      <c r="U5371" s="12"/>
      <c r="X5371" s="12"/>
    </row>
    <row r="5372" spans="1:24" x14ac:dyDescent="0.25">
      <c r="A5372" s="22">
        <v>43723</v>
      </c>
      <c r="B5372" s="12">
        <v>0</v>
      </c>
      <c r="C5372" s="12">
        <v>0</v>
      </c>
      <c r="D5372" s="12">
        <v>0</v>
      </c>
      <c r="F5372" s="12"/>
      <c r="G5372" s="12">
        <v>0</v>
      </c>
      <c r="H5372" s="12"/>
      <c r="I5372" s="12"/>
      <c r="J5372" s="12">
        <v>0</v>
      </c>
      <c r="K5372" s="12"/>
      <c r="L5372" s="12"/>
      <c r="M5372" s="12">
        <v>0</v>
      </c>
      <c r="O5372" s="12"/>
      <c r="Q5372" s="12">
        <v>0</v>
      </c>
      <c r="R5372" s="12"/>
      <c r="U5372" s="12"/>
      <c r="X5372" s="12"/>
    </row>
    <row r="5373" spans="1:24" x14ac:dyDescent="0.25">
      <c r="A5373" s="22">
        <v>43724</v>
      </c>
      <c r="B5373" s="12">
        <v>24.7</v>
      </c>
      <c r="C5373" s="12">
        <v>13.5</v>
      </c>
      <c r="D5373" s="12">
        <v>9</v>
      </c>
      <c r="F5373" s="12"/>
      <c r="G5373" s="12">
        <v>21.2</v>
      </c>
      <c r="H5373" s="12"/>
      <c r="I5373" s="12"/>
      <c r="J5373" s="12">
        <v>18.600000000000001</v>
      </c>
      <c r="K5373" s="12"/>
      <c r="L5373" s="12"/>
      <c r="M5373" s="12">
        <v>42.4</v>
      </c>
      <c r="O5373" s="12"/>
      <c r="Q5373" s="12">
        <v>9.6</v>
      </c>
      <c r="R5373" s="12"/>
      <c r="U5373" s="12"/>
      <c r="X5373" s="12"/>
    </row>
    <row r="5374" spans="1:24" x14ac:dyDescent="0.25">
      <c r="A5374" s="22">
        <v>43725</v>
      </c>
      <c r="B5374" s="12">
        <v>27</v>
      </c>
      <c r="C5374" s="12">
        <v>46.6</v>
      </c>
      <c r="D5374" s="12">
        <v>30</v>
      </c>
      <c r="F5374" s="12"/>
      <c r="G5374" s="12">
        <v>21.8</v>
      </c>
      <c r="H5374" s="12"/>
      <c r="I5374" s="12"/>
      <c r="J5374" s="12">
        <v>53.3</v>
      </c>
      <c r="K5374" s="12"/>
      <c r="L5374" s="12"/>
      <c r="M5374" s="12">
        <v>28.1</v>
      </c>
      <c r="O5374" s="12"/>
      <c r="Q5374" s="12">
        <v>65.099999999999994</v>
      </c>
      <c r="R5374" s="12"/>
      <c r="U5374" s="12"/>
      <c r="X5374" s="12"/>
    </row>
    <row r="5375" spans="1:24" x14ac:dyDescent="0.25">
      <c r="A5375" s="22">
        <v>43726</v>
      </c>
      <c r="B5375" s="12">
        <v>55.6</v>
      </c>
      <c r="C5375" s="12">
        <v>68.400000000000006</v>
      </c>
      <c r="D5375" s="12">
        <v>82.5</v>
      </c>
      <c r="F5375" s="12"/>
      <c r="G5375" s="12">
        <v>91.5</v>
      </c>
      <c r="H5375" s="12"/>
      <c r="I5375" s="12"/>
      <c r="J5375" s="12">
        <v>116.7</v>
      </c>
      <c r="K5375" s="12"/>
      <c r="L5375" s="12"/>
      <c r="M5375" s="12">
        <v>89</v>
      </c>
      <c r="O5375" s="12"/>
      <c r="Q5375" s="12">
        <v>46.7</v>
      </c>
      <c r="R5375" s="12"/>
      <c r="U5375" s="12"/>
      <c r="X5375" s="12"/>
    </row>
    <row r="5376" spans="1:24" x14ac:dyDescent="0.25">
      <c r="A5376" s="22">
        <v>43727</v>
      </c>
      <c r="B5376" s="12">
        <v>0</v>
      </c>
      <c r="C5376" s="12">
        <v>40.1</v>
      </c>
      <c r="D5376" s="12">
        <v>8.1</v>
      </c>
      <c r="F5376" s="12"/>
      <c r="G5376" s="12">
        <v>7.7</v>
      </c>
      <c r="H5376" s="12"/>
      <c r="I5376" s="12"/>
      <c r="J5376" s="12">
        <v>12.2</v>
      </c>
      <c r="K5376" s="12"/>
      <c r="L5376" s="12"/>
      <c r="M5376" s="12">
        <v>1.3</v>
      </c>
      <c r="O5376" s="12"/>
      <c r="Q5376" s="12">
        <v>11.6</v>
      </c>
      <c r="R5376" s="12"/>
      <c r="U5376" s="12"/>
      <c r="X5376" s="12"/>
    </row>
    <row r="5377" spans="1:24" x14ac:dyDescent="0.25">
      <c r="A5377" s="22">
        <v>43728</v>
      </c>
      <c r="B5377" s="12">
        <v>0</v>
      </c>
      <c r="C5377" s="12">
        <v>7.4</v>
      </c>
      <c r="D5377" s="12">
        <v>1.3</v>
      </c>
      <c r="F5377" s="12"/>
      <c r="G5377" s="12">
        <v>19.600000000000001</v>
      </c>
      <c r="H5377" s="12"/>
      <c r="I5377" s="12"/>
      <c r="J5377" s="12">
        <v>10.3</v>
      </c>
      <c r="K5377" s="12"/>
      <c r="L5377" s="12"/>
      <c r="M5377" s="12">
        <v>18.600000000000001</v>
      </c>
      <c r="O5377" s="12"/>
      <c r="Q5377" s="12">
        <v>3.6</v>
      </c>
      <c r="R5377" s="12"/>
      <c r="U5377" s="12"/>
      <c r="X5377" s="12"/>
    </row>
    <row r="5378" spans="1:24" x14ac:dyDescent="0.25">
      <c r="A5378" s="22">
        <v>43729</v>
      </c>
      <c r="B5378" s="12">
        <v>0</v>
      </c>
      <c r="C5378" s="12">
        <v>7.8</v>
      </c>
      <c r="D5378" s="12">
        <v>2.4</v>
      </c>
      <c r="F5378" s="12"/>
      <c r="G5378" s="12">
        <v>19.5</v>
      </c>
      <c r="H5378" s="12"/>
      <c r="I5378" s="12"/>
      <c r="J5378" s="12">
        <v>0.5</v>
      </c>
      <c r="K5378" s="12"/>
      <c r="L5378" s="12"/>
      <c r="M5378" s="12">
        <v>9.1999999999999993</v>
      </c>
      <c r="O5378" s="12"/>
      <c r="Q5378" s="12">
        <v>48.5</v>
      </c>
      <c r="R5378" s="12"/>
      <c r="U5378" s="12"/>
      <c r="X5378" s="12"/>
    </row>
    <row r="5379" spans="1:24" x14ac:dyDescent="0.25">
      <c r="A5379" s="22">
        <v>43730</v>
      </c>
      <c r="B5379" s="12">
        <v>0</v>
      </c>
      <c r="C5379" s="12">
        <v>44.5</v>
      </c>
      <c r="D5379" s="12">
        <v>85.6</v>
      </c>
      <c r="F5379" s="12"/>
      <c r="G5379" s="12">
        <v>53.5</v>
      </c>
      <c r="H5379" s="12"/>
      <c r="I5379" s="12"/>
      <c r="J5379" s="12">
        <v>76.5</v>
      </c>
      <c r="K5379" s="12"/>
      <c r="L5379" s="12"/>
      <c r="M5379" s="12">
        <v>0</v>
      </c>
      <c r="O5379" s="12"/>
      <c r="Q5379" s="12">
        <v>27.3</v>
      </c>
      <c r="R5379" s="12"/>
      <c r="U5379" s="12"/>
      <c r="X5379" s="12"/>
    </row>
    <row r="5380" spans="1:24" x14ac:dyDescent="0.25">
      <c r="A5380" s="22">
        <v>43731</v>
      </c>
      <c r="B5380" s="12">
        <v>0</v>
      </c>
      <c r="C5380" s="12">
        <v>125.6</v>
      </c>
      <c r="D5380" s="12">
        <v>50</v>
      </c>
      <c r="F5380" s="12"/>
      <c r="G5380" s="12">
        <v>65.8</v>
      </c>
      <c r="H5380" s="12"/>
      <c r="I5380" s="12"/>
      <c r="J5380" s="12">
        <v>87.8</v>
      </c>
      <c r="K5380" s="12"/>
      <c r="L5380" s="12"/>
      <c r="M5380" s="12">
        <v>108.7</v>
      </c>
      <c r="O5380" s="12"/>
      <c r="Q5380" s="12">
        <v>0</v>
      </c>
      <c r="R5380" s="12"/>
      <c r="U5380" s="12"/>
      <c r="X5380" s="12"/>
    </row>
    <row r="5381" spans="1:24" x14ac:dyDescent="0.25">
      <c r="A5381" s="22">
        <v>43732</v>
      </c>
      <c r="B5381" s="12">
        <v>0</v>
      </c>
      <c r="C5381" s="12">
        <v>0</v>
      </c>
      <c r="D5381" s="12">
        <v>0</v>
      </c>
      <c r="F5381" s="12"/>
      <c r="G5381" s="12">
        <v>0</v>
      </c>
      <c r="H5381" s="12"/>
      <c r="I5381" s="12"/>
      <c r="J5381" s="12">
        <v>0</v>
      </c>
      <c r="K5381" s="12"/>
      <c r="L5381" s="12"/>
      <c r="M5381" s="12">
        <v>0</v>
      </c>
      <c r="O5381" s="12"/>
      <c r="Q5381" s="12">
        <v>0</v>
      </c>
      <c r="R5381" s="12"/>
      <c r="U5381" s="12"/>
      <c r="X5381" s="12"/>
    </row>
    <row r="5382" spans="1:24" x14ac:dyDescent="0.25">
      <c r="A5382" s="22">
        <v>43733</v>
      </c>
      <c r="B5382" s="12">
        <v>0</v>
      </c>
      <c r="C5382" s="12">
        <v>0</v>
      </c>
      <c r="D5382" s="12">
        <v>0</v>
      </c>
      <c r="F5382" s="12"/>
      <c r="G5382" s="12">
        <v>0</v>
      </c>
      <c r="H5382" s="12"/>
      <c r="I5382" s="12"/>
      <c r="J5382" s="12">
        <v>0</v>
      </c>
      <c r="K5382" s="12"/>
      <c r="L5382" s="12"/>
      <c r="M5382" s="12">
        <v>0</v>
      </c>
      <c r="O5382" s="12"/>
      <c r="Q5382" s="12">
        <v>0</v>
      </c>
      <c r="R5382" s="12"/>
      <c r="U5382" s="12"/>
      <c r="X5382" s="12"/>
    </row>
    <row r="5383" spans="1:24" x14ac:dyDescent="0.25">
      <c r="A5383" s="22">
        <v>43734</v>
      </c>
      <c r="B5383" s="12">
        <v>0</v>
      </c>
      <c r="C5383" s="12">
        <v>0</v>
      </c>
      <c r="D5383" s="12">
        <v>0</v>
      </c>
      <c r="F5383" s="12"/>
      <c r="G5383" s="12">
        <v>0</v>
      </c>
      <c r="H5383" s="12"/>
      <c r="I5383" s="12"/>
      <c r="J5383" s="12">
        <v>0.2</v>
      </c>
      <c r="K5383" s="12"/>
      <c r="L5383" s="12"/>
      <c r="M5383" s="12">
        <v>0.3</v>
      </c>
      <c r="O5383" s="12"/>
      <c r="Q5383" s="12">
        <v>0.5</v>
      </c>
      <c r="R5383" s="12"/>
      <c r="U5383" s="12"/>
      <c r="X5383" s="12"/>
    </row>
    <row r="5384" spans="1:24" x14ac:dyDescent="0.25">
      <c r="A5384" s="22">
        <v>43735</v>
      </c>
      <c r="B5384" s="12">
        <v>0</v>
      </c>
      <c r="C5384" s="12">
        <v>0</v>
      </c>
      <c r="D5384" s="12">
        <v>0</v>
      </c>
      <c r="F5384" s="12"/>
      <c r="G5384" s="12">
        <v>1.6</v>
      </c>
      <c r="H5384" s="12"/>
      <c r="I5384" s="12"/>
      <c r="J5384" s="12">
        <v>0.4</v>
      </c>
      <c r="K5384" s="12"/>
      <c r="L5384" s="12"/>
      <c r="M5384" s="12">
        <v>1.2</v>
      </c>
      <c r="O5384" s="12"/>
      <c r="Q5384" s="12">
        <v>0</v>
      </c>
      <c r="R5384" s="12"/>
      <c r="U5384" s="12"/>
      <c r="X5384" s="12"/>
    </row>
    <row r="5385" spans="1:24" x14ac:dyDescent="0.25">
      <c r="A5385" s="22">
        <v>43736</v>
      </c>
      <c r="B5385" s="12">
        <v>0</v>
      </c>
      <c r="C5385" s="12">
        <v>5.6</v>
      </c>
      <c r="D5385" s="12">
        <v>0</v>
      </c>
      <c r="F5385" s="12"/>
      <c r="G5385" s="12">
        <v>7.3</v>
      </c>
      <c r="H5385" s="12"/>
      <c r="I5385" s="12"/>
      <c r="J5385" s="12">
        <v>0.5</v>
      </c>
      <c r="K5385" s="12"/>
      <c r="L5385" s="12"/>
      <c r="M5385" s="12">
        <v>10.7</v>
      </c>
      <c r="O5385" s="12"/>
      <c r="Q5385" s="12">
        <v>5.5</v>
      </c>
      <c r="R5385" s="12"/>
      <c r="U5385" s="12"/>
      <c r="X5385" s="12"/>
    </row>
    <row r="5386" spans="1:24" x14ac:dyDescent="0.25">
      <c r="A5386" s="22">
        <v>43737</v>
      </c>
      <c r="B5386" s="12">
        <v>0</v>
      </c>
      <c r="C5386" s="12">
        <v>14.1</v>
      </c>
      <c r="D5386" s="12">
        <v>11.2</v>
      </c>
      <c r="F5386" s="12"/>
      <c r="G5386" s="12">
        <v>9.6999999999999993</v>
      </c>
      <c r="H5386" s="12"/>
      <c r="I5386" s="12"/>
      <c r="J5386" s="12">
        <v>10</v>
      </c>
      <c r="K5386" s="12"/>
      <c r="L5386" s="12"/>
      <c r="M5386" s="12">
        <v>17.3</v>
      </c>
      <c r="O5386" s="12"/>
      <c r="Q5386" s="12">
        <v>5.5</v>
      </c>
      <c r="R5386" s="12"/>
      <c r="U5386" s="12"/>
      <c r="X5386" s="12"/>
    </row>
    <row r="5387" spans="1:24" x14ac:dyDescent="0.25">
      <c r="A5387" s="22">
        <v>43738</v>
      </c>
      <c r="B5387" s="12">
        <v>32</v>
      </c>
      <c r="C5387" s="12">
        <v>1.1000000000000001</v>
      </c>
      <c r="D5387" s="12">
        <v>8.5</v>
      </c>
      <c r="F5387" s="12"/>
      <c r="G5387" s="12">
        <v>7.6</v>
      </c>
      <c r="H5387" s="12"/>
      <c r="I5387" s="12"/>
      <c r="J5387" s="12">
        <v>3.7</v>
      </c>
      <c r="K5387" s="12"/>
      <c r="L5387" s="12"/>
      <c r="M5387" s="12">
        <v>7.1</v>
      </c>
      <c r="O5387" s="12"/>
      <c r="Q5387" s="12">
        <v>3.6</v>
      </c>
      <c r="R5387" s="12"/>
      <c r="U5387" s="12"/>
      <c r="X5387" s="12"/>
    </row>
    <row r="5388" spans="1:24" x14ac:dyDescent="0.25">
      <c r="A5388" s="22">
        <v>43739</v>
      </c>
      <c r="B5388" s="12">
        <v>0</v>
      </c>
      <c r="C5388" s="12">
        <v>15.3</v>
      </c>
      <c r="D5388" s="12">
        <v>32.5</v>
      </c>
      <c r="F5388" s="12"/>
      <c r="G5388" s="12">
        <v>16.5</v>
      </c>
      <c r="H5388" s="12"/>
      <c r="I5388" s="12"/>
      <c r="J5388" s="12">
        <v>13.2</v>
      </c>
      <c r="K5388" s="12"/>
      <c r="L5388" s="12"/>
      <c r="M5388" s="12">
        <v>15.5</v>
      </c>
      <c r="O5388" s="12"/>
      <c r="Q5388" s="12">
        <v>8.4</v>
      </c>
      <c r="R5388" s="12"/>
      <c r="U5388" s="12"/>
      <c r="X5388" s="12"/>
    </row>
    <row r="5389" spans="1:24" x14ac:dyDescent="0.25">
      <c r="A5389" s="22">
        <v>43740</v>
      </c>
      <c r="B5389" s="12">
        <v>0</v>
      </c>
      <c r="C5389" s="12">
        <v>1.6</v>
      </c>
      <c r="D5389" s="12">
        <v>0</v>
      </c>
      <c r="F5389" s="12"/>
      <c r="G5389" s="12">
        <v>0</v>
      </c>
      <c r="H5389" s="12"/>
      <c r="I5389" s="12"/>
      <c r="J5389" s="12">
        <v>35</v>
      </c>
      <c r="K5389" s="12"/>
      <c r="L5389" s="12"/>
      <c r="M5389" s="12">
        <v>0</v>
      </c>
      <c r="O5389" s="12"/>
      <c r="Q5389" s="12">
        <v>29.3</v>
      </c>
      <c r="R5389" s="12"/>
      <c r="U5389" s="12"/>
      <c r="X5389" s="12"/>
    </row>
    <row r="5390" spans="1:24" x14ac:dyDescent="0.25">
      <c r="A5390" s="22">
        <v>43741</v>
      </c>
      <c r="B5390" s="12">
        <v>57.4</v>
      </c>
      <c r="C5390" s="12">
        <v>17.600000000000001</v>
      </c>
      <c r="D5390" s="12">
        <v>22</v>
      </c>
      <c r="F5390" s="12"/>
      <c r="G5390" s="12">
        <v>14.4</v>
      </c>
      <c r="H5390" s="12"/>
      <c r="I5390" s="12"/>
      <c r="J5390" s="12">
        <v>10.199999999999999</v>
      </c>
      <c r="K5390" s="12"/>
      <c r="L5390" s="12"/>
      <c r="M5390" s="12">
        <v>12.5</v>
      </c>
      <c r="O5390" s="12"/>
      <c r="Q5390" s="12">
        <v>10.5</v>
      </c>
      <c r="R5390" s="12"/>
      <c r="U5390" s="12"/>
      <c r="X5390" s="12"/>
    </row>
    <row r="5391" spans="1:24" x14ac:dyDescent="0.25">
      <c r="A5391" s="22">
        <v>43742</v>
      </c>
      <c r="B5391" s="12">
        <v>0</v>
      </c>
      <c r="C5391" s="12">
        <v>4.0999999999999996</v>
      </c>
      <c r="D5391" s="12">
        <v>3.2</v>
      </c>
      <c r="F5391" s="12"/>
      <c r="G5391" s="12">
        <v>0.3</v>
      </c>
      <c r="H5391" s="12"/>
      <c r="I5391" s="12"/>
      <c r="J5391" s="12">
        <v>0.2</v>
      </c>
      <c r="K5391" s="12"/>
      <c r="L5391" s="12"/>
      <c r="M5391" s="12">
        <v>0.2</v>
      </c>
      <c r="O5391" s="12"/>
      <c r="Q5391" s="12">
        <v>6.3</v>
      </c>
      <c r="R5391" s="12"/>
      <c r="U5391" s="12"/>
      <c r="X5391" s="12"/>
    </row>
    <row r="5392" spans="1:24" x14ac:dyDescent="0.25">
      <c r="A5392" s="22">
        <v>43743</v>
      </c>
      <c r="B5392" s="12">
        <v>0</v>
      </c>
      <c r="C5392" s="12">
        <v>9.6</v>
      </c>
      <c r="D5392" s="12">
        <v>5.0999999999999996</v>
      </c>
      <c r="F5392" s="12"/>
      <c r="G5392" s="12">
        <v>6.7</v>
      </c>
      <c r="H5392" s="12"/>
      <c r="I5392" s="12"/>
      <c r="J5392" s="12">
        <v>0.8</v>
      </c>
      <c r="K5392" s="12"/>
      <c r="L5392" s="12"/>
      <c r="M5392" s="12">
        <v>0.3</v>
      </c>
      <c r="O5392" s="12"/>
      <c r="Q5392" s="12">
        <v>8.6999999999999993</v>
      </c>
      <c r="R5392" s="12"/>
      <c r="U5392" s="12"/>
      <c r="X5392" s="12"/>
    </row>
    <row r="5393" spans="1:24" x14ac:dyDescent="0.25">
      <c r="A5393" s="22">
        <v>43744</v>
      </c>
      <c r="B5393" s="12">
        <v>0</v>
      </c>
      <c r="C5393" s="12">
        <v>14.1</v>
      </c>
      <c r="D5393" s="12">
        <v>11</v>
      </c>
      <c r="F5393" s="12"/>
      <c r="G5393" s="12">
        <v>11.5</v>
      </c>
      <c r="H5393" s="12"/>
      <c r="I5393" s="12"/>
      <c r="J5393" s="12">
        <v>21</v>
      </c>
      <c r="K5393" s="12"/>
      <c r="L5393" s="12"/>
      <c r="M5393" s="12">
        <v>12.3</v>
      </c>
      <c r="O5393" s="12"/>
      <c r="Q5393" s="12">
        <v>6.6</v>
      </c>
      <c r="R5393" s="12"/>
      <c r="U5393" s="12"/>
      <c r="X5393" s="12"/>
    </row>
    <row r="5394" spans="1:24" x14ac:dyDescent="0.25">
      <c r="A5394" s="22">
        <v>43745</v>
      </c>
      <c r="B5394" s="12">
        <v>41.3</v>
      </c>
      <c r="C5394" s="12">
        <v>5.9</v>
      </c>
      <c r="D5394" s="12">
        <v>11.8</v>
      </c>
      <c r="F5394" s="12"/>
      <c r="G5394" s="12">
        <v>18.8</v>
      </c>
      <c r="H5394" s="12"/>
      <c r="I5394" s="12"/>
      <c r="J5394" s="12">
        <v>30.5</v>
      </c>
      <c r="K5394" s="12"/>
      <c r="L5394" s="12"/>
      <c r="M5394" s="12">
        <v>14.3</v>
      </c>
      <c r="O5394" s="12"/>
      <c r="Q5394" s="12">
        <v>31.1</v>
      </c>
      <c r="R5394" s="12"/>
      <c r="U5394" s="12"/>
      <c r="X5394" s="12"/>
    </row>
    <row r="5395" spans="1:24" x14ac:dyDescent="0.25">
      <c r="A5395" s="22">
        <v>43746</v>
      </c>
      <c r="B5395" s="12">
        <v>0</v>
      </c>
      <c r="C5395" s="12">
        <v>38.5</v>
      </c>
      <c r="D5395" s="12">
        <v>77.599999999999994</v>
      </c>
      <c r="F5395" s="12"/>
      <c r="G5395" s="12">
        <v>41.1</v>
      </c>
      <c r="H5395" s="12"/>
      <c r="I5395" s="12"/>
      <c r="J5395" s="12">
        <v>90.2</v>
      </c>
      <c r="K5395" s="12"/>
      <c r="L5395" s="12"/>
      <c r="M5395" s="12">
        <v>44.9</v>
      </c>
      <c r="O5395" s="12"/>
      <c r="Q5395" s="12">
        <v>39.799999999999997</v>
      </c>
      <c r="R5395" s="12"/>
      <c r="U5395" s="12"/>
      <c r="X5395" s="12"/>
    </row>
    <row r="5396" spans="1:24" x14ac:dyDescent="0.25">
      <c r="A5396" s="22">
        <v>43747</v>
      </c>
      <c r="B5396" s="12">
        <v>94.8</v>
      </c>
      <c r="C5396" s="12">
        <v>37.200000000000003</v>
      </c>
      <c r="D5396" s="12">
        <v>7.2</v>
      </c>
      <c r="F5396" s="12"/>
      <c r="G5396" s="12">
        <v>59.3</v>
      </c>
      <c r="H5396" s="12"/>
      <c r="I5396" s="12"/>
      <c r="J5396" s="12">
        <v>21.5</v>
      </c>
      <c r="K5396" s="12"/>
      <c r="L5396" s="12"/>
      <c r="M5396" s="12">
        <v>51.8</v>
      </c>
      <c r="O5396" s="12"/>
      <c r="Q5396" s="12">
        <v>8.6999999999999993</v>
      </c>
      <c r="R5396" s="12"/>
      <c r="U5396" s="12"/>
      <c r="X5396" s="12"/>
    </row>
    <row r="5397" spans="1:24" x14ac:dyDescent="0.25">
      <c r="A5397" s="22">
        <v>43748</v>
      </c>
      <c r="B5397" s="12">
        <v>0</v>
      </c>
      <c r="C5397" s="12">
        <v>25.2</v>
      </c>
      <c r="D5397" s="12">
        <v>26.4</v>
      </c>
      <c r="F5397" s="12"/>
      <c r="G5397" s="12">
        <v>7.7</v>
      </c>
      <c r="H5397" s="12"/>
      <c r="I5397" s="12"/>
      <c r="J5397" s="12">
        <v>20.399999999999999</v>
      </c>
      <c r="K5397" s="12"/>
      <c r="L5397" s="12"/>
      <c r="M5397" s="12">
        <v>7.1</v>
      </c>
      <c r="O5397" s="12"/>
      <c r="Q5397" s="12">
        <v>17.8</v>
      </c>
      <c r="R5397" s="12"/>
      <c r="U5397" s="12"/>
      <c r="X5397" s="12"/>
    </row>
    <row r="5398" spans="1:24" x14ac:dyDescent="0.25">
      <c r="A5398" s="22">
        <v>43749</v>
      </c>
      <c r="B5398" s="12">
        <v>0</v>
      </c>
      <c r="C5398" s="12">
        <v>18.7</v>
      </c>
      <c r="D5398" s="12">
        <v>22</v>
      </c>
      <c r="F5398" s="12"/>
      <c r="G5398" s="12">
        <v>25.3</v>
      </c>
      <c r="H5398" s="12"/>
      <c r="I5398" s="12"/>
      <c r="J5398" s="12">
        <v>20.2</v>
      </c>
      <c r="K5398" s="12"/>
      <c r="L5398" s="12"/>
      <c r="M5398" s="12">
        <v>24</v>
      </c>
      <c r="O5398" s="12"/>
      <c r="Q5398" s="12">
        <v>9.5</v>
      </c>
      <c r="R5398" s="12"/>
      <c r="U5398" s="12"/>
      <c r="X5398" s="12"/>
    </row>
    <row r="5399" spans="1:24" x14ac:dyDescent="0.25">
      <c r="A5399" s="22">
        <v>43750</v>
      </c>
      <c r="B5399" s="12">
        <v>0</v>
      </c>
      <c r="C5399" s="12">
        <v>0.4</v>
      </c>
      <c r="D5399" s="12">
        <v>5.7</v>
      </c>
      <c r="F5399" s="12"/>
      <c r="G5399" s="12">
        <v>0</v>
      </c>
      <c r="H5399" s="12"/>
      <c r="I5399" s="12"/>
      <c r="J5399" s="12">
        <v>0</v>
      </c>
      <c r="K5399" s="12"/>
      <c r="L5399" s="12"/>
      <c r="M5399" s="12">
        <v>0</v>
      </c>
      <c r="O5399" s="12"/>
      <c r="Q5399" s="12">
        <v>0</v>
      </c>
      <c r="R5399" s="12"/>
      <c r="U5399" s="12"/>
      <c r="X5399" s="12"/>
    </row>
    <row r="5400" spans="1:24" x14ac:dyDescent="0.25">
      <c r="A5400" s="22">
        <v>43751</v>
      </c>
      <c r="B5400" s="12">
        <v>0</v>
      </c>
      <c r="C5400" s="12">
        <v>0</v>
      </c>
      <c r="D5400" s="12">
        <v>12</v>
      </c>
      <c r="F5400" s="12"/>
      <c r="G5400" s="12">
        <v>5.6</v>
      </c>
      <c r="H5400" s="12"/>
      <c r="I5400" s="12"/>
      <c r="J5400" s="12">
        <v>3.3</v>
      </c>
      <c r="K5400" s="12"/>
      <c r="L5400" s="12"/>
      <c r="M5400" s="12">
        <v>8.6999999999999993</v>
      </c>
      <c r="O5400" s="12"/>
      <c r="Q5400" s="12">
        <v>9.4</v>
      </c>
      <c r="R5400" s="12"/>
      <c r="U5400" s="12"/>
      <c r="X5400" s="12"/>
    </row>
    <row r="5401" spans="1:24" x14ac:dyDescent="0.25">
      <c r="A5401" s="22">
        <v>43752</v>
      </c>
      <c r="B5401" s="12">
        <v>36.200000000000003</v>
      </c>
      <c r="C5401" s="12">
        <v>22.4</v>
      </c>
      <c r="D5401" s="12">
        <v>12.4</v>
      </c>
      <c r="F5401" s="12"/>
      <c r="G5401" s="12">
        <v>6.6</v>
      </c>
      <c r="H5401" s="12"/>
      <c r="I5401" s="12"/>
      <c r="J5401" s="12">
        <v>22.5</v>
      </c>
      <c r="K5401" s="12"/>
      <c r="L5401" s="12"/>
      <c r="M5401" s="12">
        <v>8.3000000000000007</v>
      </c>
      <c r="O5401" s="12"/>
      <c r="Q5401" s="12">
        <v>6.2</v>
      </c>
      <c r="R5401" s="12"/>
      <c r="U5401" s="12"/>
      <c r="X5401" s="12"/>
    </row>
    <row r="5402" spans="1:24" x14ac:dyDescent="0.25">
      <c r="A5402" s="22">
        <v>43753</v>
      </c>
      <c r="B5402" s="12">
        <v>0</v>
      </c>
      <c r="C5402" s="12">
        <v>13</v>
      </c>
      <c r="D5402" s="12">
        <v>5</v>
      </c>
      <c r="F5402" s="12"/>
      <c r="G5402" s="12">
        <v>15.9</v>
      </c>
      <c r="H5402" s="12"/>
      <c r="I5402" s="12"/>
      <c r="J5402" s="12">
        <v>30.7</v>
      </c>
      <c r="K5402" s="12"/>
      <c r="L5402" s="12"/>
      <c r="M5402" s="12">
        <v>15.7</v>
      </c>
      <c r="O5402" s="12"/>
      <c r="Q5402" s="12">
        <v>0</v>
      </c>
      <c r="R5402" s="12"/>
      <c r="U5402" s="12"/>
      <c r="X5402" s="12"/>
    </row>
    <row r="5403" spans="1:24" x14ac:dyDescent="0.25">
      <c r="A5403" s="22">
        <v>43754</v>
      </c>
      <c r="B5403" s="12">
        <v>0</v>
      </c>
      <c r="C5403" s="12">
        <v>0.5</v>
      </c>
      <c r="D5403" s="12">
        <v>0</v>
      </c>
      <c r="F5403" s="12"/>
      <c r="G5403" s="12">
        <v>0</v>
      </c>
      <c r="H5403" s="12"/>
      <c r="I5403" s="12"/>
      <c r="J5403" s="12">
        <v>0</v>
      </c>
      <c r="K5403" s="12"/>
      <c r="L5403" s="12"/>
      <c r="M5403" s="12">
        <v>0</v>
      </c>
      <c r="O5403" s="12"/>
      <c r="Q5403" s="12">
        <v>0.3</v>
      </c>
      <c r="R5403" s="12"/>
      <c r="U5403" s="12"/>
      <c r="X5403" s="12"/>
    </row>
    <row r="5404" spans="1:24" x14ac:dyDescent="0.25">
      <c r="A5404" s="22">
        <v>43755</v>
      </c>
      <c r="B5404" s="12">
        <v>19.600000000000001</v>
      </c>
      <c r="C5404" s="12">
        <v>0</v>
      </c>
      <c r="D5404" s="12">
        <v>0</v>
      </c>
      <c r="F5404" s="12"/>
      <c r="G5404" s="12">
        <v>0</v>
      </c>
      <c r="H5404" s="12"/>
      <c r="I5404" s="12"/>
      <c r="J5404" s="12">
        <v>0</v>
      </c>
      <c r="K5404" s="12"/>
      <c r="L5404" s="12"/>
      <c r="M5404" s="12">
        <v>3.6</v>
      </c>
      <c r="O5404" s="12"/>
      <c r="Q5404" s="12">
        <v>21.3</v>
      </c>
      <c r="R5404" s="12"/>
      <c r="U5404" s="12"/>
      <c r="X5404" s="12"/>
    </row>
    <row r="5405" spans="1:24" x14ac:dyDescent="0.25">
      <c r="A5405" s="22">
        <v>43756</v>
      </c>
      <c r="B5405" s="12">
        <v>0</v>
      </c>
      <c r="C5405" s="12">
        <v>9.1</v>
      </c>
      <c r="D5405" s="12">
        <v>34</v>
      </c>
      <c r="F5405" s="12"/>
      <c r="G5405" s="12">
        <v>47.6</v>
      </c>
      <c r="H5405" s="12"/>
      <c r="I5405" s="12"/>
      <c r="J5405" s="12">
        <v>80.400000000000006</v>
      </c>
      <c r="K5405" s="12"/>
      <c r="L5405" s="12"/>
      <c r="M5405" s="12">
        <v>17.5</v>
      </c>
      <c r="O5405" s="12"/>
      <c r="Q5405" s="12">
        <v>5.0999999999999996</v>
      </c>
      <c r="R5405" s="12"/>
      <c r="U5405" s="12"/>
      <c r="X5405" s="12"/>
    </row>
    <row r="5406" spans="1:24" x14ac:dyDescent="0.25">
      <c r="A5406" s="22">
        <v>43757</v>
      </c>
      <c r="B5406" s="12">
        <v>0</v>
      </c>
      <c r="C5406" s="12">
        <v>2.9</v>
      </c>
      <c r="D5406" s="12">
        <v>9.4</v>
      </c>
      <c r="F5406" s="12"/>
      <c r="G5406" s="12">
        <v>2.5</v>
      </c>
      <c r="H5406" s="12"/>
      <c r="I5406" s="12"/>
      <c r="J5406" s="12">
        <v>0.8</v>
      </c>
      <c r="K5406" s="12"/>
      <c r="L5406" s="12"/>
      <c r="M5406" s="12">
        <v>5.2</v>
      </c>
      <c r="O5406" s="12"/>
      <c r="Q5406" s="12">
        <v>11.6</v>
      </c>
      <c r="R5406" s="12"/>
      <c r="U5406" s="12"/>
      <c r="X5406" s="12"/>
    </row>
    <row r="5407" spans="1:24" x14ac:dyDescent="0.25">
      <c r="A5407" s="22">
        <v>43758</v>
      </c>
      <c r="B5407" s="12">
        <v>0</v>
      </c>
      <c r="C5407" s="12">
        <v>24</v>
      </c>
      <c r="D5407" s="12">
        <v>27.4</v>
      </c>
      <c r="F5407" s="12"/>
      <c r="G5407" s="12">
        <v>10.6</v>
      </c>
      <c r="H5407" s="12"/>
      <c r="I5407" s="12"/>
      <c r="J5407" s="12">
        <v>29.2</v>
      </c>
      <c r="K5407" s="12"/>
      <c r="L5407" s="12"/>
      <c r="M5407" s="12"/>
      <c r="O5407" s="12"/>
      <c r="Q5407" s="12">
        <v>0</v>
      </c>
      <c r="R5407" s="12"/>
      <c r="U5407" s="12"/>
      <c r="X5407" s="12"/>
    </row>
    <row r="5408" spans="1:24" x14ac:dyDescent="0.25">
      <c r="A5408" s="22">
        <v>43759</v>
      </c>
      <c r="B5408" s="12">
        <v>58.8</v>
      </c>
      <c r="C5408" s="12">
        <v>0</v>
      </c>
      <c r="D5408" s="12">
        <v>0</v>
      </c>
      <c r="F5408" s="12"/>
      <c r="G5408" s="12">
        <v>0</v>
      </c>
      <c r="H5408" s="12"/>
      <c r="I5408" s="12"/>
      <c r="J5408" s="12">
        <v>0</v>
      </c>
      <c r="K5408" s="12"/>
      <c r="L5408" s="12"/>
      <c r="M5408" s="12"/>
      <c r="O5408" s="12"/>
      <c r="Q5408" s="12">
        <v>13.8</v>
      </c>
      <c r="R5408" s="12"/>
      <c r="U5408" s="12"/>
      <c r="X5408" s="12"/>
    </row>
    <row r="5409" spans="1:24" x14ac:dyDescent="0.25">
      <c r="A5409" s="22">
        <v>43760</v>
      </c>
      <c r="B5409" s="12">
        <v>0</v>
      </c>
      <c r="C5409" s="12">
        <v>23.8</v>
      </c>
      <c r="D5409" s="12">
        <v>16.8</v>
      </c>
      <c r="F5409" s="12"/>
      <c r="G5409" s="12">
        <v>18.399999999999999</v>
      </c>
      <c r="H5409" s="12"/>
      <c r="I5409" s="12"/>
      <c r="J5409" s="12">
        <v>20.5</v>
      </c>
      <c r="K5409" s="12"/>
      <c r="L5409" s="12"/>
      <c r="M5409" s="12">
        <v>14.3</v>
      </c>
      <c r="O5409" s="12"/>
      <c r="Q5409" s="12">
        <v>0.7</v>
      </c>
      <c r="R5409" s="12"/>
      <c r="U5409" s="12"/>
      <c r="X5409" s="12"/>
    </row>
    <row r="5410" spans="1:24" x14ac:dyDescent="0.25">
      <c r="A5410" s="22">
        <v>43761</v>
      </c>
      <c r="B5410" s="12">
        <v>0</v>
      </c>
      <c r="C5410" s="12">
        <v>4.0999999999999996</v>
      </c>
      <c r="D5410" s="12">
        <v>4.4000000000000004</v>
      </c>
      <c r="F5410" s="12"/>
      <c r="G5410" s="12">
        <v>1.2</v>
      </c>
      <c r="H5410" s="12"/>
      <c r="I5410" s="12"/>
      <c r="J5410" s="12">
        <v>0</v>
      </c>
      <c r="K5410" s="12"/>
      <c r="L5410" s="12"/>
      <c r="M5410" s="12">
        <v>0</v>
      </c>
      <c r="O5410" s="12"/>
      <c r="Q5410" s="12">
        <v>0</v>
      </c>
      <c r="R5410" s="12"/>
      <c r="U5410" s="12"/>
      <c r="X5410" s="12"/>
    </row>
    <row r="5411" spans="1:24" x14ac:dyDescent="0.25">
      <c r="A5411" s="22">
        <v>43762</v>
      </c>
      <c r="B5411" s="12">
        <v>0</v>
      </c>
      <c r="C5411" s="12">
        <v>5.4</v>
      </c>
      <c r="D5411" s="12">
        <v>22</v>
      </c>
      <c r="F5411" s="12"/>
      <c r="G5411" s="12">
        <v>5.7</v>
      </c>
      <c r="H5411" s="12"/>
      <c r="I5411" s="12"/>
      <c r="J5411" s="12">
        <v>0.6</v>
      </c>
      <c r="K5411" s="12"/>
      <c r="L5411" s="12"/>
      <c r="M5411" s="12">
        <v>10.7</v>
      </c>
      <c r="O5411" s="12"/>
      <c r="Q5411" s="12">
        <v>6.5</v>
      </c>
      <c r="R5411" s="12"/>
      <c r="U5411" s="12"/>
      <c r="X5411" s="12"/>
    </row>
    <row r="5412" spans="1:24" x14ac:dyDescent="0.25">
      <c r="A5412" s="22">
        <v>43763</v>
      </c>
      <c r="B5412" s="12">
        <v>0</v>
      </c>
      <c r="C5412" s="12">
        <v>0.3</v>
      </c>
      <c r="D5412" s="12">
        <v>0</v>
      </c>
      <c r="F5412" s="12"/>
      <c r="G5412" s="12">
        <v>1</v>
      </c>
      <c r="H5412" s="12"/>
      <c r="I5412" s="12"/>
      <c r="J5412" s="12">
        <v>9.3000000000000007</v>
      </c>
      <c r="K5412" s="12"/>
      <c r="L5412" s="12"/>
      <c r="M5412" s="12">
        <v>7.2</v>
      </c>
      <c r="O5412" s="12"/>
      <c r="Q5412" s="12">
        <v>0</v>
      </c>
      <c r="R5412" s="12"/>
      <c r="U5412" s="12"/>
      <c r="X5412" s="12"/>
    </row>
    <row r="5413" spans="1:24" x14ac:dyDescent="0.25">
      <c r="A5413" s="22">
        <v>43764</v>
      </c>
      <c r="B5413" s="12">
        <v>0</v>
      </c>
      <c r="C5413" s="12">
        <v>0</v>
      </c>
      <c r="D5413" s="12">
        <v>0</v>
      </c>
      <c r="F5413" s="12"/>
      <c r="G5413" s="12">
        <v>0</v>
      </c>
      <c r="H5413" s="12"/>
      <c r="I5413" s="12"/>
      <c r="J5413" s="12">
        <v>0</v>
      </c>
      <c r="K5413" s="12"/>
      <c r="L5413" s="12"/>
      <c r="M5413" s="12">
        <v>0</v>
      </c>
      <c r="O5413" s="12"/>
      <c r="Q5413" s="12">
        <v>0</v>
      </c>
      <c r="R5413" s="12"/>
      <c r="U5413" s="12"/>
      <c r="X5413" s="12"/>
    </row>
    <row r="5414" spans="1:24" x14ac:dyDescent="0.25">
      <c r="A5414" s="22">
        <v>43765</v>
      </c>
      <c r="B5414" s="12">
        <v>0</v>
      </c>
      <c r="C5414" s="12">
        <v>0</v>
      </c>
      <c r="D5414" s="12">
        <v>0</v>
      </c>
      <c r="F5414" s="12"/>
      <c r="G5414" s="12">
        <v>0</v>
      </c>
      <c r="H5414" s="12"/>
      <c r="I5414" s="12"/>
      <c r="J5414" s="12">
        <v>0</v>
      </c>
      <c r="K5414" s="12"/>
      <c r="L5414" s="12"/>
      <c r="M5414" s="12">
        <v>0</v>
      </c>
      <c r="O5414" s="12"/>
      <c r="Q5414" s="12">
        <v>8.8000000000000007</v>
      </c>
      <c r="R5414" s="12"/>
      <c r="U5414" s="12"/>
      <c r="X5414" s="12"/>
    </row>
    <row r="5415" spans="1:24" x14ac:dyDescent="0.25">
      <c r="A5415" s="22">
        <v>43766</v>
      </c>
      <c r="B5415" s="12">
        <v>0</v>
      </c>
      <c r="C5415" s="12">
        <v>8.4</v>
      </c>
      <c r="D5415" s="12">
        <v>12.6</v>
      </c>
      <c r="F5415" s="12"/>
      <c r="G5415" s="12">
        <v>10</v>
      </c>
      <c r="H5415" s="12"/>
      <c r="I5415" s="12"/>
      <c r="J5415" s="12">
        <v>10.199999999999999</v>
      </c>
      <c r="K5415" s="12"/>
      <c r="L5415" s="12"/>
      <c r="M5415" s="12">
        <v>5.9</v>
      </c>
      <c r="O5415" s="12"/>
      <c r="Q5415" s="12">
        <v>8.9</v>
      </c>
      <c r="R5415" s="12"/>
      <c r="U5415" s="12"/>
      <c r="X5415" s="12"/>
    </row>
    <row r="5416" spans="1:24" x14ac:dyDescent="0.25">
      <c r="A5416" s="22">
        <v>43767</v>
      </c>
      <c r="B5416" s="12">
        <v>65</v>
      </c>
      <c r="C5416" s="12">
        <v>8.9</v>
      </c>
      <c r="D5416" s="12">
        <v>10.4</v>
      </c>
      <c r="F5416" s="12"/>
      <c r="G5416" s="12">
        <v>3.5</v>
      </c>
      <c r="H5416" s="12"/>
      <c r="I5416" s="12"/>
      <c r="J5416" s="12">
        <v>7.2</v>
      </c>
      <c r="K5416" s="12"/>
      <c r="L5416" s="12"/>
      <c r="M5416" s="12">
        <v>3.4</v>
      </c>
      <c r="O5416" s="12"/>
      <c r="Q5416" s="12">
        <v>6.3</v>
      </c>
      <c r="R5416" s="12"/>
      <c r="U5416" s="12"/>
      <c r="X5416" s="12"/>
    </row>
    <row r="5417" spans="1:24" x14ac:dyDescent="0.25">
      <c r="A5417" s="22">
        <v>43768</v>
      </c>
      <c r="B5417" s="12">
        <v>12.1</v>
      </c>
      <c r="C5417" s="12">
        <v>2.1</v>
      </c>
      <c r="D5417" s="12">
        <v>3.9</v>
      </c>
      <c r="F5417" s="12"/>
      <c r="G5417" s="12">
        <v>2</v>
      </c>
      <c r="H5417" s="12"/>
      <c r="I5417" s="12"/>
      <c r="J5417" s="12">
        <v>9.4</v>
      </c>
      <c r="K5417" s="12"/>
      <c r="L5417" s="12"/>
      <c r="M5417" s="12">
        <v>2.2000000000000002</v>
      </c>
      <c r="O5417" s="12"/>
      <c r="Q5417" s="12">
        <v>5.8</v>
      </c>
      <c r="R5417" s="12"/>
      <c r="U5417" s="12"/>
      <c r="X5417" s="12"/>
    </row>
    <row r="5418" spans="1:24" x14ac:dyDescent="0.25">
      <c r="A5418" s="22">
        <v>43769</v>
      </c>
      <c r="B5418" s="12">
        <v>0</v>
      </c>
      <c r="C5418" s="12">
        <v>9.3000000000000007</v>
      </c>
      <c r="D5418" s="12"/>
      <c r="F5418" s="12"/>
      <c r="G5418" s="12">
        <v>12.3</v>
      </c>
      <c r="H5418" s="12"/>
      <c r="I5418" s="12"/>
      <c r="J5418" s="12">
        <v>19.5</v>
      </c>
      <c r="K5418" s="12"/>
      <c r="L5418" s="12"/>
      <c r="M5418" s="12">
        <v>7.4</v>
      </c>
      <c r="O5418" s="12"/>
      <c r="Q5418" s="38">
        <v>1.9</v>
      </c>
      <c r="R5418" s="12"/>
      <c r="U5418" s="12"/>
      <c r="X5418" s="12"/>
    </row>
    <row r="5419" spans="1:24" x14ac:dyDescent="0.25">
      <c r="A5419" s="22">
        <v>43770</v>
      </c>
      <c r="B5419" s="12">
        <v>0</v>
      </c>
      <c r="C5419" s="12"/>
      <c r="D5419" s="12">
        <v>8.1</v>
      </c>
      <c r="F5419" s="12"/>
      <c r="G5419" s="12">
        <v>9.1</v>
      </c>
      <c r="H5419" s="12"/>
      <c r="I5419" s="12"/>
      <c r="J5419" s="12">
        <v>20.8</v>
      </c>
      <c r="K5419" s="12">
        <v>28.1</v>
      </c>
      <c r="L5419" s="12"/>
      <c r="M5419" s="12">
        <v>4.3</v>
      </c>
      <c r="O5419" s="12"/>
      <c r="Q5419" s="12">
        <v>1.6</v>
      </c>
      <c r="R5419" s="12"/>
      <c r="U5419" s="12"/>
      <c r="X5419" s="12"/>
    </row>
    <row r="5420" spans="1:24" x14ac:dyDescent="0.25">
      <c r="A5420" s="22">
        <v>43771</v>
      </c>
      <c r="B5420" s="12">
        <v>0</v>
      </c>
      <c r="C5420" s="12"/>
      <c r="D5420" s="12">
        <v>0</v>
      </c>
      <c r="F5420" s="12"/>
      <c r="G5420" s="12">
        <v>1.7</v>
      </c>
      <c r="H5420" s="12"/>
      <c r="I5420" s="12"/>
      <c r="J5420" s="12">
        <v>0.2</v>
      </c>
      <c r="K5420" s="12">
        <v>4.9000000000000004</v>
      </c>
      <c r="L5420" s="12"/>
      <c r="M5420" s="12">
        <v>0.4</v>
      </c>
      <c r="O5420" s="12"/>
      <c r="Q5420" s="12">
        <v>11</v>
      </c>
      <c r="R5420" s="12"/>
      <c r="U5420" s="12"/>
      <c r="X5420" s="12"/>
    </row>
    <row r="5421" spans="1:24" x14ac:dyDescent="0.25">
      <c r="A5421" s="22">
        <v>43772</v>
      </c>
      <c r="B5421" s="12">
        <v>0</v>
      </c>
      <c r="C5421" s="12"/>
      <c r="D5421" s="12">
        <v>0</v>
      </c>
      <c r="F5421" s="12"/>
      <c r="G5421" s="12">
        <v>0</v>
      </c>
      <c r="H5421" s="12"/>
      <c r="I5421" s="12"/>
      <c r="J5421" s="12">
        <v>6.9</v>
      </c>
      <c r="K5421" s="12">
        <v>7.1</v>
      </c>
      <c r="L5421" s="12"/>
      <c r="M5421" s="12">
        <v>1.5</v>
      </c>
      <c r="O5421" s="12"/>
      <c r="Q5421" s="38">
        <v>1.1000000000000001</v>
      </c>
      <c r="R5421" s="12"/>
      <c r="U5421" s="12"/>
      <c r="X5421" s="12"/>
    </row>
    <row r="5422" spans="1:24" x14ac:dyDescent="0.25">
      <c r="A5422" s="22">
        <v>43773</v>
      </c>
      <c r="B5422" s="12">
        <v>0</v>
      </c>
      <c r="C5422" s="12"/>
      <c r="D5422" s="12">
        <v>24.7</v>
      </c>
      <c r="F5422" s="12"/>
      <c r="G5422" s="12">
        <v>2.5</v>
      </c>
      <c r="H5422" s="12"/>
      <c r="I5422" s="12"/>
      <c r="J5422" s="12">
        <v>12.2</v>
      </c>
      <c r="K5422" s="12">
        <v>9.1</v>
      </c>
      <c r="L5422" s="12"/>
      <c r="M5422" s="12">
        <v>6.1</v>
      </c>
      <c r="O5422" s="12"/>
      <c r="Q5422" s="38">
        <v>1.9</v>
      </c>
      <c r="R5422" s="12"/>
      <c r="U5422" s="12"/>
      <c r="X5422" s="12"/>
    </row>
    <row r="5423" spans="1:24" x14ac:dyDescent="0.25">
      <c r="A5423" s="22">
        <v>43774</v>
      </c>
      <c r="B5423" s="12">
        <v>0</v>
      </c>
      <c r="C5423" s="12"/>
      <c r="D5423" s="12">
        <v>12.9</v>
      </c>
      <c r="F5423" s="12"/>
      <c r="G5423" s="12">
        <v>2.8</v>
      </c>
      <c r="H5423" s="12"/>
      <c r="I5423" s="12"/>
      <c r="J5423" s="12">
        <v>22.3</v>
      </c>
      <c r="K5423" s="12">
        <v>9.1</v>
      </c>
      <c r="L5423" s="12"/>
      <c r="M5423" s="12">
        <v>0.4</v>
      </c>
      <c r="O5423" s="12"/>
      <c r="Q5423" s="38">
        <v>0.2</v>
      </c>
      <c r="R5423" s="12"/>
      <c r="U5423" s="12"/>
      <c r="X5423" s="12"/>
    </row>
    <row r="5424" spans="1:24" x14ac:dyDescent="0.25">
      <c r="A5424" s="22">
        <v>43775</v>
      </c>
      <c r="B5424" s="12">
        <v>0</v>
      </c>
      <c r="C5424" s="12"/>
      <c r="D5424" s="12">
        <v>25.5</v>
      </c>
      <c r="F5424" s="12"/>
      <c r="G5424" s="12">
        <v>1.3</v>
      </c>
      <c r="H5424" s="12"/>
      <c r="I5424" s="12"/>
      <c r="J5424" s="12">
        <v>4.3</v>
      </c>
      <c r="K5424" s="12">
        <v>4.0999999999999996</v>
      </c>
      <c r="L5424" s="12"/>
      <c r="M5424" s="12">
        <v>1.9</v>
      </c>
      <c r="O5424" s="12"/>
      <c r="Q5424" s="38">
        <v>11.4</v>
      </c>
      <c r="R5424" s="12"/>
      <c r="U5424" s="12"/>
      <c r="X5424" s="12"/>
    </row>
    <row r="5425" spans="1:24" x14ac:dyDescent="0.25">
      <c r="A5425" s="22">
        <v>43776</v>
      </c>
      <c r="B5425" s="12">
        <v>0</v>
      </c>
      <c r="C5425" s="12"/>
      <c r="D5425" s="12">
        <v>13.9</v>
      </c>
      <c r="F5425" s="12"/>
      <c r="G5425" s="12">
        <v>9.1</v>
      </c>
      <c r="H5425" s="12"/>
      <c r="I5425" s="12"/>
      <c r="J5425" s="12">
        <v>17.600000000000001</v>
      </c>
      <c r="K5425" s="12">
        <v>19.7</v>
      </c>
      <c r="L5425" s="12"/>
      <c r="M5425" s="12">
        <v>10.4</v>
      </c>
      <c r="O5425" s="12"/>
      <c r="Q5425" s="12">
        <v>1.1000000000000001</v>
      </c>
      <c r="R5425" s="12"/>
      <c r="U5425" s="12"/>
      <c r="X5425" s="12"/>
    </row>
    <row r="5426" spans="1:24" x14ac:dyDescent="0.25">
      <c r="A5426" s="22">
        <v>43777</v>
      </c>
      <c r="B5426" s="12">
        <v>55.6</v>
      </c>
      <c r="C5426" s="12"/>
      <c r="D5426" s="12">
        <v>0</v>
      </c>
      <c r="F5426" s="12"/>
      <c r="G5426" s="12">
        <v>1</v>
      </c>
      <c r="H5426" s="12"/>
      <c r="I5426" s="12"/>
      <c r="J5426" s="12">
        <v>1.8</v>
      </c>
      <c r="K5426" s="12">
        <v>1.2</v>
      </c>
      <c r="L5426" s="12"/>
      <c r="M5426" s="12">
        <v>1.1000000000000001</v>
      </c>
      <c r="O5426" s="12"/>
      <c r="Q5426" s="12">
        <v>6.6</v>
      </c>
      <c r="R5426" s="12"/>
      <c r="U5426" s="12"/>
      <c r="X5426" s="12"/>
    </row>
    <row r="5427" spans="1:24" x14ac:dyDescent="0.25">
      <c r="A5427" s="22">
        <v>43778</v>
      </c>
      <c r="B5427" s="12">
        <v>0</v>
      </c>
      <c r="C5427" s="12"/>
      <c r="D5427" s="12">
        <v>4.0999999999999996</v>
      </c>
      <c r="F5427" s="12"/>
      <c r="G5427" s="12">
        <v>3.1</v>
      </c>
      <c r="H5427" s="12"/>
      <c r="I5427" s="12"/>
      <c r="J5427" s="12">
        <v>7.7</v>
      </c>
      <c r="K5427" s="12">
        <v>13.4</v>
      </c>
      <c r="L5427" s="12"/>
      <c r="M5427" s="12">
        <v>4.2</v>
      </c>
      <c r="O5427" s="12"/>
      <c r="Q5427" s="12">
        <v>2.4</v>
      </c>
      <c r="R5427" s="12"/>
      <c r="U5427" s="12"/>
      <c r="X5427" s="12"/>
    </row>
    <row r="5428" spans="1:24" x14ac:dyDescent="0.25">
      <c r="A5428" s="22">
        <v>43779</v>
      </c>
      <c r="B5428" s="12">
        <v>0</v>
      </c>
      <c r="C5428" s="12"/>
      <c r="D5428" s="12">
        <v>10.9</v>
      </c>
      <c r="F5428" s="12"/>
      <c r="G5428" s="12">
        <v>0.7</v>
      </c>
      <c r="H5428" s="12"/>
      <c r="I5428" s="12"/>
      <c r="J5428" s="12">
        <v>0.3</v>
      </c>
      <c r="K5428" s="12">
        <v>0</v>
      </c>
      <c r="L5428" s="12"/>
      <c r="M5428" s="12">
        <v>0.8</v>
      </c>
      <c r="O5428" s="12"/>
      <c r="Q5428" s="12">
        <v>0.7</v>
      </c>
      <c r="R5428" s="12"/>
      <c r="U5428" s="12"/>
      <c r="X5428" s="12"/>
    </row>
    <row r="5429" spans="1:24" x14ac:dyDescent="0.25">
      <c r="A5429" s="22">
        <v>43780</v>
      </c>
      <c r="B5429" s="12">
        <v>35.200000000000003</v>
      </c>
      <c r="C5429" s="12"/>
      <c r="D5429" s="12">
        <v>11.3</v>
      </c>
      <c r="F5429" s="12"/>
      <c r="G5429" s="12">
        <v>0.5</v>
      </c>
      <c r="H5429" s="12"/>
      <c r="I5429" s="12"/>
      <c r="J5429" s="12">
        <v>5.9</v>
      </c>
      <c r="K5429" s="12">
        <v>5.9</v>
      </c>
      <c r="L5429" s="12"/>
      <c r="M5429" s="12">
        <v>1.7</v>
      </c>
      <c r="O5429" s="12"/>
      <c r="Q5429" s="12">
        <v>7.5</v>
      </c>
      <c r="R5429" s="12"/>
      <c r="U5429" s="12"/>
      <c r="X5429" s="12"/>
    </row>
    <row r="5430" spans="1:24" x14ac:dyDescent="0.25">
      <c r="A5430" s="22">
        <v>43781</v>
      </c>
      <c r="B5430" s="12">
        <v>8.6</v>
      </c>
      <c r="C5430" s="12"/>
      <c r="D5430" s="12">
        <v>49.5</v>
      </c>
      <c r="F5430" s="12"/>
      <c r="G5430" s="12">
        <v>28.2</v>
      </c>
      <c r="H5430" s="12"/>
      <c r="I5430" s="12"/>
      <c r="J5430" s="12">
        <v>35.1</v>
      </c>
      <c r="K5430" s="12">
        <v>39.4</v>
      </c>
      <c r="L5430" s="12"/>
      <c r="M5430" s="12">
        <v>24.8</v>
      </c>
      <c r="O5430" s="12"/>
      <c r="Q5430" s="12">
        <v>20.7</v>
      </c>
      <c r="R5430" s="12"/>
      <c r="U5430" s="12"/>
      <c r="X5430" s="12"/>
    </row>
    <row r="5431" spans="1:24" x14ac:dyDescent="0.25">
      <c r="A5431" s="22">
        <v>43782</v>
      </c>
      <c r="B5431" s="12">
        <v>5.3</v>
      </c>
      <c r="C5431" s="12"/>
      <c r="D5431" s="12">
        <v>11.9</v>
      </c>
      <c r="F5431" s="12"/>
      <c r="G5431" s="12">
        <v>9.4</v>
      </c>
      <c r="H5431" s="12"/>
      <c r="I5431" s="12"/>
      <c r="J5431" s="12">
        <v>21.3</v>
      </c>
      <c r="K5431" s="12">
        <v>18.7</v>
      </c>
      <c r="L5431" s="12"/>
      <c r="M5431" s="12">
        <v>14.1</v>
      </c>
      <c r="O5431" s="12"/>
      <c r="Q5431" s="12">
        <v>7.4</v>
      </c>
      <c r="R5431" s="12"/>
      <c r="U5431" s="12"/>
      <c r="X5431" s="12"/>
    </row>
    <row r="5432" spans="1:24" x14ac:dyDescent="0.25">
      <c r="A5432" s="22">
        <v>43783</v>
      </c>
      <c r="B5432" s="12">
        <v>0</v>
      </c>
      <c r="C5432" s="12"/>
      <c r="D5432" s="12">
        <v>14.5</v>
      </c>
      <c r="F5432" s="12"/>
      <c r="G5432" s="12">
        <v>0</v>
      </c>
      <c r="H5432" s="12"/>
      <c r="I5432" s="12"/>
      <c r="J5432" s="12">
        <v>0.4</v>
      </c>
      <c r="K5432" s="12">
        <v>1.6</v>
      </c>
      <c r="L5432" s="12"/>
      <c r="M5432" s="12">
        <v>0</v>
      </c>
      <c r="O5432" s="12"/>
      <c r="Q5432" s="12">
        <v>15.2</v>
      </c>
      <c r="R5432" s="12"/>
      <c r="U5432" s="12"/>
      <c r="X5432" s="12"/>
    </row>
    <row r="5433" spans="1:24" x14ac:dyDescent="0.25">
      <c r="A5433" s="22">
        <v>43784</v>
      </c>
      <c r="B5433" s="12">
        <v>6.5</v>
      </c>
      <c r="C5433" s="12"/>
      <c r="D5433" s="12">
        <v>4</v>
      </c>
      <c r="F5433" s="12"/>
      <c r="G5433" s="12">
        <v>28.4</v>
      </c>
      <c r="H5433" s="12"/>
      <c r="I5433" s="12"/>
      <c r="J5433" s="12">
        <v>29</v>
      </c>
      <c r="K5433" s="12">
        <v>29.6</v>
      </c>
      <c r="L5433" s="12"/>
      <c r="M5433" s="12">
        <v>36.1</v>
      </c>
      <c r="O5433" s="12"/>
      <c r="Q5433" s="12">
        <v>6.9</v>
      </c>
      <c r="R5433" s="12"/>
      <c r="U5433" s="12"/>
      <c r="X5433" s="12"/>
    </row>
    <row r="5434" spans="1:24" x14ac:dyDescent="0.25">
      <c r="A5434" s="22">
        <v>43785</v>
      </c>
      <c r="B5434" s="12">
        <v>0</v>
      </c>
      <c r="C5434" s="12"/>
      <c r="D5434" s="12">
        <v>12</v>
      </c>
      <c r="F5434" s="12"/>
      <c r="G5434" s="12">
        <v>2.9</v>
      </c>
      <c r="H5434" s="12"/>
      <c r="I5434" s="12"/>
      <c r="J5434" s="12">
        <v>5.4</v>
      </c>
      <c r="K5434" s="12">
        <v>6.8</v>
      </c>
      <c r="L5434" s="12"/>
      <c r="M5434" s="12">
        <v>3.3</v>
      </c>
      <c r="O5434" s="12"/>
      <c r="Q5434" s="12">
        <v>0</v>
      </c>
      <c r="R5434" s="12"/>
      <c r="U5434" s="12"/>
      <c r="X5434" s="12"/>
    </row>
    <row r="5435" spans="1:24" x14ac:dyDescent="0.25">
      <c r="A5435" s="22">
        <v>43786</v>
      </c>
      <c r="B5435" s="12">
        <v>8.9</v>
      </c>
      <c r="C5435" s="12"/>
      <c r="D5435" s="12">
        <v>2.1</v>
      </c>
      <c r="F5435" s="12"/>
      <c r="G5435" s="12">
        <v>5.0999999999999996</v>
      </c>
      <c r="H5435" s="12"/>
      <c r="I5435" s="12"/>
      <c r="J5435" s="12">
        <v>26.1</v>
      </c>
      <c r="K5435" s="12">
        <v>10.8</v>
      </c>
      <c r="L5435" s="12"/>
      <c r="M5435" s="12">
        <v>6.3</v>
      </c>
      <c r="O5435" s="12"/>
      <c r="Q5435" s="12">
        <v>8.4</v>
      </c>
      <c r="R5435" s="12"/>
      <c r="U5435" s="12"/>
      <c r="X5435" s="12"/>
    </row>
    <row r="5436" spans="1:24" x14ac:dyDescent="0.25">
      <c r="A5436" s="22">
        <v>43787</v>
      </c>
      <c r="B5436" s="12">
        <v>10.3</v>
      </c>
      <c r="C5436" s="12"/>
      <c r="D5436" s="12">
        <v>4.9000000000000004</v>
      </c>
      <c r="F5436" s="12"/>
      <c r="G5436" s="12">
        <v>34.5</v>
      </c>
      <c r="H5436" s="12"/>
      <c r="I5436" s="12"/>
      <c r="J5436" s="12">
        <v>63.8</v>
      </c>
      <c r="K5436" s="12">
        <v>0</v>
      </c>
      <c r="L5436" s="12"/>
      <c r="M5436" s="12">
        <v>21.8</v>
      </c>
      <c r="O5436" s="12"/>
      <c r="Q5436" s="12">
        <v>0</v>
      </c>
      <c r="R5436" s="12"/>
      <c r="U5436" s="12"/>
      <c r="X5436" s="12"/>
    </row>
    <row r="5437" spans="1:24" x14ac:dyDescent="0.25">
      <c r="A5437" s="22">
        <v>43788</v>
      </c>
      <c r="B5437" s="12">
        <v>0</v>
      </c>
      <c r="C5437" s="12"/>
      <c r="D5437" s="12">
        <v>0</v>
      </c>
      <c r="F5437" s="12"/>
      <c r="G5437" s="12">
        <v>0</v>
      </c>
      <c r="H5437" s="12"/>
      <c r="I5437" s="12"/>
      <c r="J5437" s="12">
        <v>0</v>
      </c>
      <c r="K5437" s="12">
        <v>45</v>
      </c>
      <c r="L5437" s="12"/>
      <c r="M5437" s="12">
        <v>0</v>
      </c>
      <c r="O5437" s="12"/>
      <c r="Q5437" s="12">
        <v>7.3</v>
      </c>
      <c r="R5437" s="12"/>
      <c r="U5437" s="12"/>
      <c r="X5437" s="12"/>
    </row>
    <row r="5438" spans="1:24" x14ac:dyDescent="0.25">
      <c r="A5438" s="22">
        <v>43789</v>
      </c>
      <c r="B5438" s="12">
        <v>15.5</v>
      </c>
      <c r="C5438" s="12"/>
      <c r="D5438" s="12">
        <v>31.5</v>
      </c>
      <c r="F5438" s="12"/>
      <c r="G5438" s="12">
        <v>24.5</v>
      </c>
      <c r="H5438" s="12"/>
      <c r="I5438" s="12"/>
      <c r="J5438" s="12">
        <v>34.4</v>
      </c>
      <c r="K5438" s="12">
        <v>32.200000000000003</v>
      </c>
      <c r="L5438" s="12"/>
      <c r="M5438" s="12">
        <v>11.4</v>
      </c>
      <c r="O5438" s="12"/>
      <c r="Q5438" s="12">
        <v>0</v>
      </c>
      <c r="R5438" s="12"/>
      <c r="U5438" s="12"/>
      <c r="X5438" s="12"/>
    </row>
    <row r="5439" spans="1:24" x14ac:dyDescent="0.25">
      <c r="A5439" s="22">
        <v>43790</v>
      </c>
      <c r="B5439" s="12">
        <v>6.2</v>
      </c>
      <c r="C5439" s="12"/>
      <c r="D5439" s="12">
        <v>0</v>
      </c>
      <c r="F5439" s="12"/>
      <c r="G5439" s="12">
        <v>0.7</v>
      </c>
      <c r="H5439" s="12"/>
      <c r="I5439" s="12"/>
      <c r="J5439" s="12">
        <v>14.2</v>
      </c>
      <c r="K5439" s="12">
        <v>17.8</v>
      </c>
      <c r="L5439" s="12"/>
      <c r="M5439" s="12">
        <v>1.1000000000000001</v>
      </c>
      <c r="O5439" s="12"/>
      <c r="Q5439" s="12">
        <v>0</v>
      </c>
      <c r="R5439" s="12"/>
      <c r="U5439" s="12"/>
      <c r="X5439" s="12"/>
    </row>
    <row r="5440" spans="1:24" x14ac:dyDescent="0.25">
      <c r="A5440" s="22">
        <v>43791</v>
      </c>
      <c r="B5440" s="12">
        <v>8.1</v>
      </c>
      <c r="C5440" s="12"/>
      <c r="D5440" s="12">
        <v>3</v>
      </c>
      <c r="F5440" s="12"/>
      <c r="G5440" s="12">
        <v>0.3</v>
      </c>
      <c r="H5440" s="12"/>
      <c r="I5440" s="12"/>
      <c r="J5440" s="12">
        <v>0</v>
      </c>
      <c r="K5440" s="12">
        <v>0</v>
      </c>
      <c r="L5440" s="12"/>
      <c r="M5440" s="12">
        <v>0</v>
      </c>
      <c r="O5440" s="12"/>
      <c r="Q5440" s="12">
        <v>0</v>
      </c>
      <c r="R5440" s="12"/>
      <c r="U5440" s="12"/>
      <c r="X5440" s="12"/>
    </row>
    <row r="5441" spans="1:24" x14ac:dyDescent="0.25">
      <c r="A5441" s="22">
        <v>43792</v>
      </c>
      <c r="B5441" s="12">
        <v>8.1</v>
      </c>
      <c r="C5441" s="12"/>
      <c r="D5441" s="12">
        <v>4</v>
      </c>
      <c r="F5441" s="12"/>
      <c r="G5441" s="12">
        <v>0</v>
      </c>
      <c r="H5441" s="12"/>
      <c r="I5441" s="12"/>
      <c r="J5441" s="12">
        <v>0</v>
      </c>
      <c r="K5441" s="12">
        <v>0</v>
      </c>
      <c r="L5441" s="12"/>
      <c r="M5441" s="12">
        <v>0.3</v>
      </c>
      <c r="O5441" s="12"/>
      <c r="Q5441" s="12">
        <v>15.6</v>
      </c>
      <c r="R5441" s="12"/>
      <c r="U5441" s="12"/>
      <c r="X5441" s="12"/>
    </row>
    <row r="5442" spans="1:24" x14ac:dyDescent="0.25">
      <c r="A5442" s="22">
        <v>43793</v>
      </c>
      <c r="B5442" s="12">
        <v>0</v>
      </c>
      <c r="C5442" s="12"/>
      <c r="D5442" s="12">
        <v>53.8</v>
      </c>
      <c r="F5442" s="12"/>
      <c r="G5442" s="12">
        <v>13.9</v>
      </c>
      <c r="H5442" s="12"/>
      <c r="I5442" s="12"/>
      <c r="J5442" s="12">
        <v>21.1</v>
      </c>
      <c r="K5442" s="12">
        <v>25.1</v>
      </c>
      <c r="L5442" s="12"/>
      <c r="M5442" s="12">
        <v>14.8</v>
      </c>
      <c r="O5442" s="12"/>
      <c r="Q5442" s="12">
        <v>1.8</v>
      </c>
      <c r="R5442" s="12"/>
      <c r="U5442" s="12"/>
      <c r="X5442" s="12"/>
    </row>
    <row r="5443" spans="1:24" x14ac:dyDescent="0.25">
      <c r="A5443" s="22">
        <v>43794</v>
      </c>
      <c r="B5443" s="12">
        <v>10.7</v>
      </c>
      <c r="C5443" s="12"/>
      <c r="D5443" s="12">
        <v>25.2</v>
      </c>
      <c r="F5443" s="12"/>
      <c r="G5443" s="12">
        <v>0.9</v>
      </c>
      <c r="H5443" s="12"/>
      <c r="I5443" s="12"/>
      <c r="J5443" s="12">
        <v>0</v>
      </c>
      <c r="K5443" s="12">
        <v>1.5</v>
      </c>
      <c r="L5443" s="12"/>
      <c r="M5443" s="12">
        <v>0.7</v>
      </c>
      <c r="O5443" s="12"/>
      <c r="Q5443" s="12">
        <v>17.899999999999999</v>
      </c>
      <c r="R5443" s="12"/>
      <c r="U5443" s="12"/>
      <c r="X5443" s="12"/>
    </row>
    <row r="5444" spans="1:24" x14ac:dyDescent="0.25">
      <c r="A5444" s="22">
        <v>43795</v>
      </c>
      <c r="B5444" s="12">
        <v>21.3</v>
      </c>
      <c r="C5444" s="12"/>
      <c r="D5444" s="12">
        <v>44.9</v>
      </c>
      <c r="F5444" s="12"/>
      <c r="G5444" s="12">
        <v>18.100000000000001</v>
      </c>
      <c r="H5444" s="12"/>
      <c r="I5444" s="12"/>
      <c r="J5444" s="12">
        <v>22.2</v>
      </c>
      <c r="K5444" s="12">
        <v>0</v>
      </c>
      <c r="L5444" s="12"/>
      <c r="M5444" s="12">
        <v>22.8</v>
      </c>
      <c r="O5444" s="12"/>
      <c r="Q5444" s="12">
        <v>9.3000000000000007</v>
      </c>
      <c r="R5444" s="12"/>
      <c r="U5444" s="12"/>
      <c r="X5444" s="12"/>
    </row>
    <row r="5445" spans="1:24" x14ac:dyDescent="0.25">
      <c r="A5445" s="22">
        <v>43796</v>
      </c>
      <c r="B5445" s="12">
        <v>0</v>
      </c>
      <c r="C5445" s="12"/>
      <c r="D5445" s="12">
        <v>14.3</v>
      </c>
      <c r="F5445" s="12"/>
      <c r="G5445" s="12">
        <v>5.5</v>
      </c>
      <c r="H5445" s="12"/>
      <c r="I5445" s="12"/>
      <c r="J5445" s="12">
        <v>14.7</v>
      </c>
      <c r="K5445" s="12">
        <v>13.3</v>
      </c>
      <c r="L5445" s="12"/>
      <c r="M5445" s="12">
        <v>5.5</v>
      </c>
      <c r="O5445" s="12"/>
      <c r="Q5445" s="12">
        <v>0</v>
      </c>
      <c r="R5445" s="12"/>
      <c r="U5445" s="12"/>
      <c r="X5445" s="12"/>
    </row>
    <row r="5446" spans="1:24" x14ac:dyDescent="0.25">
      <c r="A5446" s="22">
        <v>43797</v>
      </c>
      <c r="B5446" s="12">
        <v>0</v>
      </c>
      <c r="C5446" s="12"/>
      <c r="D5446" s="12">
        <v>6</v>
      </c>
      <c r="F5446" s="12"/>
      <c r="G5446" s="12">
        <v>0.9</v>
      </c>
      <c r="H5446" s="12"/>
      <c r="I5446" s="12"/>
      <c r="J5446" s="12">
        <v>0</v>
      </c>
      <c r="K5446" s="12">
        <v>0.2</v>
      </c>
      <c r="L5446" s="12"/>
      <c r="M5446" s="12">
        <v>1.3</v>
      </c>
      <c r="O5446" s="12"/>
      <c r="Q5446" s="12">
        <v>1.9</v>
      </c>
      <c r="R5446" s="12"/>
      <c r="U5446" s="12"/>
      <c r="X5446" s="12"/>
    </row>
    <row r="5447" spans="1:24" x14ac:dyDescent="0.25">
      <c r="A5447" s="22">
        <v>43798</v>
      </c>
      <c r="B5447" s="12">
        <v>0</v>
      </c>
      <c r="C5447" s="12"/>
      <c r="D5447" s="12">
        <v>7.4</v>
      </c>
      <c r="F5447" s="12"/>
      <c r="G5447" s="12">
        <v>0</v>
      </c>
      <c r="H5447" s="12"/>
      <c r="I5447" s="12"/>
      <c r="J5447" s="12">
        <v>0</v>
      </c>
      <c r="K5447" s="12">
        <v>0</v>
      </c>
      <c r="L5447" s="12"/>
      <c r="M5447" s="12">
        <v>0.4</v>
      </c>
      <c r="O5447" s="12"/>
      <c r="Q5447" s="12">
        <v>0</v>
      </c>
      <c r="R5447" s="12"/>
      <c r="U5447" s="12"/>
      <c r="X5447" s="12"/>
    </row>
    <row r="5448" spans="1:24" x14ac:dyDescent="0.25">
      <c r="A5448" s="22">
        <v>43799</v>
      </c>
      <c r="B5448" s="12">
        <v>25.6</v>
      </c>
      <c r="C5448" s="12"/>
      <c r="D5448" s="12">
        <v>8</v>
      </c>
      <c r="F5448" s="12"/>
      <c r="G5448" s="12">
        <v>32.200000000000003</v>
      </c>
      <c r="H5448" s="12"/>
      <c r="I5448" s="12"/>
      <c r="J5448" s="12">
        <v>14.4</v>
      </c>
      <c r="K5448" s="12">
        <v>5.9</v>
      </c>
      <c r="L5448" s="12"/>
      <c r="M5448" s="12">
        <v>0.7</v>
      </c>
      <c r="O5448" s="12"/>
      <c r="Q5448" s="12">
        <v>13.6</v>
      </c>
      <c r="R5448" s="12"/>
      <c r="U5448" s="12"/>
      <c r="X5448" s="12"/>
    </row>
    <row r="5449" spans="1:24" x14ac:dyDescent="0.25">
      <c r="A5449" s="22">
        <v>43800</v>
      </c>
      <c r="B5449" s="12">
        <v>0</v>
      </c>
      <c r="C5449" s="12"/>
      <c r="D5449" s="12">
        <v>32.6</v>
      </c>
      <c r="F5449" s="12"/>
      <c r="G5449" s="12"/>
      <c r="H5449" s="12"/>
      <c r="I5449" s="12"/>
      <c r="J5449" s="12">
        <v>2.2999999999999998</v>
      </c>
      <c r="K5449" s="12"/>
      <c r="L5449" s="12"/>
      <c r="M5449" s="12">
        <v>6.9</v>
      </c>
      <c r="O5449" s="12"/>
      <c r="Q5449" s="12">
        <v>4.4000000000000004</v>
      </c>
      <c r="R5449" s="12"/>
      <c r="U5449" s="12"/>
      <c r="X5449" s="12"/>
    </row>
    <row r="5450" spans="1:24" x14ac:dyDescent="0.25">
      <c r="A5450" s="22">
        <v>43801</v>
      </c>
      <c r="B5450" s="12">
        <v>0</v>
      </c>
      <c r="C5450" s="12"/>
      <c r="D5450" s="12">
        <v>14.8</v>
      </c>
      <c r="F5450" s="12"/>
      <c r="G5450" s="12"/>
      <c r="H5450" s="12"/>
      <c r="I5450" s="12"/>
      <c r="J5450" s="12">
        <v>6.2</v>
      </c>
      <c r="K5450" s="12"/>
      <c r="L5450" s="12"/>
      <c r="M5450" s="12">
        <v>4.9000000000000004</v>
      </c>
      <c r="O5450" s="12"/>
      <c r="Q5450" s="12">
        <v>9.5</v>
      </c>
      <c r="R5450" s="12"/>
      <c r="U5450" s="12"/>
      <c r="X5450" s="12"/>
    </row>
    <row r="5451" spans="1:24" x14ac:dyDescent="0.25">
      <c r="A5451" s="22">
        <v>43802</v>
      </c>
      <c r="B5451" s="12">
        <v>5</v>
      </c>
      <c r="C5451" s="12"/>
      <c r="D5451" s="12">
        <v>25.4</v>
      </c>
      <c r="F5451" s="12"/>
      <c r="G5451" s="12"/>
      <c r="H5451" s="12"/>
      <c r="I5451" s="12"/>
      <c r="J5451" s="12">
        <v>16.399999999999999</v>
      </c>
      <c r="K5451" s="12"/>
      <c r="L5451" s="12"/>
      <c r="M5451" s="12">
        <v>8.1</v>
      </c>
      <c r="O5451" s="12"/>
      <c r="Q5451" s="12">
        <v>1.1000000000000001</v>
      </c>
      <c r="R5451" s="12"/>
      <c r="U5451" s="12"/>
      <c r="X5451" s="12"/>
    </row>
    <row r="5452" spans="1:24" x14ac:dyDescent="0.25">
      <c r="A5452" s="22">
        <v>43803</v>
      </c>
      <c r="B5452" s="12">
        <v>0</v>
      </c>
      <c r="C5452" s="12"/>
      <c r="D5452" s="12">
        <v>4.5</v>
      </c>
      <c r="F5452" s="12"/>
      <c r="G5452" s="12"/>
      <c r="H5452" s="12"/>
      <c r="I5452" s="12"/>
      <c r="J5452" s="12">
        <v>0</v>
      </c>
      <c r="K5452" s="12"/>
      <c r="L5452" s="12"/>
      <c r="M5452" s="12">
        <v>1.4</v>
      </c>
      <c r="O5452" s="12"/>
      <c r="Q5452" s="12">
        <v>8.4</v>
      </c>
      <c r="R5452" s="12"/>
      <c r="U5452" s="12"/>
      <c r="X5452" s="12"/>
    </row>
    <row r="5453" spans="1:24" x14ac:dyDescent="0.25">
      <c r="A5453" s="22">
        <v>43804</v>
      </c>
      <c r="B5453" s="12">
        <v>17.5</v>
      </c>
      <c r="C5453" s="12"/>
      <c r="D5453" s="12">
        <v>30</v>
      </c>
      <c r="F5453" s="12"/>
      <c r="G5453" s="12"/>
      <c r="H5453" s="12"/>
      <c r="I5453" s="12"/>
      <c r="J5453" s="12">
        <v>42</v>
      </c>
      <c r="K5453" s="12"/>
      <c r="L5453" s="12"/>
      <c r="M5453" s="12">
        <v>17.399999999999999</v>
      </c>
      <c r="O5453" s="12"/>
      <c r="Q5453" s="12">
        <v>15.5</v>
      </c>
      <c r="R5453" s="12"/>
      <c r="U5453" s="12"/>
      <c r="X5453" s="12"/>
    </row>
    <row r="5454" spans="1:24" x14ac:dyDescent="0.25">
      <c r="A5454" s="22">
        <v>43805</v>
      </c>
      <c r="B5454" s="12">
        <v>0</v>
      </c>
      <c r="C5454" s="12"/>
      <c r="D5454" s="12">
        <v>29</v>
      </c>
      <c r="F5454" s="12"/>
      <c r="G5454" s="12"/>
      <c r="H5454" s="12"/>
      <c r="I5454" s="12"/>
      <c r="J5454" s="12">
        <v>35.9</v>
      </c>
      <c r="K5454" s="12"/>
      <c r="L5454" s="12"/>
      <c r="M5454" s="12">
        <v>14</v>
      </c>
      <c r="O5454" s="12"/>
      <c r="Q5454" s="12">
        <v>1.7</v>
      </c>
      <c r="R5454" s="12"/>
      <c r="U5454" s="12"/>
      <c r="X5454" s="12"/>
    </row>
    <row r="5455" spans="1:24" x14ac:dyDescent="0.25">
      <c r="A5455" s="22">
        <v>43806</v>
      </c>
      <c r="B5455" s="12">
        <v>0</v>
      </c>
      <c r="C5455" s="12"/>
      <c r="D5455" s="12">
        <v>6</v>
      </c>
      <c r="F5455" s="12"/>
      <c r="G5455" s="12"/>
      <c r="H5455" s="12"/>
      <c r="I5455" s="12"/>
      <c r="J5455" s="12">
        <v>6.7</v>
      </c>
      <c r="K5455" s="12"/>
      <c r="L5455" s="12"/>
      <c r="M5455" s="12">
        <v>0</v>
      </c>
      <c r="O5455" s="12"/>
      <c r="Q5455" s="12">
        <v>9.9</v>
      </c>
      <c r="R5455" s="12"/>
      <c r="U5455" s="12"/>
      <c r="X5455" s="12"/>
    </row>
    <row r="5456" spans="1:24" x14ac:dyDescent="0.25">
      <c r="A5456" s="22">
        <v>43807</v>
      </c>
      <c r="B5456" s="12">
        <v>0</v>
      </c>
      <c r="C5456" s="12"/>
      <c r="D5456" s="12">
        <v>19</v>
      </c>
      <c r="F5456" s="12"/>
      <c r="G5456" s="12"/>
      <c r="H5456" s="12"/>
      <c r="I5456" s="12"/>
      <c r="J5456" s="12">
        <v>10.9</v>
      </c>
      <c r="K5456" s="12"/>
      <c r="L5456" s="12"/>
      <c r="M5456" s="12">
        <v>5.5</v>
      </c>
      <c r="O5456" s="12"/>
      <c r="Q5456" s="12">
        <v>0</v>
      </c>
      <c r="R5456" s="12"/>
      <c r="U5456" s="12"/>
      <c r="X5456" s="12"/>
    </row>
    <row r="5457" spans="1:24" x14ac:dyDescent="0.25">
      <c r="A5457" s="22">
        <v>43808</v>
      </c>
      <c r="B5457" s="12">
        <v>0</v>
      </c>
      <c r="C5457" s="12"/>
      <c r="D5457" s="12">
        <v>9</v>
      </c>
      <c r="F5457" s="12"/>
      <c r="G5457" s="12"/>
      <c r="H5457" s="12"/>
      <c r="I5457" s="12"/>
      <c r="J5457" s="12">
        <v>1.8</v>
      </c>
      <c r="K5457" s="12"/>
      <c r="L5457" s="12"/>
      <c r="M5457" s="12">
        <v>0</v>
      </c>
      <c r="O5457" s="12"/>
      <c r="Q5457" s="12">
        <v>0</v>
      </c>
      <c r="R5457" s="12"/>
      <c r="U5457" s="12"/>
      <c r="X5457" s="12"/>
    </row>
    <row r="5458" spans="1:24" x14ac:dyDescent="0.25">
      <c r="A5458" s="22">
        <v>43809</v>
      </c>
      <c r="B5458" s="12">
        <v>0</v>
      </c>
      <c r="C5458" s="12"/>
      <c r="D5458" s="12">
        <v>22.5</v>
      </c>
      <c r="F5458" s="12"/>
      <c r="G5458" s="12"/>
      <c r="H5458" s="12"/>
      <c r="I5458" s="12"/>
      <c r="J5458" s="12">
        <v>22</v>
      </c>
      <c r="K5458" s="12"/>
      <c r="L5458" s="12"/>
      <c r="M5458" s="12">
        <v>3.7</v>
      </c>
      <c r="O5458" s="12"/>
      <c r="Q5458" s="12">
        <v>11.3</v>
      </c>
      <c r="R5458" s="12"/>
      <c r="U5458" s="12"/>
      <c r="X5458" s="12"/>
    </row>
    <row r="5459" spans="1:24" x14ac:dyDescent="0.25">
      <c r="A5459" s="22">
        <v>43810</v>
      </c>
      <c r="B5459" s="12">
        <v>0</v>
      </c>
      <c r="C5459" s="12"/>
      <c r="D5459" s="12">
        <v>15.9</v>
      </c>
      <c r="F5459" s="12"/>
      <c r="G5459" s="12"/>
      <c r="H5459" s="12"/>
      <c r="I5459" s="12"/>
      <c r="J5459" s="12">
        <v>35.299999999999997</v>
      </c>
      <c r="K5459" s="12"/>
      <c r="L5459" s="12"/>
      <c r="M5459" s="12">
        <v>34.700000000000003</v>
      </c>
      <c r="O5459" s="12"/>
      <c r="Q5459" s="12">
        <v>29.3</v>
      </c>
      <c r="R5459" s="12"/>
      <c r="U5459" s="12"/>
      <c r="X5459" s="12"/>
    </row>
    <row r="5460" spans="1:24" x14ac:dyDescent="0.25">
      <c r="A5460" s="22">
        <v>43811</v>
      </c>
      <c r="B5460" s="12">
        <v>67.7</v>
      </c>
      <c r="C5460" s="12"/>
      <c r="D5460" s="12">
        <v>39.700000000000003</v>
      </c>
      <c r="F5460" s="12"/>
      <c r="G5460" s="12"/>
      <c r="H5460" s="12"/>
      <c r="I5460" s="12"/>
      <c r="J5460" s="12">
        <v>44.1</v>
      </c>
      <c r="K5460" s="12"/>
      <c r="L5460" s="12"/>
      <c r="M5460" s="12">
        <v>54.6</v>
      </c>
      <c r="O5460" s="12"/>
      <c r="Q5460" s="12">
        <v>41.5</v>
      </c>
      <c r="R5460" s="12"/>
      <c r="U5460" s="12"/>
      <c r="X5460" s="12"/>
    </row>
    <row r="5461" spans="1:24" x14ac:dyDescent="0.25">
      <c r="A5461" s="22">
        <v>43812</v>
      </c>
      <c r="B5461" s="12">
        <v>0</v>
      </c>
      <c r="C5461" s="12"/>
      <c r="D5461" s="12">
        <v>35.9</v>
      </c>
      <c r="F5461" s="12"/>
      <c r="G5461" s="12"/>
      <c r="H5461" s="12"/>
      <c r="I5461" s="12"/>
      <c r="J5461" s="12">
        <v>83.2</v>
      </c>
      <c r="K5461" s="12"/>
      <c r="L5461" s="12"/>
      <c r="M5461" s="12">
        <v>40.5</v>
      </c>
      <c r="O5461" s="12"/>
      <c r="Q5461" s="12">
        <v>16</v>
      </c>
      <c r="R5461" s="12"/>
      <c r="U5461" s="12"/>
      <c r="X5461" s="12"/>
    </row>
    <row r="5462" spans="1:24" x14ac:dyDescent="0.25">
      <c r="A5462" s="22">
        <v>43813</v>
      </c>
      <c r="B5462" s="12">
        <v>0</v>
      </c>
      <c r="C5462" s="12"/>
      <c r="D5462" s="12">
        <v>18.5</v>
      </c>
      <c r="F5462" s="12"/>
      <c r="G5462" s="12"/>
      <c r="H5462" s="12"/>
      <c r="I5462" s="12"/>
      <c r="J5462" s="12">
        <v>65</v>
      </c>
      <c r="K5462" s="12"/>
      <c r="L5462" s="12"/>
      <c r="M5462" s="12">
        <v>6.3</v>
      </c>
      <c r="O5462" s="12"/>
      <c r="Q5462" s="12">
        <v>2</v>
      </c>
      <c r="R5462" s="12"/>
      <c r="U5462" s="12"/>
      <c r="X5462" s="12"/>
    </row>
    <row r="5463" spans="1:24" x14ac:dyDescent="0.25">
      <c r="A5463" s="22">
        <v>43814</v>
      </c>
      <c r="B5463" s="12">
        <v>0</v>
      </c>
      <c r="C5463" s="12"/>
      <c r="D5463" s="12">
        <v>19.899999999999999</v>
      </c>
      <c r="F5463" s="12"/>
      <c r="G5463" s="12"/>
      <c r="H5463" s="12"/>
      <c r="I5463" s="12"/>
      <c r="J5463" s="12">
        <v>6.4</v>
      </c>
      <c r="K5463" s="12"/>
      <c r="L5463" s="12"/>
      <c r="M5463" s="12">
        <v>0</v>
      </c>
      <c r="O5463" s="12"/>
      <c r="Q5463" s="12">
        <v>18.600000000000001</v>
      </c>
      <c r="R5463" s="12"/>
      <c r="U5463" s="12"/>
      <c r="X5463" s="12"/>
    </row>
    <row r="5464" spans="1:24" x14ac:dyDescent="0.25">
      <c r="A5464" s="22">
        <v>43815</v>
      </c>
      <c r="B5464" s="12">
        <v>43.4</v>
      </c>
      <c r="C5464" s="12"/>
      <c r="D5464" s="12">
        <v>27.7</v>
      </c>
      <c r="F5464" s="12"/>
      <c r="G5464" s="12"/>
      <c r="H5464" s="12"/>
      <c r="I5464" s="12"/>
      <c r="J5464" s="12">
        <v>20.100000000000001</v>
      </c>
      <c r="K5464" s="12"/>
      <c r="L5464" s="12"/>
      <c r="M5464" s="12">
        <v>28.8</v>
      </c>
      <c r="O5464" s="12"/>
      <c r="Q5464" s="12">
        <v>0.1</v>
      </c>
      <c r="R5464" s="12"/>
      <c r="U5464" s="12"/>
      <c r="X5464" s="12"/>
    </row>
    <row r="5465" spans="1:24" x14ac:dyDescent="0.25">
      <c r="A5465" s="22">
        <v>43816</v>
      </c>
      <c r="B5465" s="12">
        <v>8.6</v>
      </c>
      <c r="C5465" s="12"/>
      <c r="D5465" s="12">
        <v>3.2</v>
      </c>
      <c r="F5465" s="12"/>
      <c r="G5465" s="12"/>
      <c r="H5465" s="12"/>
      <c r="I5465" s="12"/>
      <c r="J5465" s="12">
        <v>0</v>
      </c>
      <c r="K5465" s="12"/>
      <c r="L5465" s="12"/>
      <c r="M5465" s="12">
        <v>0</v>
      </c>
      <c r="O5465" s="12"/>
      <c r="Q5465" s="12">
        <v>6.3</v>
      </c>
      <c r="R5465" s="12"/>
      <c r="U5465" s="12"/>
      <c r="X5465" s="12"/>
    </row>
    <row r="5466" spans="1:24" x14ac:dyDescent="0.25">
      <c r="A5466" s="22">
        <v>43817</v>
      </c>
      <c r="B5466" s="12">
        <v>0</v>
      </c>
      <c r="C5466" s="12"/>
      <c r="D5466" s="12">
        <v>1.5</v>
      </c>
      <c r="F5466" s="12"/>
      <c r="G5466" s="12"/>
      <c r="H5466" s="12"/>
      <c r="I5466" s="12"/>
      <c r="J5466" s="12">
        <v>6.8</v>
      </c>
      <c r="K5466" s="12"/>
      <c r="L5466" s="12"/>
      <c r="M5466" s="12">
        <v>4.5999999999999996</v>
      </c>
      <c r="O5466" s="12"/>
      <c r="Q5466" s="12">
        <v>0.5</v>
      </c>
      <c r="R5466" s="12"/>
      <c r="U5466" s="12"/>
      <c r="X5466" s="12"/>
    </row>
    <row r="5467" spans="1:24" x14ac:dyDescent="0.25">
      <c r="A5467" s="22">
        <v>43818</v>
      </c>
      <c r="B5467" s="12">
        <v>0</v>
      </c>
      <c r="C5467" s="12"/>
      <c r="D5467" s="12">
        <v>12.1</v>
      </c>
      <c r="F5467" s="12"/>
      <c r="G5467" s="12"/>
      <c r="H5467" s="12"/>
      <c r="I5467" s="12"/>
      <c r="J5467" s="12">
        <v>2.2999999999999998</v>
      </c>
      <c r="K5467" s="12"/>
      <c r="L5467" s="12"/>
      <c r="M5467" s="12">
        <v>1.1000000000000001</v>
      </c>
      <c r="O5467" s="12"/>
      <c r="Q5467" s="12">
        <v>0</v>
      </c>
      <c r="R5467" s="12"/>
      <c r="U5467" s="12"/>
      <c r="X5467" s="12"/>
    </row>
    <row r="5468" spans="1:24" x14ac:dyDescent="0.25">
      <c r="A5468" s="22">
        <v>43819</v>
      </c>
      <c r="B5468" s="12">
        <v>0</v>
      </c>
      <c r="C5468" s="12"/>
      <c r="D5468" s="12">
        <v>4.0999999999999996</v>
      </c>
      <c r="F5468" s="12"/>
      <c r="G5468" s="12"/>
      <c r="H5468" s="12"/>
      <c r="I5468" s="12"/>
      <c r="J5468" s="12">
        <v>0</v>
      </c>
      <c r="K5468" s="12"/>
      <c r="L5468" s="12"/>
      <c r="M5468" s="12">
        <v>0</v>
      </c>
      <c r="O5468" s="12"/>
      <c r="Q5468" s="12">
        <v>3.3</v>
      </c>
      <c r="R5468" s="12"/>
      <c r="U5468" s="12"/>
      <c r="X5468" s="12"/>
    </row>
    <row r="5469" spans="1:24" x14ac:dyDescent="0.25">
      <c r="A5469" s="22">
        <v>43820</v>
      </c>
      <c r="B5469" s="12">
        <v>0</v>
      </c>
      <c r="C5469" s="12"/>
      <c r="D5469" s="12">
        <v>6.8</v>
      </c>
      <c r="F5469" s="12"/>
      <c r="G5469" s="12"/>
      <c r="H5469" s="12"/>
      <c r="I5469" s="12"/>
      <c r="J5469" s="12">
        <v>0.7</v>
      </c>
      <c r="K5469" s="12"/>
      <c r="L5469" s="12"/>
      <c r="M5469" s="12">
        <v>6.3</v>
      </c>
      <c r="O5469" s="12"/>
      <c r="Q5469" s="12">
        <v>5.0999999999999996</v>
      </c>
      <c r="R5469" s="12"/>
      <c r="U5469" s="12"/>
      <c r="X5469" s="12"/>
    </row>
    <row r="5470" spans="1:24" x14ac:dyDescent="0.25">
      <c r="A5470" s="22">
        <v>43821</v>
      </c>
      <c r="B5470" s="12">
        <v>29</v>
      </c>
      <c r="C5470" s="12"/>
      <c r="D5470" s="12">
        <v>12.2</v>
      </c>
      <c r="F5470" s="12"/>
      <c r="G5470" s="12"/>
      <c r="H5470" s="12"/>
      <c r="I5470" s="12"/>
      <c r="J5470" s="12">
        <v>11.7</v>
      </c>
      <c r="K5470" s="12"/>
      <c r="L5470" s="12"/>
      <c r="M5470" s="12">
        <v>7.6</v>
      </c>
      <c r="O5470" s="12"/>
      <c r="Q5470" s="12">
        <v>6.9</v>
      </c>
      <c r="R5470" s="12"/>
      <c r="U5470" s="12"/>
      <c r="X5470" s="12"/>
    </row>
    <row r="5471" spans="1:24" x14ac:dyDescent="0.25">
      <c r="A5471" s="22">
        <v>43822</v>
      </c>
      <c r="B5471" s="12">
        <v>0</v>
      </c>
      <c r="C5471" s="12"/>
      <c r="D5471" s="12">
        <v>13.4</v>
      </c>
      <c r="F5471" s="12"/>
      <c r="G5471" s="12"/>
      <c r="H5471" s="12"/>
      <c r="I5471" s="12"/>
      <c r="J5471" s="12">
        <v>20.2</v>
      </c>
      <c r="K5471" s="12"/>
      <c r="L5471" s="12"/>
      <c r="M5471" s="12">
        <v>5.4</v>
      </c>
      <c r="O5471" s="12"/>
      <c r="Q5471" s="12">
        <v>0.4</v>
      </c>
      <c r="R5471" s="12"/>
      <c r="U5471" s="12"/>
      <c r="X5471" s="12"/>
    </row>
    <row r="5472" spans="1:24" x14ac:dyDescent="0.25">
      <c r="A5472" s="22">
        <v>43823</v>
      </c>
      <c r="B5472" s="12">
        <v>0</v>
      </c>
      <c r="C5472" s="12"/>
      <c r="D5472" s="12">
        <v>2.2000000000000002</v>
      </c>
      <c r="F5472" s="12"/>
      <c r="G5472" s="12"/>
      <c r="H5472" s="12"/>
      <c r="I5472" s="12"/>
      <c r="J5472" s="12">
        <v>0.6</v>
      </c>
      <c r="K5472" s="12"/>
      <c r="L5472" s="12"/>
      <c r="M5472" s="12">
        <v>6.9</v>
      </c>
      <c r="O5472" s="12"/>
      <c r="Q5472" s="12">
        <v>2.5</v>
      </c>
      <c r="R5472" s="12"/>
      <c r="U5472" s="12"/>
      <c r="X5472" s="12"/>
    </row>
    <row r="5473" spans="1:24" x14ac:dyDescent="0.25">
      <c r="A5473" s="22">
        <v>43824</v>
      </c>
      <c r="B5473" s="12">
        <v>0</v>
      </c>
      <c r="C5473" s="12"/>
      <c r="D5473" s="12">
        <v>4.3</v>
      </c>
      <c r="F5473" s="12"/>
      <c r="G5473" s="12"/>
      <c r="H5473" s="12"/>
      <c r="I5473" s="12"/>
      <c r="J5473" s="12">
        <v>2.8</v>
      </c>
      <c r="K5473" s="12"/>
      <c r="L5473" s="12"/>
      <c r="M5473" s="12">
        <v>0.9</v>
      </c>
      <c r="O5473" s="12"/>
      <c r="Q5473" s="12">
        <v>0</v>
      </c>
      <c r="R5473" s="12"/>
      <c r="U5473" s="12"/>
      <c r="X5473" s="12"/>
    </row>
    <row r="5474" spans="1:24" x14ac:dyDescent="0.25">
      <c r="A5474" s="22">
        <v>43825</v>
      </c>
      <c r="B5474" s="12">
        <v>0</v>
      </c>
      <c r="C5474" s="12"/>
      <c r="D5474" s="12">
        <v>9.6999999999999993</v>
      </c>
      <c r="F5474" s="12"/>
      <c r="G5474" s="12"/>
      <c r="H5474" s="12"/>
      <c r="I5474" s="12"/>
      <c r="J5474" s="12">
        <v>0.3</v>
      </c>
      <c r="K5474" s="12"/>
      <c r="L5474" s="12"/>
      <c r="M5474" s="12">
        <v>0</v>
      </c>
      <c r="O5474" s="12"/>
      <c r="Q5474" s="12">
        <v>0</v>
      </c>
      <c r="R5474" s="12"/>
      <c r="U5474" s="12"/>
      <c r="X5474" s="12"/>
    </row>
    <row r="5475" spans="1:24" x14ac:dyDescent="0.25">
      <c r="A5475" s="22">
        <v>43826</v>
      </c>
      <c r="B5475" s="12">
        <v>0</v>
      </c>
      <c r="C5475" s="12"/>
      <c r="D5475" s="12">
        <v>6.1</v>
      </c>
      <c r="F5475" s="12"/>
      <c r="G5475" s="12"/>
      <c r="H5475" s="12"/>
      <c r="I5475" s="12"/>
      <c r="J5475" s="12">
        <v>0</v>
      </c>
      <c r="K5475" s="12"/>
      <c r="L5475" s="12"/>
      <c r="M5475" s="12">
        <v>0</v>
      </c>
      <c r="O5475" s="12"/>
      <c r="Q5475" s="12">
        <v>0</v>
      </c>
      <c r="R5475" s="12"/>
      <c r="U5475" s="12"/>
      <c r="X5475" s="12"/>
    </row>
    <row r="5476" spans="1:24" x14ac:dyDescent="0.25">
      <c r="A5476" s="22">
        <v>43827</v>
      </c>
      <c r="B5476" s="12">
        <v>0</v>
      </c>
      <c r="C5476" s="12"/>
      <c r="D5476" s="12">
        <v>0</v>
      </c>
      <c r="F5476" s="12"/>
      <c r="G5476" s="12"/>
      <c r="H5476" s="12"/>
      <c r="I5476" s="12"/>
      <c r="J5476" s="12">
        <v>0</v>
      </c>
      <c r="K5476" s="12"/>
      <c r="L5476" s="12"/>
      <c r="M5476" s="12">
        <v>0</v>
      </c>
      <c r="O5476" s="12"/>
      <c r="Q5476" s="12">
        <v>0</v>
      </c>
      <c r="R5476" s="12"/>
      <c r="U5476" s="12"/>
      <c r="X5476" s="12"/>
    </row>
    <row r="5477" spans="1:24" x14ac:dyDescent="0.25">
      <c r="A5477" s="22">
        <v>43828</v>
      </c>
      <c r="B5477" s="12">
        <v>0</v>
      </c>
      <c r="C5477" s="12"/>
      <c r="D5477" s="12">
        <v>0</v>
      </c>
      <c r="F5477" s="12"/>
      <c r="G5477" s="12"/>
      <c r="H5477" s="12"/>
      <c r="I5477" s="12"/>
      <c r="J5477" s="12">
        <v>0</v>
      </c>
      <c r="K5477" s="12"/>
      <c r="L5477" s="12"/>
      <c r="M5477" s="12">
        <v>0</v>
      </c>
      <c r="O5477" s="12"/>
      <c r="Q5477" s="12">
        <v>0</v>
      </c>
      <c r="R5477" s="12"/>
      <c r="U5477" s="12"/>
      <c r="X5477" s="12"/>
    </row>
    <row r="5478" spans="1:24" x14ac:dyDescent="0.25">
      <c r="A5478" s="22">
        <v>43829</v>
      </c>
      <c r="B5478" s="12">
        <v>5</v>
      </c>
      <c r="C5478" s="12"/>
      <c r="D5478" s="12">
        <v>1.5</v>
      </c>
      <c r="F5478" s="12"/>
      <c r="G5478" s="12"/>
      <c r="H5478" s="12"/>
      <c r="I5478" s="12"/>
      <c r="J5478" s="12">
        <v>0</v>
      </c>
      <c r="K5478" s="12"/>
      <c r="L5478" s="12"/>
      <c r="M5478" s="12">
        <v>0</v>
      </c>
      <c r="O5478" s="12"/>
      <c r="Q5478" s="12">
        <v>0</v>
      </c>
      <c r="R5478" s="12"/>
      <c r="U5478" s="12"/>
      <c r="X5478" s="12"/>
    </row>
    <row r="5479" spans="1:24" x14ac:dyDescent="0.25">
      <c r="A5479" s="22">
        <v>43830</v>
      </c>
      <c r="B5479" s="12"/>
      <c r="C5479" s="12"/>
      <c r="D5479" s="12">
        <v>0</v>
      </c>
      <c r="F5479" s="12"/>
      <c r="G5479" s="12"/>
      <c r="H5479" s="12"/>
      <c r="I5479" s="12"/>
      <c r="J5479" s="12">
        <v>0.3</v>
      </c>
      <c r="K5479" s="12"/>
      <c r="L5479" s="12"/>
      <c r="M5479" s="12">
        <v>0</v>
      </c>
      <c r="O5479" s="12"/>
      <c r="Q5479" s="12">
        <v>0</v>
      </c>
      <c r="R5479" s="12"/>
      <c r="U5479" s="12"/>
      <c r="X5479" s="12"/>
    </row>
    <row r="5480" spans="1:24" x14ac:dyDescent="0.25">
      <c r="A5480" s="22">
        <v>43831</v>
      </c>
      <c r="C5480" s="12">
        <v>0.5</v>
      </c>
      <c r="D5480" s="12">
        <v>0</v>
      </c>
      <c r="F5480" s="13"/>
      <c r="G5480" s="12">
        <v>0</v>
      </c>
      <c r="H5480" s="12"/>
      <c r="I5480" s="13"/>
      <c r="J5480" s="12">
        <v>0.1</v>
      </c>
      <c r="K5480" s="12"/>
      <c r="M5480" s="12">
        <v>0</v>
      </c>
      <c r="Q5480" s="12">
        <v>0</v>
      </c>
      <c r="R5480" s="12"/>
      <c r="U5480" s="12"/>
      <c r="X5480" s="12"/>
    </row>
    <row r="5481" spans="1:24" x14ac:dyDescent="0.25">
      <c r="A5481" s="22">
        <v>43832</v>
      </c>
      <c r="C5481" s="12">
        <v>1.8</v>
      </c>
      <c r="D5481" s="12">
        <v>4.8</v>
      </c>
      <c r="F5481" s="13"/>
      <c r="G5481" s="12">
        <v>13.2</v>
      </c>
      <c r="H5481" s="12"/>
      <c r="I5481" s="13"/>
      <c r="J5481" s="12">
        <v>0.9</v>
      </c>
      <c r="K5481" s="12"/>
      <c r="M5481" s="12">
        <v>0</v>
      </c>
      <c r="Q5481" s="12">
        <v>1.8</v>
      </c>
      <c r="R5481" s="12"/>
      <c r="U5481" s="12"/>
      <c r="X5481" s="12"/>
    </row>
    <row r="5482" spans="1:24" x14ac:dyDescent="0.25">
      <c r="A5482" s="22">
        <v>43833</v>
      </c>
      <c r="C5482" s="12">
        <v>10</v>
      </c>
      <c r="D5482" s="12">
        <v>0</v>
      </c>
      <c r="F5482" s="13"/>
      <c r="G5482" s="12">
        <v>1.2</v>
      </c>
      <c r="H5482" s="12"/>
      <c r="I5482" s="13"/>
      <c r="J5482" s="12">
        <v>1</v>
      </c>
      <c r="K5482" s="12"/>
      <c r="M5482" s="12">
        <v>3.5</v>
      </c>
      <c r="Q5482" s="12">
        <v>0</v>
      </c>
      <c r="R5482" s="12"/>
      <c r="U5482" s="12"/>
      <c r="X5482" s="12"/>
    </row>
    <row r="5483" spans="1:24" x14ac:dyDescent="0.25">
      <c r="A5483" s="22">
        <v>43834</v>
      </c>
      <c r="C5483" s="12">
        <v>0</v>
      </c>
      <c r="D5483" s="12">
        <v>0</v>
      </c>
      <c r="F5483" s="13"/>
      <c r="G5483" s="12">
        <v>5.0999999999999996</v>
      </c>
      <c r="H5483" s="12"/>
      <c r="I5483" s="13"/>
      <c r="J5483" s="12">
        <v>0.2</v>
      </c>
      <c r="K5483" s="12"/>
      <c r="M5483" s="12">
        <v>3.5</v>
      </c>
      <c r="Q5483" s="12">
        <v>5.4</v>
      </c>
      <c r="R5483" s="12"/>
      <c r="U5483" s="12"/>
      <c r="X5483" s="12"/>
    </row>
    <row r="5484" spans="1:24" x14ac:dyDescent="0.25">
      <c r="A5484" s="22">
        <v>43835</v>
      </c>
      <c r="C5484" s="12">
        <v>4.5999999999999996</v>
      </c>
      <c r="D5484" s="13">
        <v>2.1</v>
      </c>
      <c r="F5484" s="13"/>
      <c r="G5484" s="12">
        <v>7.3</v>
      </c>
      <c r="H5484" s="12"/>
      <c r="I5484" s="13"/>
      <c r="J5484" s="12">
        <v>6.3</v>
      </c>
      <c r="K5484" s="12"/>
      <c r="M5484" s="12">
        <v>10</v>
      </c>
      <c r="Q5484" s="12">
        <v>0.8</v>
      </c>
      <c r="R5484" s="12"/>
      <c r="U5484" s="12"/>
      <c r="X5484" s="12"/>
    </row>
    <row r="5485" spans="1:24" x14ac:dyDescent="0.25">
      <c r="A5485" s="22">
        <v>43836</v>
      </c>
      <c r="C5485" s="12">
        <v>0</v>
      </c>
      <c r="D5485" s="13">
        <v>2.9</v>
      </c>
      <c r="F5485" s="13"/>
      <c r="G5485" s="12">
        <v>1.4</v>
      </c>
      <c r="H5485" s="12"/>
      <c r="I5485" s="13"/>
      <c r="J5485" s="12">
        <v>0</v>
      </c>
      <c r="K5485" s="12"/>
      <c r="M5485" s="12">
        <v>0.5</v>
      </c>
      <c r="Q5485" s="12">
        <v>22.1</v>
      </c>
      <c r="R5485" s="12"/>
      <c r="U5485" s="12"/>
      <c r="X5485" s="12"/>
    </row>
    <row r="5486" spans="1:24" x14ac:dyDescent="0.25">
      <c r="A5486" s="22">
        <v>43837</v>
      </c>
      <c r="C5486" s="12">
        <v>8</v>
      </c>
      <c r="D5486" s="13">
        <v>12.3</v>
      </c>
      <c r="F5486" s="13"/>
      <c r="G5486" s="12">
        <v>16.2</v>
      </c>
      <c r="H5486" s="12"/>
      <c r="I5486" s="13"/>
      <c r="J5486" s="12">
        <v>10.8</v>
      </c>
      <c r="K5486" s="12"/>
      <c r="M5486" s="12">
        <v>17.600000000000001</v>
      </c>
      <c r="Q5486" s="12">
        <v>0</v>
      </c>
      <c r="R5486" s="12"/>
      <c r="U5486" s="12"/>
      <c r="X5486" s="12"/>
    </row>
    <row r="5487" spans="1:24" x14ac:dyDescent="0.25">
      <c r="A5487" s="22">
        <v>43838</v>
      </c>
      <c r="C5487" s="12">
        <v>0</v>
      </c>
      <c r="D5487" s="12">
        <v>0</v>
      </c>
      <c r="F5487" s="13"/>
      <c r="G5487" s="12">
        <v>0.4</v>
      </c>
      <c r="H5487" s="12"/>
      <c r="I5487" s="13"/>
      <c r="J5487" s="12">
        <v>0.3</v>
      </c>
      <c r="K5487" s="12"/>
      <c r="M5487" s="12">
        <v>0</v>
      </c>
      <c r="Q5487" s="12">
        <v>0.5</v>
      </c>
      <c r="R5487" s="12"/>
      <c r="U5487" s="12"/>
      <c r="X5487" s="12"/>
    </row>
    <row r="5488" spans="1:24" x14ac:dyDescent="0.25">
      <c r="A5488" s="22">
        <v>43839</v>
      </c>
      <c r="C5488" s="12">
        <v>1.2</v>
      </c>
      <c r="D5488" s="12">
        <v>2</v>
      </c>
      <c r="F5488" s="13"/>
      <c r="G5488" s="12">
        <v>9.1</v>
      </c>
      <c r="H5488" s="12"/>
      <c r="I5488" s="13"/>
      <c r="J5488" s="12">
        <v>13.3</v>
      </c>
      <c r="K5488" s="12"/>
      <c r="M5488" s="12">
        <v>7.2</v>
      </c>
      <c r="Q5488" s="12">
        <v>6.4</v>
      </c>
      <c r="R5488" s="12"/>
      <c r="U5488" s="12"/>
      <c r="X5488" s="12"/>
    </row>
    <row r="5489" spans="1:29" x14ac:dyDescent="0.25">
      <c r="A5489" s="22">
        <v>43840</v>
      </c>
      <c r="C5489" s="12">
        <v>14</v>
      </c>
      <c r="D5489" s="12">
        <v>21.2</v>
      </c>
      <c r="F5489" s="13"/>
      <c r="G5489" s="12">
        <v>9</v>
      </c>
      <c r="H5489" s="12"/>
      <c r="I5489" s="13"/>
      <c r="J5489" s="12">
        <v>20.100000000000001</v>
      </c>
      <c r="K5489" s="12"/>
      <c r="M5489" s="12">
        <v>10.5</v>
      </c>
      <c r="Q5489" s="12">
        <v>0</v>
      </c>
      <c r="R5489" s="12"/>
      <c r="U5489" s="12"/>
      <c r="X5489" s="12"/>
    </row>
    <row r="5490" spans="1:29" x14ac:dyDescent="0.25">
      <c r="A5490" s="22">
        <v>43841</v>
      </c>
      <c r="C5490" s="12">
        <v>0.6</v>
      </c>
      <c r="D5490" s="12">
        <v>4.0999999999999996</v>
      </c>
      <c r="F5490" s="13"/>
      <c r="G5490" s="12">
        <v>0.5</v>
      </c>
      <c r="H5490" s="12"/>
      <c r="I5490" s="13"/>
      <c r="J5490" s="12">
        <v>0</v>
      </c>
      <c r="K5490" s="12"/>
      <c r="M5490" s="12">
        <v>1.5</v>
      </c>
      <c r="Q5490" s="12">
        <v>1.5</v>
      </c>
      <c r="R5490" s="12"/>
      <c r="U5490" s="12"/>
      <c r="X5490" s="12"/>
    </row>
    <row r="5491" spans="1:29" x14ac:dyDescent="0.25">
      <c r="A5491" s="22">
        <v>43842</v>
      </c>
      <c r="C5491" s="12">
        <v>7.2</v>
      </c>
      <c r="D5491" s="12">
        <v>16.8</v>
      </c>
      <c r="F5491" s="13"/>
      <c r="G5491" s="12">
        <v>4.0999999999999996</v>
      </c>
      <c r="H5491" s="12"/>
      <c r="I5491" s="13"/>
      <c r="J5491" s="12">
        <v>14.4</v>
      </c>
      <c r="K5491" s="12"/>
      <c r="M5491" s="12">
        <v>5.0999999999999996</v>
      </c>
      <c r="Q5491" s="12">
        <v>4.0999999999999996</v>
      </c>
      <c r="R5491" s="12"/>
      <c r="U5491" s="12"/>
      <c r="X5491" s="12"/>
    </row>
    <row r="5492" spans="1:29" x14ac:dyDescent="0.25">
      <c r="A5492" s="22">
        <v>43843</v>
      </c>
      <c r="C5492" s="12">
        <v>9.4</v>
      </c>
      <c r="D5492" s="12">
        <v>10.5</v>
      </c>
      <c r="F5492" s="13"/>
      <c r="G5492" s="12">
        <v>7.7</v>
      </c>
      <c r="H5492" s="12"/>
      <c r="I5492" s="13"/>
      <c r="J5492" s="12">
        <v>18.100000000000001</v>
      </c>
      <c r="K5492" s="12"/>
      <c r="M5492" s="12">
        <v>5.0999999999999996</v>
      </c>
      <c r="Q5492" s="12">
        <v>0.7</v>
      </c>
      <c r="R5492" s="12"/>
      <c r="U5492" s="12"/>
      <c r="X5492" s="12"/>
    </row>
    <row r="5493" spans="1:29" x14ac:dyDescent="0.25">
      <c r="A5493" s="22">
        <v>43844</v>
      </c>
      <c r="C5493" s="12">
        <v>11.9</v>
      </c>
      <c r="D5493" s="12">
        <v>7.3</v>
      </c>
      <c r="F5493" s="13"/>
      <c r="G5493" s="12">
        <v>2.4</v>
      </c>
      <c r="H5493" s="12"/>
      <c r="I5493" s="13"/>
      <c r="J5493" s="12">
        <v>0.1</v>
      </c>
      <c r="K5493" s="12"/>
      <c r="M5493" s="12">
        <v>1.2</v>
      </c>
      <c r="Q5493" s="12">
        <v>4.5</v>
      </c>
      <c r="R5493" s="12"/>
      <c r="U5493" s="12"/>
      <c r="X5493" s="12"/>
    </row>
    <row r="5494" spans="1:29" x14ac:dyDescent="0.25">
      <c r="A5494" s="22">
        <v>43845</v>
      </c>
      <c r="C5494" s="12">
        <v>10.5</v>
      </c>
      <c r="D5494" s="12">
        <v>10.1</v>
      </c>
      <c r="F5494" s="13"/>
      <c r="G5494" s="12">
        <v>12</v>
      </c>
      <c r="H5494" s="12"/>
      <c r="I5494" s="13"/>
      <c r="J5494" s="12">
        <v>23.1</v>
      </c>
      <c r="K5494" s="12"/>
      <c r="M5494" s="12">
        <v>10.7</v>
      </c>
      <c r="Q5494" s="12">
        <v>0</v>
      </c>
      <c r="R5494" s="12"/>
      <c r="U5494" s="12"/>
      <c r="X5494" s="12"/>
    </row>
    <row r="5495" spans="1:29" x14ac:dyDescent="0.25">
      <c r="A5495" s="22">
        <v>43846</v>
      </c>
      <c r="C5495" s="12">
        <v>0</v>
      </c>
      <c r="D5495" s="12">
        <v>4.9000000000000004</v>
      </c>
      <c r="F5495" s="13"/>
      <c r="G5495" s="13">
        <v>0</v>
      </c>
      <c r="H5495" s="12"/>
      <c r="I5495" s="13"/>
      <c r="J5495" s="12">
        <v>0.8</v>
      </c>
      <c r="K5495" s="12"/>
      <c r="M5495" s="12">
        <v>0</v>
      </c>
      <c r="Q5495" s="12">
        <v>3</v>
      </c>
      <c r="R5495" s="12"/>
      <c r="U5495" s="12"/>
      <c r="X5495" s="12"/>
    </row>
    <row r="5496" spans="1:29" x14ac:dyDescent="0.25">
      <c r="A5496" s="22">
        <v>43847</v>
      </c>
      <c r="C5496" s="12">
        <v>0.2</v>
      </c>
      <c r="D5496" s="12">
        <v>0</v>
      </c>
      <c r="F5496" s="13"/>
      <c r="G5496" s="12">
        <v>0.3</v>
      </c>
      <c r="H5496" s="12"/>
      <c r="I5496" s="13"/>
      <c r="J5496" s="12">
        <v>0.8</v>
      </c>
      <c r="K5496" s="12"/>
      <c r="M5496" s="12">
        <v>0</v>
      </c>
      <c r="Q5496" s="12">
        <v>0</v>
      </c>
      <c r="R5496" s="12"/>
      <c r="U5496" s="12"/>
      <c r="X5496" s="12"/>
    </row>
    <row r="5497" spans="1:29" x14ac:dyDescent="0.25">
      <c r="A5497" s="22">
        <v>43848</v>
      </c>
      <c r="C5497" s="12">
        <v>0</v>
      </c>
      <c r="D5497" s="12">
        <v>0</v>
      </c>
      <c r="F5497" s="13"/>
      <c r="G5497" s="12">
        <v>0.9</v>
      </c>
      <c r="H5497" s="12"/>
      <c r="I5497" s="13"/>
      <c r="J5497" s="12">
        <v>0</v>
      </c>
      <c r="K5497" s="12"/>
      <c r="M5497" s="12">
        <v>1.4</v>
      </c>
      <c r="Q5497" s="12">
        <v>0</v>
      </c>
      <c r="R5497" s="12"/>
      <c r="U5497" s="12"/>
      <c r="X5497" s="12"/>
    </row>
    <row r="5498" spans="1:29" x14ac:dyDescent="0.25">
      <c r="A5498" s="22">
        <v>43849</v>
      </c>
      <c r="C5498" s="12">
        <v>2.9</v>
      </c>
      <c r="D5498" s="12">
        <v>3.2</v>
      </c>
      <c r="F5498" s="13"/>
      <c r="G5498" s="12">
        <v>0</v>
      </c>
      <c r="H5498" s="12"/>
      <c r="I5498" s="13"/>
      <c r="J5498" s="12">
        <v>0</v>
      </c>
      <c r="K5498" s="12"/>
      <c r="M5498" s="12">
        <v>0</v>
      </c>
      <c r="Q5498" s="12">
        <v>4.8</v>
      </c>
      <c r="R5498" s="12"/>
      <c r="U5498" s="12"/>
      <c r="X5498" s="12"/>
    </row>
    <row r="5499" spans="1:29" x14ac:dyDescent="0.25">
      <c r="A5499" s="22">
        <v>43850</v>
      </c>
      <c r="C5499" s="12">
        <v>2</v>
      </c>
      <c r="D5499" s="12">
        <v>1.3</v>
      </c>
      <c r="F5499" s="13"/>
      <c r="G5499" s="12">
        <v>3.8</v>
      </c>
      <c r="H5499" s="12"/>
      <c r="I5499" s="13"/>
      <c r="J5499" s="12">
        <v>3.8</v>
      </c>
      <c r="K5499" s="12"/>
      <c r="M5499" s="12">
        <v>3.3</v>
      </c>
      <c r="Q5499" s="12">
        <v>0.1</v>
      </c>
      <c r="R5499" s="12"/>
      <c r="U5499" s="12"/>
      <c r="X5499" s="12"/>
    </row>
    <row r="5500" spans="1:29" x14ac:dyDescent="0.25">
      <c r="A5500" s="22">
        <v>43851</v>
      </c>
      <c r="C5500" s="12">
        <v>0</v>
      </c>
      <c r="D5500" s="12">
        <v>0</v>
      </c>
      <c r="F5500" s="13"/>
      <c r="G5500" s="12">
        <v>0</v>
      </c>
      <c r="H5500" s="12"/>
      <c r="I5500" s="13"/>
      <c r="J5500" s="12">
        <v>0</v>
      </c>
      <c r="K5500" s="12"/>
      <c r="M5500" s="12">
        <v>0</v>
      </c>
      <c r="Q5500" s="12">
        <v>1.7</v>
      </c>
      <c r="R5500" s="12"/>
      <c r="U5500" s="12"/>
      <c r="X5500" s="12"/>
    </row>
    <row r="5501" spans="1:29" x14ac:dyDescent="0.25">
      <c r="A5501" s="22">
        <v>43852</v>
      </c>
      <c r="C5501" s="12">
        <v>0.7</v>
      </c>
      <c r="D5501" s="12">
        <v>2.1</v>
      </c>
      <c r="F5501" s="13"/>
      <c r="G5501" s="12">
        <v>2.9</v>
      </c>
      <c r="H5501" s="12"/>
      <c r="I5501" s="13"/>
      <c r="J5501" s="12">
        <v>0.2</v>
      </c>
      <c r="K5501" s="12"/>
      <c r="M5501" s="12">
        <v>3.7</v>
      </c>
      <c r="Q5501" s="12">
        <v>0.1</v>
      </c>
      <c r="R5501" s="12"/>
      <c r="U5501" s="12"/>
      <c r="X5501" s="12"/>
      <c r="AC5501" s="38">
        <v>0</v>
      </c>
    </row>
    <row r="5502" spans="1:29" x14ac:dyDescent="0.25">
      <c r="A5502" s="22">
        <v>43853</v>
      </c>
      <c r="C5502" s="12">
        <v>0.9</v>
      </c>
      <c r="D5502" s="12">
        <v>2</v>
      </c>
      <c r="F5502" s="13"/>
      <c r="G5502" s="12">
        <v>0.3</v>
      </c>
      <c r="H5502" s="12"/>
      <c r="I5502" s="13"/>
      <c r="J5502" s="12">
        <v>0</v>
      </c>
      <c r="K5502" s="12"/>
      <c r="M5502" s="12">
        <v>0.7</v>
      </c>
      <c r="Q5502" s="12">
        <v>0.5</v>
      </c>
      <c r="R5502" s="12"/>
      <c r="U5502" s="12"/>
      <c r="X5502" s="12"/>
      <c r="AC5502" s="38">
        <v>0.4</v>
      </c>
    </row>
    <row r="5503" spans="1:29" x14ac:dyDescent="0.25">
      <c r="A5503" s="22">
        <v>43854</v>
      </c>
      <c r="C5503" s="12">
        <v>0</v>
      </c>
      <c r="D5503" s="12">
        <v>0</v>
      </c>
      <c r="F5503" s="13"/>
      <c r="G5503" s="12">
        <v>18.600000000000001</v>
      </c>
      <c r="H5503" s="12"/>
      <c r="I5503" s="13"/>
      <c r="J5503" s="12">
        <v>0</v>
      </c>
      <c r="K5503" s="12"/>
      <c r="M5503" s="12">
        <v>0.4</v>
      </c>
      <c r="Q5503" s="12">
        <v>25.6</v>
      </c>
      <c r="R5503" s="12"/>
      <c r="U5503" s="12"/>
      <c r="X5503" s="12"/>
      <c r="AC5503" s="38">
        <v>7.8</v>
      </c>
    </row>
    <row r="5504" spans="1:29" x14ac:dyDescent="0.25">
      <c r="A5504" s="22">
        <v>43855</v>
      </c>
      <c r="C5504" s="12">
        <v>17.399999999999999</v>
      </c>
      <c r="D5504" s="12">
        <v>5.0999999999999996</v>
      </c>
      <c r="F5504" s="13"/>
      <c r="G5504" s="12">
        <v>0.7</v>
      </c>
      <c r="H5504" s="12"/>
      <c r="I5504" s="12"/>
      <c r="J5504" s="12">
        <v>20.2</v>
      </c>
      <c r="K5504" s="12"/>
      <c r="M5504" s="12">
        <v>23.1</v>
      </c>
      <c r="Q5504" s="12">
        <v>5.4</v>
      </c>
      <c r="R5504" s="12"/>
      <c r="U5504" s="12"/>
      <c r="X5504" s="12"/>
      <c r="AC5504" s="38">
        <v>0.4</v>
      </c>
    </row>
    <row r="5505" spans="1:29" x14ac:dyDescent="0.25">
      <c r="A5505" s="22">
        <v>43856</v>
      </c>
      <c r="C5505" s="12">
        <v>0.5</v>
      </c>
      <c r="D5505" s="12">
        <v>2.4</v>
      </c>
      <c r="F5505" s="13"/>
      <c r="G5505" s="12">
        <v>0</v>
      </c>
      <c r="H5505" s="12"/>
      <c r="I5505" s="12"/>
      <c r="J5505" s="12">
        <v>2.2999999999999998</v>
      </c>
      <c r="K5505" s="12"/>
      <c r="M5505" s="12">
        <v>1.5</v>
      </c>
      <c r="Q5505" s="12">
        <v>0.1</v>
      </c>
      <c r="R5505" s="12"/>
      <c r="U5505" s="12"/>
      <c r="X5505" s="12"/>
      <c r="AC5505" s="38">
        <v>0</v>
      </c>
    </row>
    <row r="5506" spans="1:29" x14ac:dyDescent="0.25">
      <c r="A5506" s="22">
        <v>43857</v>
      </c>
      <c r="C5506" s="12">
        <v>0</v>
      </c>
      <c r="D5506" s="12">
        <v>0</v>
      </c>
      <c r="F5506" s="13"/>
      <c r="G5506" s="12">
        <v>0</v>
      </c>
      <c r="H5506" s="12"/>
      <c r="I5506" s="12"/>
      <c r="J5506" s="12">
        <v>0</v>
      </c>
      <c r="K5506" s="12"/>
      <c r="M5506" s="12">
        <v>0</v>
      </c>
      <c r="Q5506" s="12">
        <v>0</v>
      </c>
      <c r="R5506" s="12"/>
      <c r="U5506" s="12"/>
      <c r="X5506" s="12"/>
      <c r="AC5506" s="38">
        <v>0</v>
      </c>
    </row>
    <row r="5507" spans="1:29" x14ac:dyDescent="0.25">
      <c r="A5507" s="22">
        <v>43858</v>
      </c>
      <c r="C5507" s="12">
        <v>0</v>
      </c>
      <c r="D5507" s="12">
        <v>0</v>
      </c>
      <c r="F5507" s="13"/>
      <c r="G5507" s="12">
        <v>9.3000000000000007</v>
      </c>
      <c r="H5507" s="12"/>
      <c r="I5507" s="12"/>
      <c r="J5507" s="12">
        <v>0</v>
      </c>
      <c r="K5507" s="12"/>
      <c r="M5507" s="12">
        <v>0</v>
      </c>
      <c r="Q5507" s="12">
        <v>9.6</v>
      </c>
      <c r="R5507" s="12"/>
      <c r="U5507" s="12"/>
      <c r="X5507" s="12"/>
      <c r="AC5507" s="38">
        <v>0</v>
      </c>
    </row>
    <row r="5508" spans="1:29" x14ac:dyDescent="0.25">
      <c r="A5508" s="22">
        <v>43859</v>
      </c>
      <c r="C5508" s="12">
        <v>1.8</v>
      </c>
      <c r="D5508" s="12">
        <v>37.700000000000003</v>
      </c>
      <c r="F5508" s="13"/>
      <c r="G5508" s="12">
        <v>9.1999999999999993</v>
      </c>
      <c r="H5508" s="12"/>
      <c r="I5508" s="12"/>
      <c r="J5508" s="12">
        <v>0.3</v>
      </c>
      <c r="K5508" s="12"/>
      <c r="M5508" s="12">
        <v>2.4</v>
      </c>
      <c r="Q5508" s="12">
        <v>25.1</v>
      </c>
      <c r="R5508" s="12"/>
      <c r="U5508" s="12"/>
      <c r="X5508" s="12"/>
      <c r="AC5508" s="38">
        <v>11.599999999999998</v>
      </c>
    </row>
    <row r="5509" spans="1:29" x14ac:dyDescent="0.25">
      <c r="A5509" s="22">
        <v>43860</v>
      </c>
      <c r="C5509" s="12">
        <v>10.199999999999999</v>
      </c>
      <c r="D5509" s="12">
        <v>12.5</v>
      </c>
      <c r="F5509" s="13"/>
      <c r="G5509" s="12"/>
      <c r="H5509" s="12"/>
      <c r="I5509" s="12"/>
      <c r="J5509" s="12">
        <v>13.3</v>
      </c>
      <c r="K5509" s="12"/>
      <c r="M5509" s="12">
        <v>5.3</v>
      </c>
      <c r="Q5509" s="12">
        <v>0.9</v>
      </c>
      <c r="R5509" s="12"/>
      <c r="U5509" s="12"/>
      <c r="X5509" s="12"/>
      <c r="AC5509" s="38">
        <v>1.5999999999999999</v>
      </c>
    </row>
    <row r="5510" spans="1:29" x14ac:dyDescent="0.25">
      <c r="A5510" s="22">
        <v>43861</v>
      </c>
      <c r="C5510" s="12">
        <v>0.7</v>
      </c>
      <c r="D5510" s="12">
        <v>1</v>
      </c>
      <c r="F5510" s="13"/>
      <c r="G5510" s="12"/>
      <c r="H5510" s="12"/>
      <c r="I5510" s="12"/>
      <c r="J5510" s="12">
        <v>0.9</v>
      </c>
      <c r="K5510" s="12"/>
      <c r="M5510" s="12">
        <v>0</v>
      </c>
      <c r="Q5510" s="12">
        <v>0</v>
      </c>
      <c r="R5510" s="12"/>
      <c r="U5510" s="12"/>
      <c r="X5510" s="12"/>
      <c r="AC5510" s="38">
        <v>0</v>
      </c>
    </row>
    <row r="5511" spans="1:29" x14ac:dyDescent="0.25">
      <c r="A5511" s="22">
        <v>43862</v>
      </c>
      <c r="D5511" s="12">
        <v>0</v>
      </c>
      <c r="F5511" s="13"/>
      <c r="G5511" s="12">
        <v>0.7</v>
      </c>
      <c r="H5511" s="12"/>
      <c r="I5511" s="13"/>
      <c r="J5511" s="12">
        <v>0</v>
      </c>
      <c r="K5511" s="12">
        <v>4.5999999999999996</v>
      </c>
      <c r="M5511" s="12">
        <v>0.4</v>
      </c>
      <c r="Q5511" s="12">
        <v>0</v>
      </c>
      <c r="R5511" s="12"/>
      <c r="U5511" s="12"/>
      <c r="X5511" s="12"/>
      <c r="AC5511" s="38">
        <v>0.2</v>
      </c>
    </row>
    <row r="5512" spans="1:29" x14ac:dyDescent="0.25">
      <c r="A5512" s="22">
        <v>43863</v>
      </c>
      <c r="D5512" s="12">
        <v>0</v>
      </c>
      <c r="F5512" s="13"/>
      <c r="G5512" s="12">
        <v>0.4</v>
      </c>
      <c r="H5512" s="12"/>
      <c r="I5512" s="13"/>
      <c r="J5512" s="12">
        <v>6.7</v>
      </c>
      <c r="K5512" s="12">
        <v>0</v>
      </c>
      <c r="M5512" s="12">
        <v>0.5</v>
      </c>
      <c r="Q5512" s="12">
        <v>0</v>
      </c>
      <c r="R5512" s="12"/>
      <c r="U5512" s="12"/>
      <c r="X5512" s="12"/>
      <c r="AC5512" s="38">
        <v>0</v>
      </c>
    </row>
    <row r="5513" spans="1:29" x14ac:dyDescent="0.25">
      <c r="A5513" s="22">
        <v>43864</v>
      </c>
      <c r="D5513" s="12">
        <v>0</v>
      </c>
      <c r="F5513" s="13"/>
      <c r="G5513" s="12">
        <v>0</v>
      </c>
      <c r="H5513" s="12"/>
      <c r="I5513" s="13"/>
      <c r="J5513" s="12">
        <v>0</v>
      </c>
      <c r="K5513" s="12">
        <v>0</v>
      </c>
      <c r="M5513" s="12">
        <v>0</v>
      </c>
      <c r="Q5513" s="12">
        <v>1.1000000000000001</v>
      </c>
      <c r="R5513" s="12"/>
      <c r="U5513" s="12"/>
      <c r="X5513" s="12"/>
      <c r="AC5513" s="38">
        <v>0</v>
      </c>
    </row>
    <row r="5514" spans="1:29" x14ac:dyDescent="0.25">
      <c r="A5514" s="22">
        <v>43865</v>
      </c>
      <c r="D5514" s="12">
        <v>0</v>
      </c>
      <c r="F5514" s="13"/>
      <c r="G5514" s="12">
        <v>1.5</v>
      </c>
      <c r="H5514" s="12"/>
      <c r="I5514" s="13"/>
      <c r="J5514" s="12">
        <v>0</v>
      </c>
      <c r="K5514" s="12">
        <v>0</v>
      </c>
      <c r="M5514" s="12">
        <v>0.5</v>
      </c>
      <c r="Q5514" s="12">
        <v>0</v>
      </c>
      <c r="R5514" s="12"/>
      <c r="U5514" s="12"/>
      <c r="X5514" s="12"/>
      <c r="AC5514" s="38">
        <v>0</v>
      </c>
    </row>
    <row r="5515" spans="1:29" x14ac:dyDescent="0.25">
      <c r="A5515" s="22">
        <v>43866</v>
      </c>
      <c r="D5515" s="13">
        <v>0</v>
      </c>
      <c r="F5515" s="13"/>
      <c r="G5515" s="12">
        <v>0</v>
      </c>
      <c r="H5515" s="12"/>
      <c r="I5515" s="13"/>
      <c r="J5515" s="12">
        <v>0</v>
      </c>
      <c r="K5515" s="12">
        <v>0</v>
      </c>
      <c r="M5515" s="12">
        <v>0</v>
      </c>
      <c r="Q5515" s="12">
        <v>1.6</v>
      </c>
      <c r="R5515" s="12"/>
      <c r="U5515" s="12"/>
      <c r="X5515" s="12"/>
      <c r="AC5515" s="38">
        <v>0</v>
      </c>
    </row>
    <row r="5516" spans="1:29" x14ac:dyDescent="0.25">
      <c r="A5516" s="22">
        <v>43867</v>
      </c>
      <c r="D5516" s="13">
        <v>4.0999999999999996</v>
      </c>
      <c r="F5516" s="13"/>
      <c r="G5516" s="12">
        <v>1.5</v>
      </c>
      <c r="H5516" s="12"/>
      <c r="I5516" s="13"/>
      <c r="J5516" s="12">
        <v>3.3</v>
      </c>
      <c r="K5516" s="12">
        <v>7.6</v>
      </c>
      <c r="M5516" s="12">
        <v>0.3</v>
      </c>
      <c r="Q5516" s="12">
        <v>1.6</v>
      </c>
      <c r="R5516" s="12"/>
      <c r="U5516" s="12"/>
      <c r="X5516" s="12"/>
      <c r="AC5516" s="38">
        <v>2</v>
      </c>
    </row>
    <row r="5517" spans="1:29" x14ac:dyDescent="0.25">
      <c r="A5517" s="22">
        <v>43868</v>
      </c>
      <c r="D5517" s="13">
        <v>0</v>
      </c>
      <c r="F5517" s="13"/>
      <c r="G5517" s="12">
        <v>2.1</v>
      </c>
      <c r="H5517" s="12"/>
      <c r="I5517" s="13"/>
      <c r="J5517" s="12">
        <v>2.6</v>
      </c>
      <c r="K5517" s="12">
        <v>0</v>
      </c>
      <c r="M5517" s="12">
        <v>1.7</v>
      </c>
      <c r="Q5517" s="12">
        <v>2.4</v>
      </c>
      <c r="R5517" s="12"/>
      <c r="U5517" s="12"/>
      <c r="X5517" s="12"/>
      <c r="AC5517" s="38">
        <v>5.4</v>
      </c>
    </row>
    <row r="5518" spans="1:29" x14ac:dyDescent="0.25">
      <c r="A5518" s="22">
        <v>43869</v>
      </c>
      <c r="D5518" s="12">
        <v>1.5</v>
      </c>
      <c r="F5518" s="13"/>
      <c r="G5518" s="12">
        <v>0.4</v>
      </c>
      <c r="H5518" s="12"/>
      <c r="I5518" s="13"/>
      <c r="J5518" s="12">
        <v>3.5</v>
      </c>
      <c r="K5518" s="12">
        <v>5.5</v>
      </c>
      <c r="M5518" s="12">
        <v>0</v>
      </c>
      <c r="Q5518" s="12">
        <v>19.399999999999999</v>
      </c>
      <c r="R5518" s="12"/>
      <c r="U5518" s="12"/>
      <c r="X5518" s="12"/>
      <c r="AC5518" s="38">
        <v>18.799999999999997</v>
      </c>
    </row>
    <row r="5519" spans="1:29" x14ac:dyDescent="0.25">
      <c r="A5519" s="22">
        <v>43870</v>
      </c>
      <c r="D5519" s="12">
        <v>27.5</v>
      </c>
      <c r="F5519" s="13"/>
      <c r="G5519" s="12">
        <v>35.200000000000003</v>
      </c>
      <c r="H5519" s="12"/>
      <c r="I5519" s="13"/>
      <c r="J5519" s="12">
        <v>38.700000000000003</v>
      </c>
      <c r="K5519" s="12">
        <v>27.9</v>
      </c>
      <c r="M5519" s="12">
        <v>28.4</v>
      </c>
      <c r="Q5519" s="12">
        <v>0.4</v>
      </c>
      <c r="R5519" s="12"/>
      <c r="U5519" s="12"/>
      <c r="X5519" s="12"/>
      <c r="AC5519" s="38">
        <v>4.2</v>
      </c>
    </row>
    <row r="5520" spans="1:29" x14ac:dyDescent="0.25">
      <c r="A5520" s="22">
        <v>43871</v>
      </c>
      <c r="D5520" s="12">
        <v>1.4</v>
      </c>
      <c r="F5520" s="13"/>
      <c r="G5520" s="12">
        <v>3.2</v>
      </c>
      <c r="H5520" s="12"/>
      <c r="I5520" s="13"/>
      <c r="J5520" s="12">
        <v>13.7</v>
      </c>
      <c r="K5520" s="12">
        <v>13.4</v>
      </c>
      <c r="M5520" s="12">
        <v>3.3</v>
      </c>
      <c r="Q5520" s="12">
        <v>0</v>
      </c>
      <c r="R5520" s="12"/>
      <c r="U5520" s="12"/>
      <c r="X5520" s="12"/>
      <c r="AC5520" s="38">
        <v>2</v>
      </c>
    </row>
    <row r="5521" spans="1:29" x14ac:dyDescent="0.25">
      <c r="A5521" s="22">
        <v>43872</v>
      </c>
      <c r="D5521" s="12">
        <v>2.2000000000000002</v>
      </c>
      <c r="F5521" s="13"/>
      <c r="G5521" s="12">
        <v>3.4</v>
      </c>
      <c r="H5521" s="12"/>
      <c r="I5521" s="13"/>
      <c r="J5521" s="12">
        <v>10</v>
      </c>
      <c r="K5521" s="12">
        <v>5.3</v>
      </c>
      <c r="M5521" s="12">
        <v>2.5</v>
      </c>
      <c r="Q5521" s="12">
        <v>7.9</v>
      </c>
      <c r="R5521" s="12"/>
      <c r="U5521" s="12"/>
      <c r="X5521" s="12"/>
      <c r="AC5521" s="38">
        <v>6.3999999999999995</v>
      </c>
    </row>
    <row r="5522" spans="1:29" x14ac:dyDescent="0.25">
      <c r="A5522" s="22">
        <v>43873</v>
      </c>
      <c r="D5522" s="12">
        <v>0</v>
      </c>
      <c r="F5522" s="13"/>
      <c r="G5522" s="12">
        <v>4.9000000000000004</v>
      </c>
      <c r="H5522" s="12"/>
      <c r="I5522" s="13"/>
      <c r="J5522" s="12">
        <v>4.4000000000000004</v>
      </c>
      <c r="K5522" s="12">
        <v>7.5</v>
      </c>
      <c r="M5522" s="12">
        <v>1.6</v>
      </c>
      <c r="Q5522" s="12">
        <v>2.9</v>
      </c>
      <c r="R5522" s="12"/>
      <c r="U5522" s="12"/>
      <c r="X5522" s="12"/>
      <c r="AC5522" s="38">
        <v>0</v>
      </c>
    </row>
    <row r="5523" spans="1:29" x14ac:dyDescent="0.25">
      <c r="A5523" s="22">
        <v>43874</v>
      </c>
      <c r="D5523" s="12">
        <v>7.8</v>
      </c>
      <c r="F5523" s="13"/>
      <c r="G5523" s="12">
        <v>3.5</v>
      </c>
      <c r="H5523" s="12"/>
      <c r="I5523" s="13"/>
      <c r="J5523" s="12">
        <v>10.6</v>
      </c>
      <c r="K5523" s="12">
        <v>14.5</v>
      </c>
      <c r="M5523" s="12">
        <v>6.2</v>
      </c>
      <c r="Q5523" s="12">
        <v>4.7</v>
      </c>
      <c r="R5523" s="12"/>
      <c r="U5523" s="12"/>
      <c r="X5523" s="12"/>
      <c r="AC5523" s="38">
        <v>0</v>
      </c>
    </row>
    <row r="5524" spans="1:29" x14ac:dyDescent="0.25">
      <c r="A5524" s="22">
        <v>43875</v>
      </c>
      <c r="D5524" s="12">
        <v>8.1</v>
      </c>
      <c r="F5524" s="13"/>
      <c r="G5524" s="12">
        <v>1</v>
      </c>
      <c r="H5524" s="12"/>
      <c r="I5524" s="13"/>
      <c r="J5524" s="12">
        <v>1.6</v>
      </c>
      <c r="K5524" s="12">
        <v>2.5</v>
      </c>
      <c r="M5524" s="12">
        <v>0.2</v>
      </c>
      <c r="Q5524" s="12">
        <v>0</v>
      </c>
      <c r="R5524" s="12"/>
      <c r="U5524" s="12"/>
      <c r="X5524" s="12"/>
      <c r="AC5524" s="38">
        <v>0</v>
      </c>
    </row>
    <row r="5525" spans="1:29" x14ac:dyDescent="0.25">
      <c r="A5525" s="22">
        <v>43876</v>
      </c>
      <c r="D5525" s="12">
        <v>0</v>
      </c>
      <c r="F5525" s="13"/>
      <c r="G5525" s="13">
        <v>0.2</v>
      </c>
      <c r="H5525" s="12"/>
      <c r="I5525" s="13"/>
      <c r="J5525" s="12">
        <v>0</v>
      </c>
      <c r="K5525" s="12">
        <v>0</v>
      </c>
      <c r="M5525" s="12">
        <v>0</v>
      </c>
      <c r="Q5525" s="12">
        <v>0</v>
      </c>
      <c r="R5525" s="12"/>
      <c r="U5525" s="12"/>
      <c r="X5525" s="12"/>
      <c r="AC5525" s="38">
        <v>0</v>
      </c>
    </row>
    <row r="5526" spans="1:29" x14ac:dyDescent="0.25">
      <c r="A5526" s="22">
        <v>43877</v>
      </c>
      <c r="D5526" s="12">
        <v>1.3</v>
      </c>
      <c r="F5526" s="13"/>
      <c r="G5526" s="12">
        <v>0.8</v>
      </c>
      <c r="H5526" s="12"/>
      <c r="I5526" s="13"/>
      <c r="J5526" s="12">
        <v>0.7</v>
      </c>
      <c r="K5526" s="12">
        <v>5.2</v>
      </c>
      <c r="M5526" s="12">
        <v>0.6</v>
      </c>
      <c r="Q5526" s="12">
        <v>1.8</v>
      </c>
      <c r="R5526" s="12"/>
      <c r="U5526" s="12"/>
      <c r="X5526" s="12"/>
      <c r="AC5526" s="38">
        <v>0</v>
      </c>
    </row>
    <row r="5527" spans="1:29" x14ac:dyDescent="0.25">
      <c r="A5527" s="22">
        <v>43878</v>
      </c>
      <c r="D5527" s="12">
        <v>6.2</v>
      </c>
      <c r="F5527" s="13"/>
      <c r="G5527" s="12">
        <v>2.1</v>
      </c>
      <c r="H5527" s="12"/>
      <c r="I5527" s="13"/>
      <c r="J5527" s="12">
        <v>5.8</v>
      </c>
      <c r="K5527" s="12">
        <v>1.2</v>
      </c>
      <c r="M5527" s="12">
        <v>1.9</v>
      </c>
      <c r="Q5527" s="12">
        <v>7</v>
      </c>
      <c r="R5527" s="12"/>
      <c r="U5527" s="12"/>
      <c r="X5527" s="12"/>
      <c r="AC5527" s="38">
        <v>0</v>
      </c>
    </row>
    <row r="5528" spans="1:29" x14ac:dyDescent="0.25">
      <c r="A5528" s="22">
        <v>43879</v>
      </c>
      <c r="D5528" s="12">
        <v>4.7</v>
      </c>
      <c r="F5528" s="13"/>
      <c r="G5528" s="12">
        <v>1.9</v>
      </c>
      <c r="H5528" s="12"/>
      <c r="I5528" s="13"/>
      <c r="J5528" s="12">
        <v>20.3</v>
      </c>
      <c r="K5528" s="12">
        <v>21.4</v>
      </c>
      <c r="M5528" s="12">
        <v>17</v>
      </c>
      <c r="Q5528" s="12">
        <v>47.1</v>
      </c>
      <c r="R5528" s="12"/>
      <c r="U5528" s="12"/>
      <c r="X5528" s="12"/>
      <c r="AC5528" s="38">
        <v>7</v>
      </c>
    </row>
    <row r="5529" spans="1:29" x14ac:dyDescent="0.25">
      <c r="A5529" s="22">
        <v>43880</v>
      </c>
      <c r="D5529" s="12">
        <v>77.8</v>
      </c>
      <c r="F5529" s="13"/>
      <c r="G5529" s="12">
        <v>41.1</v>
      </c>
      <c r="H5529" s="12"/>
      <c r="I5529" s="13"/>
      <c r="J5529" s="12">
        <v>71</v>
      </c>
      <c r="K5529" s="12">
        <v>63.4</v>
      </c>
      <c r="M5529" s="12">
        <v>45.2</v>
      </c>
      <c r="Q5529" s="12">
        <v>42.4</v>
      </c>
      <c r="R5529" s="12"/>
      <c r="U5529" s="12"/>
      <c r="X5529" s="12"/>
      <c r="AC5529" s="38">
        <v>55</v>
      </c>
    </row>
    <row r="5530" spans="1:29" x14ac:dyDescent="0.25">
      <c r="A5530" s="22">
        <v>43881</v>
      </c>
      <c r="D5530" s="12">
        <v>44</v>
      </c>
      <c r="F5530" s="13"/>
      <c r="G5530" s="12">
        <v>37.9</v>
      </c>
      <c r="H5530" s="12"/>
      <c r="I5530" s="13"/>
      <c r="J5530" s="12">
        <v>49.9</v>
      </c>
      <c r="K5530" s="12">
        <v>44.3</v>
      </c>
      <c r="M5530" s="12">
        <v>43.6</v>
      </c>
      <c r="Q5530" s="12">
        <v>0.2</v>
      </c>
      <c r="R5530" s="12"/>
      <c r="U5530" s="12"/>
      <c r="X5530" s="12"/>
      <c r="AC5530" s="38">
        <v>2</v>
      </c>
    </row>
    <row r="5531" spans="1:29" x14ac:dyDescent="0.25">
      <c r="A5531" s="22">
        <v>43882</v>
      </c>
      <c r="D5531" s="12">
        <v>1.9</v>
      </c>
      <c r="F5531" s="13"/>
      <c r="G5531" s="12">
        <v>0.6</v>
      </c>
      <c r="H5531" s="12"/>
      <c r="I5531" s="13"/>
      <c r="J5531" s="12">
        <v>0.2</v>
      </c>
      <c r="K5531" s="12">
        <v>1.4</v>
      </c>
      <c r="M5531" s="12">
        <v>0.7</v>
      </c>
      <c r="Q5531" s="12">
        <v>2.6</v>
      </c>
      <c r="R5531" s="12"/>
      <c r="U5531" s="12"/>
      <c r="X5531" s="12"/>
      <c r="AC5531" s="38">
        <v>0</v>
      </c>
    </row>
    <row r="5532" spans="1:29" x14ac:dyDescent="0.25">
      <c r="A5532" s="22">
        <v>43883</v>
      </c>
      <c r="D5532" s="12">
        <v>0</v>
      </c>
      <c r="F5532" s="13"/>
      <c r="G5532" s="12">
        <v>1.4</v>
      </c>
      <c r="H5532" s="12"/>
      <c r="I5532" s="13"/>
      <c r="J5532" s="12">
        <v>0</v>
      </c>
      <c r="K5532" s="12">
        <v>1.1000000000000001</v>
      </c>
      <c r="M5532" s="12">
        <v>0.4</v>
      </c>
      <c r="Q5532" s="12">
        <v>1.7</v>
      </c>
      <c r="R5532" s="12"/>
      <c r="U5532" s="12"/>
      <c r="X5532" s="12"/>
      <c r="AC5532" s="38">
        <v>1</v>
      </c>
    </row>
    <row r="5533" spans="1:29" x14ac:dyDescent="0.25">
      <c r="A5533" s="22">
        <v>43884</v>
      </c>
      <c r="D5533" s="12">
        <v>0</v>
      </c>
      <c r="F5533" s="13"/>
      <c r="G5533" s="12">
        <v>0</v>
      </c>
      <c r="H5533" s="12"/>
      <c r="I5533" s="13"/>
      <c r="J5533" s="12">
        <v>0</v>
      </c>
      <c r="K5533" s="12">
        <v>7.2</v>
      </c>
      <c r="M5533" s="12">
        <v>0.2</v>
      </c>
      <c r="Q5533" s="12">
        <v>9.1</v>
      </c>
      <c r="R5533" s="12"/>
      <c r="U5533" s="12"/>
      <c r="X5533" s="12"/>
      <c r="AC5533" s="38">
        <v>5</v>
      </c>
    </row>
    <row r="5534" spans="1:29" x14ac:dyDescent="0.25">
      <c r="A5534" s="22">
        <v>43885</v>
      </c>
      <c r="D5534" s="12">
        <v>3</v>
      </c>
      <c r="F5534" s="13"/>
      <c r="G5534" s="12">
        <v>13.1</v>
      </c>
      <c r="H5534" s="12"/>
      <c r="I5534" s="13"/>
      <c r="J5534" s="12">
        <v>9.9</v>
      </c>
      <c r="K5534" s="12">
        <v>0</v>
      </c>
      <c r="M5534" s="12">
        <v>17.5</v>
      </c>
      <c r="Q5534" s="12">
        <v>3.7</v>
      </c>
      <c r="R5534" s="12"/>
      <c r="U5534" s="12"/>
      <c r="X5534" s="12"/>
      <c r="AC5534" s="38">
        <v>0</v>
      </c>
    </row>
    <row r="5535" spans="1:29" x14ac:dyDescent="0.25">
      <c r="A5535" s="22">
        <v>43886</v>
      </c>
      <c r="D5535" s="12">
        <v>9.6999999999999993</v>
      </c>
      <c r="F5535" s="13"/>
      <c r="G5535" s="12">
        <v>0.8</v>
      </c>
      <c r="H5535" s="12"/>
      <c r="I5535" s="12"/>
      <c r="J5535" s="12">
        <v>7.3</v>
      </c>
      <c r="K5535" s="12">
        <v>3.4</v>
      </c>
      <c r="M5535" s="12">
        <v>0.4</v>
      </c>
      <c r="Q5535" s="12">
        <v>1.9</v>
      </c>
      <c r="R5535" s="12"/>
      <c r="U5535" s="12"/>
      <c r="X5535" s="12"/>
      <c r="AC5535" s="38">
        <v>0</v>
      </c>
    </row>
    <row r="5536" spans="1:29" x14ac:dyDescent="0.25">
      <c r="A5536" s="22">
        <v>43887</v>
      </c>
      <c r="D5536" s="12">
        <v>0</v>
      </c>
      <c r="F5536" s="13"/>
      <c r="G5536" s="12">
        <v>3.4</v>
      </c>
      <c r="H5536" s="12"/>
      <c r="I5536" s="12"/>
      <c r="J5536" s="12">
        <v>5.9</v>
      </c>
      <c r="K5536" s="12">
        <v>0.1</v>
      </c>
      <c r="M5536" s="12">
        <v>5.2</v>
      </c>
      <c r="Q5536" s="12">
        <v>2.6</v>
      </c>
      <c r="R5536" s="12"/>
      <c r="U5536" s="12"/>
      <c r="X5536" s="12"/>
      <c r="AC5536" s="38">
        <v>1</v>
      </c>
    </row>
    <row r="5537" spans="1:29" x14ac:dyDescent="0.25">
      <c r="A5537" s="22">
        <v>43888</v>
      </c>
      <c r="D5537" s="12">
        <v>3</v>
      </c>
      <c r="F5537" s="13"/>
      <c r="G5537" s="12">
        <v>4.5</v>
      </c>
      <c r="H5537" s="12"/>
      <c r="I5537" s="12"/>
      <c r="J5537" s="12">
        <v>0</v>
      </c>
      <c r="K5537" s="12">
        <v>5.4</v>
      </c>
      <c r="M5537" s="12">
        <v>5.5</v>
      </c>
      <c r="Q5537" s="12">
        <v>2.7</v>
      </c>
      <c r="R5537" s="12"/>
      <c r="U5537" s="12"/>
      <c r="X5537" s="12"/>
      <c r="AC5537" s="38">
        <v>1</v>
      </c>
    </row>
    <row r="5538" spans="1:29" x14ac:dyDescent="0.25">
      <c r="A5538" s="22">
        <v>43889</v>
      </c>
      <c r="D5538" s="12">
        <v>1</v>
      </c>
      <c r="F5538" s="13"/>
      <c r="G5538" s="12">
        <v>12.4</v>
      </c>
      <c r="H5538" s="12"/>
      <c r="I5538" s="12"/>
      <c r="J5538" s="12">
        <v>8.5</v>
      </c>
      <c r="K5538" s="12">
        <v>5.7</v>
      </c>
      <c r="M5538" s="12">
        <v>10.1</v>
      </c>
      <c r="Q5538" s="12">
        <v>0</v>
      </c>
      <c r="R5538" s="12"/>
      <c r="U5538" s="12"/>
      <c r="X5538" s="12"/>
      <c r="AC5538" s="38">
        <v>6</v>
      </c>
    </row>
    <row r="5539" spans="1:29" x14ac:dyDescent="0.25">
      <c r="A5539" s="22">
        <v>43890</v>
      </c>
      <c r="D5539" s="12">
        <v>1.1000000000000001</v>
      </c>
      <c r="F5539" s="13"/>
      <c r="G5539" s="12">
        <v>0.4</v>
      </c>
      <c r="H5539" s="12"/>
      <c r="I5539" s="12"/>
      <c r="J5539" s="12">
        <v>0</v>
      </c>
      <c r="K5539" s="12">
        <v>0</v>
      </c>
      <c r="M5539" s="12">
        <v>0.4</v>
      </c>
      <c r="Q5539" s="12">
        <v>0</v>
      </c>
      <c r="R5539" s="12"/>
      <c r="U5539" s="12"/>
      <c r="X5539" s="12"/>
      <c r="AC5539" s="38">
        <v>0</v>
      </c>
    </row>
    <row r="5540" spans="1:29" x14ac:dyDescent="0.25">
      <c r="A5540" s="22">
        <v>43891</v>
      </c>
      <c r="D5540" s="12"/>
      <c r="F5540" s="12"/>
      <c r="G5540" s="12">
        <v>0.3</v>
      </c>
      <c r="H5540" s="12"/>
      <c r="I5540" s="12"/>
      <c r="J5540" s="12">
        <v>0</v>
      </c>
      <c r="K5540" s="12">
        <v>0</v>
      </c>
      <c r="M5540" s="12">
        <v>0.4</v>
      </c>
      <c r="Q5540" s="12">
        <v>3.8</v>
      </c>
      <c r="R5540" s="12"/>
      <c r="U5540" s="12"/>
      <c r="X5540" s="12"/>
      <c r="AC5540" s="38">
        <v>2</v>
      </c>
    </row>
    <row r="5541" spans="1:29" x14ac:dyDescent="0.25">
      <c r="A5541" s="22">
        <v>43892</v>
      </c>
      <c r="D5541" s="12"/>
      <c r="F5541" s="12"/>
      <c r="G5541" s="12">
        <v>8.9</v>
      </c>
      <c r="H5541" s="12">
        <v>5.3</v>
      </c>
      <c r="I5541" s="12"/>
      <c r="J5541" s="12">
        <v>3.6</v>
      </c>
      <c r="K5541" s="12">
        <v>3.1</v>
      </c>
      <c r="M5541" s="12">
        <v>6.8</v>
      </c>
      <c r="Q5541" s="12">
        <v>0</v>
      </c>
      <c r="R5541" s="12"/>
      <c r="U5541" s="12"/>
      <c r="X5541" s="12"/>
      <c r="AC5541" s="38">
        <v>2</v>
      </c>
    </row>
    <row r="5542" spans="1:29" x14ac:dyDescent="0.25">
      <c r="A5542" s="22">
        <v>43893</v>
      </c>
      <c r="D5542" s="12"/>
      <c r="F5542" s="12"/>
      <c r="G5542" s="12">
        <v>0</v>
      </c>
      <c r="H5542" s="12"/>
      <c r="I5542" s="12"/>
      <c r="J5542" s="12">
        <v>0</v>
      </c>
      <c r="K5542" s="12">
        <v>0.2</v>
      </c>
      <c r="M5542" s="12">
        <v>0</v>
      </c>
      <c r="Q5542" s="12">
        <v>7.7</v>
      </c>
      <c r="R5542" s="12"/>
      <c r="U5542" s="12"/>
      <c r="X5542" s="12"/>
      <c r="AC5542" s="38">
        <v>5</v>
      </c>
    </row>
    <row r="5543" spans="1:29" x14ac:dyDescent="0.25">
      <c r="A5543" s="22">
        <v>43894</v>
      </c>
      <c r="D5543" s="12"/>
      <c r="F5543" s="12"/>
      <c r="G5543" s="12">
        <v>10.9</v>
      </c>
      <c r="H5543" s="12">
        <v>10.5</v>
      </c>
      <c r="I5543" s="12"/>
      <c r="J5543" s="12">
        <v>7.8</v>
      </c>
      <c r="K5543" s="12">
        <v>5.6</v>
      </c>
      <c r="M5543" s="12">
        <v>14.2</v>
      </c>
      <c r="Q5543" s="12">
        <v>1.1000000000000001</v>
      </c>
      <c r="R5543" s="12"/>
      <c r="U5543" s="12"/>
      <c r="X5543" s="12"/>
      <c r="AC5543" s="38">
        <v>0</v>
      </c>
    </row>
    <row r="5544" spans="1:29" x14ac:dyDescent="0.25">
      <c r="A5544" s="22">
        <v>43895</v>
      </c>
      <c r="D5544" s="12"/>
      <c r="F5544" s="12"/>
      <c r="G5544" s="12">
        <v>0</v>
      </c>
      <c r="H5544" s="12"/>
      <c r="I5544" s="12"/>
      <c r="J5544" s="12">
        <v>0</v>
      </c>
      <c r="K5544" s="12">
        <v>0</v>
      </c>
      <c r="M5544" s="12">
        <v>0</v>
      </c>
      <c r="Q5544" s="12">
        <v>0.8</v>
      </c>
      <c r="R5544" s="12"/>
      <c r="U5544" s="12"/>
      <c r="X5544" s="12"/>
      <c r="AC5544" s="38">
        <v>0</v>
      </c>
    </row>
    <row r="5545" spans="1:29" x14ac:dyDescent="0.25">
      <c r="A5545" s="22">
        <v>43896</v>
      </c>
      <c r="D5545" s="12"/>
      <c r="F5545" s="12"/>
      <c r="G5545" s="12">
        <v>0</v>
      </c>
      <c r="H5545" s="12"/>
      <c r="I5545" s="12"/>
      <c r="J5545" s="12">
        <v>0</v>
      </c>
      <c r="K5545" s="12">
        <v>0.3</v>
      </c>
      <c r="M5545" s="12">
        <v>0</v>
      </c>
      <c r="Q5545" s="12">
        <v>0</v>
      </c>
      <c r="R5545" s="12"/>
      <c r="U5545" s="12"/>
      <c r="X5545" s="12"/>
      <c r="AC5545" s="38">
        <v>0</v>
      </c>
    </row>
    <row r="5546" spans="1:29" x14ac:dyDescent="0.25">
      <c r="A5546" s="22">
        <v>43897</v>
      </c>
      <c r="D5546" s="12"/>
      <c r="F5546" s="12"/>
      <c r="G5546" s="12">
        <v>0</v>
      </c>
      <c r="H5546" s="12"/>
      <c r="I5546" s="12"/>
      <c r="J5546" s="12">
        <v>0</v>
      </c>
      <c r="K5546" s="12">
        <v>0</v>
      </c>
      <c r="M5546" s="12">
        <v>0</v>
      </c>
      <c r="Q5546" s="12">
        <v>0</v>
      </c>
      <c r="R5546" s="12"/>
      <c r="U5546" s="12"/>
      <c r="X5546" s="12"/>
      <c r="AC5546" s="38">
        <v>0</v>
      </c>
    </row>
    <row r="5547" spans="1:29" x14ac:dyDescent="0.25">
      <c r="A5547" s="22">
        <v>43898</v>
      </c>
      <c r="D5547" s="12"/>
      <c r="F5547" s="12"/>
      <c r="G5547" s="12">
        <v>0</v>
      </c>
      <c r="H5547" s="12"/>
      <c r="I5547" s="12"/>
      <c r="J5547" s="12">
        <v>0</v>
      </c>
      <c r="K5547" s="12">
        <v>0</v>
      </c>
      <c r="M5547" s="12">
        <v>0</v>
      </c>
      <c r="Q5547" s="12">
        <v>0.1</v>
      </c>
      <c r="R5547" s="12"/>
      <c r="U5547" s="12"/>
      <c r="X5547" s="12"/>
      <c r="AC5547" s="38">
        <v>0</v>
      </c>
    </row>
    <row r="5548" spans="1:29" x14ac:dyDescent="0.25">
      <c r="A5548" s="22">
        <v>43899</v>
      </c>
      <c r="D5548" s="12"/>
      <c r="F5548" s="12"/>
      <c r="G5548" s="12">
        <v>0</v>
      </c>
      <c r="H5548" s="12"/>
      <c r="I5548" s="12"/>
      <c r="J5548" s="12">
        <v>0.5</v>
      </c>
      <c r="K5548" s="12">
        <v>0</v>
      </c>
      <c r="M5548" s="12">
        <v>0</v>
      </c>
      <c r="Q5548" s="12">
        <v>0</v>
      </c>
      <c r="R5548" s="12"/>
      <c r="U5548" s="12"/>
      <c r="X5548" s="12"/>
      <c r="AC5548" s="38">
        <v>0</v>
      </c>
    </row>
    <row r="5549" spans="1:29" x14ac:dyDescent="0.25">
      <c r="A5549" s="22">
        <v>43900</v>
      </c>
      <c r="D5549" s="12"/>
      <c r="F5549" s="12"/>
      <c r="G5549" s="12">
        <v>0</v>
      </c>
      <c r="H5549" s="12"/>
      <c r="I5549" s="12"/>
      <c r="J5549" s="12">
        <v>0</v>
      </c>
      <c r="K5549" s="12">
        <v>0</v>
      </c>
      <c r="M5549" s="12">
        <v>0</v>
      </c>
      <c r="Q5549" s="12">
        <v>0.1</v>
      </c>
      <c r="R5549" s="12"/>
      <c r="U5549" s="12"/>
      <c r="X5549" s="12"/>
      <c r="AC5549" s="38">
        <v>0</v>
      </c>
    </row>
    <row r="5550" spans="1:29" x14ac:dyDescent="0.25">
      <c r="A5550" s="22">
        <v>43901</v>
      </c>
      <c r="D5550" s="12"/>
      <c r="F5550" s="12"/>
      <c r="G5550" s="12">
        <v>0</v>
      </c>
      <c r="H5550" s="12"/>
      <c r="I5550" s="12"/>
      <c r="J5550" s="12">
        <v>0</v>
      </c>
      <c r="K5550" s="12">
        <v>0</v>
      </c>
      <c r="M5550" s="12">
        <v>1.3</v>
      </c>
      <c r="Q5550" s="12">
        <v>0</v>
      </c>
      <c r="R5550" s="12"/>
      <c r="U5550" s="12"/>
      <c r="X5550" s="12"/>
      <c r="AC5550" s="38">
        <v>0</v>
      </c>
    </row>
    <row r="5551" spans="1:29" x14ac:dyDescent="0.25">
      <c r="A5551" s="22">
        <v>43902</v>
      </c>
      <c r="D5551" s="12"/>
      <c r="F5551" s="12"/>
      <c r="G5551" s="12">
        <v>0</v>
      </c>
      <c r="H5551" s="12"/>
      <c r="I5551" s="12"/>
      <c r="J5551" s="12">
        <v>0.9</v>
      </c>
      <c r="K5551" s="12">
        <v>0</v>
      </c>
      <c r="M5551" s="12">
        <v>1.3</v>
      </c>
      <c r="Q5551" s="12">
        <v>0</v>
      </c>
      <c r="R5551" s="12"/>
      <c r="U5551" s="12"/>
      <c r="X5551" s="12"/>
      <c r="AC5551" s="38">
        <v>0</v>
      </c>
    </row>
    <row r="5552" spans="1:29" x14ac:dyDescent="0.25">
      <c r="A5552" s="22">
        <v>43903</v>
      </c>
      <c r="D5552" s="12"/>
      <c r="F5552" s="12"/>
      <c r="G5552" s="12">
        <v>3.4</v>
      </c>
      <c r="H5552" s="12"/>
      <c r="I5552" s="12"/>
      <c r="J5552" s="12">
        <v>3</v>
      </c>
      <c r="K5552" s="12">
        <v>0</v>
      </c>
      <c r="M5552" s="12">
        <v>2</v>
      </c>
      <c r="Q5552" s="12">
        <v>3.3</v>
      </c>
      <c r="R5552" s="12"/>
      <c r="U5552" s="12"/>
      <c r="X5552" s="12"/>
      <c r="AC5552" s="38">
        <v>0</v>
      </c>
    </row>
    <row r="5553" spans="1:29" x14ac:dyDescent="0.25">
      <c r="A5553" s="22">
        <v>43904</v>
      </c>
      <c r="D5553" s="12"/>
      <c r="F5553" s="12"/>
      <c r="G5553" s="12">
        <v>7</v>
      </c>
      <c r="H5553" s="12">
        <v>3</v>
      </c>
      <c r="I5553" s="12"/>
      <c r="J5553" s="12">
        <v>3.3</v>
      </c>
      <c r="K5553" s="12">
        <v>0</v>
      </c>
      <c r="M5553" s="12">
        <v>4.9000000000000004</v>
      </c>
      <c r="Q5553" s="12">
        <v>22.7</v>
      </c>
      <c r="R5553" s="12"/>
      <c r="U5553" s="12"/>
      <c r="X5553" s="12"/>
      <c r="AC5553" s="38">
        <v>4</v>
      </c>
    </row>
    <row r="5554" spans="1:29" x14ac:dyDescent="0.25">
      <c r="A5554" s="22">
        <v>43905</v>
      </c>
      <c r="D5554" s="12"/>
      <c r="F5554" s="12"/>
      <c r="G5554" s="12">
        <v>10.8</v>
      </c>
      <c r="H5554" s="12">
        <v>15.3</v>
      </c>
      <c r="I5554" s="12"/>
      <c r="J5554" s="12">
        <v>13.5</v>
      </c>
      <c r="K5554" s="12">
        <v>11.7</v>
      </c>
      <c r="M5554" s="12">
        <v>15.1</v>
      </c>
      <c r="Q5554" s="12">
        <v>0</v>
      </c>
      <c r="R5554" s="12"/>
      <c r="U5554" s="12"/>
      <c r="X5554" s="12"/>
      <c r="AC5554" s="38">
        <v>18</v>
      </c>
    </row>
    <row r="5555" spans="1:29" x14ac:dyDescent="0.25">
      <c r="A5555" s="22">
        <v>43906</v>
      </c>
      <c r="D5555" s="12"/>
      <c r="F5555" s="12"/>
      <c r="G5555" s="12">
        <v>12.5</v>
      </c>
      <c r="H5555" s="12">
        <v>16.399999999999999</v>
      </c>
      <c r="I5555" s="12"/>
      <c r="J5555" s="12">
        <v>6.2</v>
      </c>
      <c r="K5555" s="12">
        <v>8.5</v>
      </c>
      <c r="M5555" s="12">
        <v>54.5</v>
      </c>
      <c r="Q5555" s="12">
        <v>7.1</v>
      </c>
      <c r="R5555" s="12"/>
      <c r="U5555" s="12"/>
      <c r="X5555" s="12"/>
      <c r="AC5555" s="38">
        <v>0</v>
      </c>
    </row>
    <row r="5556" spans="1:29" x14ac:dyDescent="0.25">
      <c r="A5556" s="22">
        <v>43907</v>
      </c>
      <c r="D5556" s="12"/>
      <c r="F5556" s="12"/>
      <c r="G5556" s="12">
        <v>1.7</v>
      </c>
      <c r="H5556" s="12"/>
      <c r="I5556" s="12"/>
      <c r="J5556" s="12">
        <v>0.8</v>
      </c>
      <c r="K5556" s="12">
        <v>0</v>
      </c>
      <c r="M5556" s="12">
        <v>0.3</v>
      </c>
      <c r="Q5556" s="12">
        <v>0.9</v>
      </c>
      <c r="R5556" s="12"/>
      <c r="U5556" s="12"/>
      <c r="X5556" s="12"/>
      <c r="AC5556" s="38">
        <v>0</v>
      </c>
    </row>
    <row r="5557" spans="1:29" x14ac:dyDescent="0.25">
      <c r="A5557" s="22">
        <v>43908</v>
      </c>
      <c r="D5557" s="12"/>
      <c r="F5557" s="12"/>
      <c r="G5557" s="12">
        <v>4.4000000000000004</v>
      </c>
      <c r="H5557" s="12"/>
      <c r="I5557" s="12"/>
      <c r="J5557" s="12">
        <v>2.5</v>
      </c>
      <c r="K5557" s="12">
        <v>1</v>
      </c>
      <c r="M5557" s="12">
        <v>2.2999999999999998</v>
      </c>
      <c r="Q5557" s="12">
        <v>1.5</v>
      </c>
      <c r="R5557" s="12"/>
      <c r="U5557" s="12"/>
      <c r="X5557" s="12"/>
      <c r="AC5557" s="38">
        <v>1</v>
      </c>
    </row>
    <row r="5558" spans="1:29" x14ac:dyDescent="0.25">
      <c r="A5558" s="22">
        <v>43909</v>
      </c>
      <c r="D5558" s="12"/>
      <c r="F5558" s="12"/>
      <c r="G5558" s="12">
        <v>0</v>
      </c>
      <c r="H5558" s="12"/>
      <c r="I5558" s="12"/>
      <c r="J5558" s="12">
        <v>0</v>
      </c>
      <c r="K5558" s="12">
        <v>0</v>
      </c>
      <c r="M5558" s="12">
        <v>0</v>
      </c>
      <c r="Q5558" s="12">
        <v>0</v>
      </c>
      <c r="R5558" s="12"/>
      <c r="U5558" s="12"/>
      <c r="X5558" s="12"/>
      <c r="AC5558" s="38">
        <v>3</v>
      </c>
    </row>
    <row r="5559" spans="1:29" x14ac:dyDescent="0.25">
      <c r="A5559" s="22">
        <v>43910</v>
      </c>
      <c r="D5559" s="12"/>
      <c r="F5559" s="12"/>
      <c r="G5559" s="12">
        <v>15.5</v>
      </c>
      <c r="H5559" s="12">
        <v>2.2999999999999998</v>
      </c>
      <c r="I5559" s="12"/>
      <c r="J5559" s="12">
        <v>36.4</v>
      </c>
      <c r="K5559" s="12">
        <v>26.5</v>
      </c>
      <c r="M5559" s="12">
        <v>8.1999999999999993</v>
      </c>
      <c r="Q5559" s="12">
        <v>0</v>
      </c>
      <c r="R5559" s="12"/>
      <c r="U5559" s="12"/>
      <c r="X5559" s="12"/>
      <c r="AC5559" s="38">
        <v>4</v>
      </c>
    </row>
    <row r="5560" spans="1:29" x14ac:dyDescent="0.25">
      <c r="A5560" s="22">
        <v>43911</v>
      </c>
      <c r="D5560" s="12"/>
      <c r="F5560" s="12"/>
      <c r="G5560" s="12">
        <v>1.7</v>
      </c>
      <c r="H5560" s="12"/>
      <c r="I5560" s="12"/>
      <c r="J5560" s="12">
        <v>68</v>
      </c>
      <c r="K5560" s="12">
        <v>0</v>
      </c>
      <c r="M5560" s="12">
        <v>1.2</v>
      </c>
      <c r="Q5560" s="12">
        <v>13.4</v>
      </c>
      <c r="R5560" s="12"/>
      <c r="U5560" s="12"/>
      <c r="X5560" s="12"/>
      <c r="AC5560" s="38">
        <v>0</v>
      </c>
    </row>
    <row r="5561" spans="1:29" x14ac:dyDescent="0.25">
      <c r="A5561" s="22">
        <v>43912</v>
      </c>
      <c r="D5561" s="12"/>
      <c r="F5561" s="12"/>
      <c r="G5561" s="12">
        <v>0</v>
      </c>
      <c r="H5561" s="12"/>
      <c r="I5561" s="12"/>
      <c r="J5561" s="12">
        <v>4.2</v>
      </c>
      <c r="K5561" s="12">
        <v>17.8</v>
      </c>
      <c r="M5561" s="12">
        <v>0</v>
      </c>
      <c r="Q5561" s="12">
        <v>1.9</v>
      </c>
      <c r="R5561" s="12"/>
      <c r="U5561" s="12"/>
      <c r="X5561" s="12"/>
      <c r="AC5561" s="38">
        <v>0</v>
      </c>
    </row>
    <row r="5562" spans="1:29" x14ac:dyDescent="0.25">
      <c r="A5562" s="22">
        <v>43913</v>
      </c>
      <c r="D5562" s="12"/>
      <c r="F5562" s="12"/>
      <c r="G5562" s="12">
        <v>1.8</v>
      </c>
      <c r="H5562" s="12">
        <v>1.7</v>
      </c>
      <c r="I5562" s="12"/>
      <c r="J5562" s="12">
        <v>5.7</v>
      </c>
      <c r="K5562" s="12">
        <v>2.1</v>
      </c>
      <c r="M5562" s="12">
        <v>1.7</v>
      </c>
      <c r="Q5562" s="12">
        <v>0.2</v>
      </c>
      <c r="R5562" s="12"/>
      <c r="U5562" s="12"/>
      <c r="X5562" s="12"/>
      <c r="AC5562" s="38">
        <v>1</v>
      </c>
    </row>
    <row r="5563" spans="1:29" x14ac:dyDescent="0.25">
      <c r="A5563" s="22">
        <v>43914</v>
      </c>
      <c r="D5563" s="12"/>
      <c r="F5563" s="12"/>
      <c r="G5563" s="12">
        <v>0</v>
      </c>
      <c r="H5563" s="12"/>
      <c r="I5563" s="12"/>
      <c r="J5563" s="12">
        <v>2.1</v>
      </c>
      <c r="K5563" s="12">
        <v>1.4</v>
      </c>
      <c r="M5563" s="12">
        <v>0</v>
      </c>
      <c r="Q5563" s="12">
        <v>0</v>
      </c>
      <c r="R5563" s="12"/>
      <c r="U5563" s="12"/>
      <c r="X5563" s="12"/>
      <c r="AC5563" s="38">
        <v>0</v>
      </c>
    </row>
    <row r="5564" spans="1:29" x14ac:dyDescent="0.25">
      <c r="A5564" s="22">
        <v>43915</v>
      </c>
      <c r="D5564" s="12"/>
      <c r="F5564" s="12"/>
      <c r="G5564" s="12">
        <v>0</v>
      </c>
      <c r="H5564" s="12"/>
      <c r="I5564" s="12"/>
      <c r="J5564" s="12">
        <v>0</v>
      </c>
      <c r="K5564" s="12">
        <v>0.2</v>
      </c>
      <c r="M5564" s="12">
        <v>0</v>
      </c>
      <c r="Q5564" s="12">
        <v>0</v>
      </c>
      <c r="R5564" s="12"/>
      <c r="U5564" s="12"/>
      <c r="X5564" s="12"/>
      <c r="AC5564" s="38">
        <v>0</v>
      </c>
    </row>
    <row r="5565" spans="1:29" x14ac:dyDescent="0.25">
      <c r="A5565" s="22">
        <v>43916</v>
      </c>
      <c r="D5565" s="12"/>
      <c r="F5565" s="12"/>
      <c r="G5565" s="12">
        <v>1.6</v>
      </c>
      <c r="H5565" s="12"/>
      <c r="I5565" s="12"/>
      <c r="J5565" s="12">
        <v>3.9</v>
      </c>
      <c r="K5565" s="12">
        <v>2.7</v>
      </c>
      <c r="M5565" s="12">
        <v>0</v>
      </c>
      <c r="Q5565" s="12">
        <v>8.3000000000000007</v>
      </c>
      <c r="R5565" s="12"/>
      <c r="U5565" s="12"/>
      <c r="X5565" s="12"/>
      <c r="AC5565" s="38">
        <v>0</v>
      </c>
    </row>
    <row r="5566" spans="1:29" x14ac:dyDescent="0.25">
      <c r="A5566" s="22">
        <v>43917</v>
      </c>
      <c r="D5566" s="12"/>
      <c r="F5566" s="12"/>
      <c r="G5566" s="12">
        <v>4.2</v>
      </c>
      <c r="H5566" s="12">
        <v>2.9</v>
      </c>
      <c r="I5566" s="12"/>
      <c r="J5566" s="12">
        <v>4</v>
      </c>
      <c r="K5566" s="12">
        <v>3.5</v>
      </c>
      <c r="M5566" s="12">
        <v>4.7</v>
      </c>
      <c r="Q5566" s="12">
        <v>0</v>
      </c>
      <c r="R5566" s="12"/>
      <c r="U5566" s="12"/>
      <c r="X5566" s="12"/>
      <c r="AC5566" s="38">
        <v>1</v>
      </c>
    </row>
    <row r="5567" spans="1:29" x14ac:dyDescent="0.25">
      <c r="A5567" s="22">
        <v>43918</v>
      </c>
      <c r="D5567" s="12"/>
      <c r="F5567" s="12"/>
      <c r="G5567" s="12">
        <v>2</v>
      </c>
      <c r="H5567" s="12">
        <v>1.3</v>
      </c>
      <c r="I5567" s="12"/>
      <c r="J5567" s="12">
        <v>23</v>
      </c>
      <c r="K5567" s="12">
        <v>5.2</v>
      </c>
      <c r="M5567" s="12">
        <v>7.9</v>
      </c>
      <c r="Q5567" s="12">
        <v>19.899999999999999</v>
      </c>
      <c r="R5567" s="12"/>
      <c r="U5567" s="12"/>
      <c r="X5567" s="12"/>
      <c r="AC5567" s="38">
        <v>18</v>
      </c>
    </row>
    <row r="5568" spans="1:29" x14ac:dyDescent="0.25">
      <c r="A5568" s="22">
        <v>43919</v>
      </c>
      <c r="D5568" s="12"/>
      <c r="F5568" s="12"/>
      <c r="G5568" s="12">
        <v>10.1</v>
      </c>
      <c r="H5568" s="12">
        <v>23.4</v>
      </c>
      <c r="I5568" s="12"/>
      <c r="J5568" s="12">
        <v>15.5</v>
      </c>
      <c r="K5568" s="12">
        <v>0</v>
      </c>
      <c r="M5568" s="12">
        <v>25.8</v>
      </c>
      <c r="Q5568" s="12">
        <v>2.7</v>
      </c>
      <c r="R5568" s="12"/>
      <c r="U5568" s="12"/>
      <c r="X5568" s="12"/>
      <c r="AC5568" s="38">
        <v>3</v>
      </c>
    </row>
    <row r="5569" spans="1:29" x14ac:dyDescent="0.25">
      <c r="A5569" s="22">
        <v>43920</v>
      </c>
      <c r="D5569" s="12"/>
      <c r="F5569" s="12"/>
      <c r="G5569" s="12">
        <v>2.6</v>
      </c>
      <c r="H5569" s="12"/>
      <c r="I5569" s="12"/>
      <c r="J5569" s="12">
        <v>1.3</v>
      </c>
      <c r="K5569" s="12">
        <v>6.2</v>
      </c>
      <c r="M5569" s="12">
        <v>2.7</v>
      </c>
      <c r="Q5569" s="12">
        <v>0</v>
      </c>
      <c r="R5569" s="12"/>
      <c r="U5569" s="12"/>
      <c r="X5569" s="12"/>
      <c r="AC5569" s="38">
        <v>0</v>
      </c>
    </row>
    <row r="5570" spans="1:29" x14ac:dyDescent="0.25">
      <c r="A5570" s="22">
        <v>43921</v>
      </c>
      <c r="D5570" s="12"/>
      <c r="F5570" s="12"/>
      <c r="G5570" s="12"/>
      <c r="H5570" s="12"/>
      <c r="I5570" s="12"/>
      <c r="J5570" s="12">
        <v>0</v>
      </c>
      <c r="K5570" s="12">
        <v>0</v>
      </c>
      <c r="M5570" s="12"/>
      <c r="Q5570" s="12">
        <v>0</v>
      </c>
      <c r="R5570" s="12"/>
      <c r="U5570" s="12"/>
      <c r="X5570" s="12"/>
      <c r="AC5570" s="38">
        <v>0</v>
      </c>
    </row>
    <row r="5571" spans="1:29" x14ac:dyDescent="0.25">
      <c r="A5571" s="22">
        <v>43922</v>
      </c>
      <c r="D5571" s="12"/>
      <c r="F5571" s="12"/>
      <c r="G5571" s="12"/>
      <c r="H5571" s="12"/>
      <c r="I5571" s="12"/>
      <c r="J5571" s="12">
        <v>0</v>
      </c>
      <c r="K5571" s="12">
        <v>0</v>
      </c>
      <c r="M5571" s="12"/>
      <c r="Q5571" s="12"/>
      <c r="R5571" s="12"/>
      <c r="U5571" s="12"/>
      <c r="X5571" s="12"/>
      <c r="AC5571" s="38">
        <v>0</v>
      </c>
    </row>
    <row r="5572" spans="1:29" x14ac:dyDescent="0.25">
      <c r="A5572" s="22">
        <v>43923</v>
      </c>
      <c r="D5572" s="12"/>
      <c r="F5572" s="12"/>
      <c r="G5572" s="12"/>
      <c r="H5572" s="12"/>
      <c r="I5572" s="12"/>
      <c r="J5572" s="12">
        <v>0</v>
      </c>
      <c r="K5572" s="12"/>
      <c r="M5572" s="12"/>
      <c r="Q5572" s="12"/>
      <c r="R5572" s="12"/>
      <c r="U5572" s="12"/>
      <c r="X5572" s="12"/>
      <c r="AC5572" s="38">
        <v>0</v>
      </c>
    </row>
    <row r="5573" spans="1:29" x14ac:dyDescent="0.25">
      <c r="A5573" s="22">
        <v>43924</v>
      </c>
      <c r="D5573" s="12"/>
      <c r="F5573" s="12"/>
      <c r="G5573" s="12"/>
      <c r="H5573" s="12"/>
      <c r="I5573" s="12"/>
      <c r="J5573" s="12">
        <v>0</v>
      </c>
      <c r="K5573" s="12"/>
      <c r="M5573" s="12"/>
      <c r="Q5573" s="12"/>
      <c r="R5573" s="12"/>
      <c r="U5573" s="12"/>
      <c r="X5573" s="12"/>
      <c r="AC5573" s="38">
        <v>0</v>
      </c>
    </row>
    <row r="5574" spans="1:29" x14ac:dyDescent="0.25">
      <c r="A5574" s="22">
        <v>43925</v>
      </c>
      <c r="D5574" s="12"/>
      <c r="F5574" s="12"/>
      <c r="G5574" s="12"/>
      <c r="H5574" s="12"/>
      <c r="I5574" s="12"/>
      <c r="J5574" s="12">
        <v>0</v>
      </c>
      <c r="K5574" s="12"/>
      <c r="M5574" s="12"/>
      <c r="Q5574" s="12"/>
      <c r="R5574" s="12"/>
      <c r="U5574" s="12"/>
      <c r="X5574" s="12"/>
      <c r="AC5574" s="38">
        <v>0</v>
      </c>
    </row>
    <row r="5575" spans="1:29" x14ac:dyDescent="0.25">
      <c r="A5575" s="22">
        <v>43926</v>
      </c>
      <c r="D5575" s="12"/>
      <c r="F5575" s="12"/>
      <c r="G5575" s="12"/>
      <c r="H5575" s="12"/>
      <c r="I5575" s="12"/>
      <c r="J5575" s="12">
        <v>0</v>
      </c>
      <c r="K5575" s="12"/>
      <c r="M5575" s="12"/>
      <c r="Q5575" s="12"/>
      <c r="R5575" s="12"/>
      <c r="U5575" s="12"/>
      <c r="X5575" s="12"/>
      <c r="AC5575" s="38">
        <v>0</v>
      </c>
    </row>
    <row r="5576" spans="1:29" x14ac:dyDescent="0.25">
      <c r="A5576" s="22">
        <v>43927</v>
      </c>
      <c r="D5576" s="12"/>
      <c r="F5576" s="12"/>
      <c r="G5576" s="12"/>
      <c r="H5576" s="12"/>
      <c r="I5576" s="12"/>
      <c r="J5576" s="12">
        <v>0</v>
      </c>
      <c r="K5576" s="12"/>
      <c r="M5576" s="12"/>
      <c r="Q5576" s="12"/>
      <c r="R5576" s="12"/>
      <c r="U5576" s="12"/>
      <c r="X5576" s="12"/>
      <c r="AC5576" s="38">
        <v>0</v>
      </c>
    </row>
    <row r="5577" spans="1:29" x14ac:dyDescent="0.25">
      <c r="A5577" s="22">
        <v>43928</v>
      </c>
      <c r="D5577" s="12"/>
      <c r="F5577" s="12"/>
      <c r="G5577" s="12"/>
      <c r="H5577" s="12"/>
      <c r="I5577" s="12"/>
      <c r="J5577" s="12">
        <v>0</v>
      </c>
      <c r="K5577" s="12"/>
      <c r="M5577" s="12"/>
      <c r="Q5577" s="12"/>
      <c r="R5577" s="12"/>
      <c r="U5577" s="12"/>
      <c r="X5577" s="12"/>
      <c r="AC5577" s="38">
        <v>0</v>
      </c>
    </row>
    <row r="5578" spans="1:29" x14ac:dyDescent="0.25">
      <c r="A5578" s="22">
        <v>43929</v>
      </c>
      <c r="D5578" s="12"/>
      <c r="F5578" s="12"/>
      <c r="G5578" s="12"/>
      <c r="H5578" s="12"/>
      <c r="I5578" s="12"/>
      <c r="J5578" s="12">
        <v>0</v>
      </c>
      <c r="K5578" s="12"/>
      <c r="M5578" s="12"/>
      <c r="Q5578" s="12"/>
      <c r="R5578" s="12"/>
      <c r="U5578" s="12"/>
      <c r="X5578" s="12"/>
      <c r="AC5578" s="38">
        <v>0</v>
      </c>
    </row>
    <row r="5579" spans="1:29" x14ac:dyDescent="0.25">
      <c r="A5579" s="22">
        <v>43930</v>
      </c>
      <c r="D5579" s="12"/>
      <c r="F5579" s="12"/>
      <c r="G5579" s="12"/>
      <c r="H5579" s="12"/>
      <c r="I5579" s="12"/>
      <c r="J5579" s="12">
        <v>0</v>
      </c>
      <c r="K5579" s="12"/>
      <c r="M5579" s="12"/>
      <c r="Q5579" s="12"/>
      <c r="R5579" s="12"/>
      <c r="U5579" s="12"/>
      <c r="X5579" s="12"/>
      <c r="AC5579" s="38">
        <v>0</v>
      </c>
    </row>
    <row r="5580" spans="1:29" x14ac:dyDescent="0.25">
      <c r="A5580" s="22">
        <v>43931</v>
      </c>
      <c r="D5580" s="12"/>
      <c r="F5580" s="12"/>
      <c r="G5580" s="12"/>
      <c r="H5580" s="12"/>
      <c r="I5580" s="12"/>
      <c r="J5580" s="12">
        <v>0</v>
      </c>
      <c r="K5580" s="12"/>
      <c r="M5580" s="12"/>
      <c r="Q5580" s="12"/>
      <c r="R5580" s="12"/>
      <c r="U5580" s="12"/>
      <c r="X5580" s="12"/>
      <c r="AC5580" s="38">
        <v>0</v>
      </c>
    </row>
    <row r="5581" spans="1:29" x14ac:dyDescent="0.25">
      <c r="A5581" s="22">
        <v>43932</v>
      </c>
      <c r="D5581" s="12"/>
      <c r="F5581" s="12"/>
      <c r="G5581" s="12"/>
      <c r="H5581" s="12"/>
      <c r="I5581" s="12"/>
      <c r="J5581" s="12">
        <v>0</v>
      </c>
      <c r="K5581" s="12"/>
      <c r="M5581" s="12"/>
      <c r="Q5581" s="12"/>
      <c r="R5581" s="12"/>
      <c r="U5581" s="12"/>
      <c r="X5581" s="12"/>
      <c r="AC5581" s="38">
        <v>0</v>
      </c>
    </row>
    <row r="5582" spans="1:29" x14ac:dyDescent="0.25">
      <c r="A5582" s="22">
        <v>43933</v>
      </c>
      <c r="D5582" s="12"/>
      <c r="F5582" s="12"/>
      <c r="G5582" s="12"/>
      <c r="H5582" s="12"/>
      <c r="I5582" s="12"/>
      <c r="J5582" s="12">
        <v>0</v>
      </c>
      <c r="K5582" s="12"/>
      <c r="M5582" s="12"/>
      <c r="Q5582" s="12"/>
      <c r="R5582" s="12"/>
      <c r="U5582" s="12"/>
      <c r="X5582" s="12"/>
      <c r="AC5582" s="38">
        <v>0</v>
      </c>
    </row>
    <row r="5583" spans="1:29" x14ac:dyDescent="0.25">
      <c r="A5583" s="22">
        <v>43934</v>
      </c>
      <c r="D5583" s="12"/>
      <c r="F5583" s="12"/>
      <c r="G5583" s="12"/>
      <c r="H5583" s="12"/>
      <c r="I5583" s="12"/>
      <c r="J5583" s="12">
        <v>0</v>
      </c>
      <c r="K5583" s="12">
        <v>1.6</v>
      </c>
      <c r="M5583" s="12">
        <v>0.4</v>
      </c>
      <c r="Q5583" s="12"/>
      <c r="R5583" s="12"/>
      <c r="U5583" s="12"/>
      <c r="X5583" s="12"/>
      <c r="AC5583" s="38">
        <v>0</v>
      </c>
    </row>
    <row r="5584" spans="1:29" x14ac:dyDescent="0.25">
      <c r="A5584" s="22">
        <v>43935</v>
      </c>
      <c r="D5584" s="12"/>
      <c r="F5584" s="12"/>
      <c r="G5584" s="12"/>
      <c r="H5584" s="12"/>
      <c r="I5584" s="12"/>
      <c r="J5584" s="12">
        <v>0</v>
      </c>
      <c r="K5584" s="12">
        <v>0</v>
      </c>
      <c r="M5584" s="12">
        <v>0</v>
      </c>
      <c r="Q5584" s="12"/>
      <c r="R5584" s="12"/>
      <c r="U5584" s="12"/>
      <c r="X5584" s="12"/>
      <c r="AC5584" s="38">
        <v>0</v>
      </c>
    </row>
    <row r="5585" spans="1:29" x14ac:dyDescent="0.25">
      <c r="A5585" s="22">
        <v>43936</v>
      </c>
      <c r="D5585" s="12"/>
      <c r="F5585" s="12"/>
      <c r="G5585" s="12">
        <v>1.2</v>
      </c>
      <c r="H5585" s="12"/>
      <c r="I5585" s="12"/>
      <c r="J5585" s="12">
        <v>2.2999999999999998</v>
      </c>
      <c r="K5585" s="12">
        <v>1.1000000000000001</v>
      </c>
      <c r="M5585" s="12">
        <v>1.4</v>
      </c>
      <c r="Q5585" s="12"/>
      <c r="R5585" s="12"/>
      <c r="U5585" s="12"/>
      <c r="X5585" s="12"/>
      <c r="AC5585" s="38">
        <v>0</v>
      </c>
    </row>
    <row r="5586" spans="1:29" x14ac:dyDescent="0.25">
      <c r="A5586" s="22">
        <v>43937</v>
      </c>
      <c r="D5586" s="12"/>
      <c r="F5586" s="12"/>
      <c r="G5586" s="12">
        <v>0</v>
      </c>
      <c r="H5586" s="12"/>
      <c r="I5586" s="12"/>
      <c r="J5586" s="12">
        <v>1.2</v>
      </c>
      <c r="K5586" s="12">
        <v>0.6</v>
      </c>
      <c r="M5586" s="12">
        <v>0.7</v>
      </c>
      <c r="Q5586" s="12"/>
      <c r="R5586" s="12"/>
      <c r="U5586" s="12"/>
      <c r="X5586" s="12"/>
      <c r="AC5586" s="38">
        <v>0</v>
      </c>
    </row>
    <row r="5587" spans="1:29" x14ac:dyDescent="0.25">
      <c r="A5587" s="22">
        <v>43938</v>
      </c>
      <c r="D5587" s="12"/>
      <c r="F5587" s="12"/>
      <c r="G5587" s="12">
        <v>13.3</v>
      </c>
      <c r="H5587" s="12">
        <v>2.9</v>
      </c>
      <c r="I5587" s="12"/>
      <c r="J5587" s="12">
        <v>44</v>
      </c>
      <c r="K5587" s="12">
        <v>7.5</v>
      </c>
      <c r="M5587" s="12">
        <v>4.4000000000000004</v>
      </c>
      <c r="Q5587" s="12"/>
      <c r="R5587" s="12"/>
      <c r="U5587" s="12"/>
      <c r="X5587" s="12"/>
      <c r="AC5587" s="38">
        <v>0</v>
      </c>
    </row>
    <row r="5588" spans="1:29" x14ac:dyDescent="0.25">
      <c r="A5588" s="22">
        <v>43939</v>
      </c>
      <c r="D5588" s="12"/>
      <c r="F5588" s="12"/>
      <c r="G5588" s="12">
        <v>2.8</v>
      </c>
      <c r="H5588" s="12">
        <v>1.6</v>
      </c>
      <c r="I5588" s="12"/>
      <c r="J5588" s="12">
        <v>58</v>
      </c>
      <c r="K5588" s="12">
        <v>1.2</v>
      </c>
      <c r="M5588" s="12">
        <v>2.7</v>
      </c>
      <c r="Q5588" s="12"/>
      <c r="R5588" s="12"/>
      <c r="U5588" s="12"/>
      <c r="X5588" s="12"/>
      <c r="AC5588" s="38">
        <v>0</v>
      </c>
    </row>
    <row r="5589" spans="1:29" x14ac:dyDescent="0.25">
      <c r="A5589" s="22">
        <v>43940</v>
      </c>
      <c r="D5589" s="12"/>
      <c r="F5589" s="12"/>
      <c r="G5589" s="12">
        <v>1.4</v>
      </c>
      <c r="H5589" s="12">
        <v>0</v>
      </c>
      <c r="I5589" s="12"/>
      <c r="J5589" s="12">
        <v>3.3</v>
      </c>
      <c r="K5589" s="12">
        <v>2.1</v>
      </c>
      <c r="M5589" s="12">
        <v>0.9</v>
      </c>
      <c r="Q5589" s="12"/>
      <c r="R5589" s="12"/>
      <c r="U5589" s="12"/>
      <c r="X5589" s="12"/>
      <c r="AC5589" s="38">
        <v>5</v>
      </c>
    </row>
    <row r="5590" spans="1:29" x14ac:dyDescent="0.25">
      <c r="A5590" s="22">
        <v>43941</v>
      </c>
      <c r="D5590" s="12"/>
      <c r="F5590" s="12"/>
      <c r="G5590" s="12">
        <v>6.7</v>
      </c>
      <c r="H5590" s="12">
        <v>0.6</v>
      </c>
      <c r="I5590" s="12"/>
      <c r="J5590" s="12">
        <v>11.4</v>
      </c>
      <c r="K5590" s="12">
        <v>10.199999999999999</v>
      </c>
      <c r="M5590" s="12">
        <v>3.5</v>
      </c>
      <c r="Q5590" s="12"/>
      <c r="R5590" s="12"/>
      <c r="U5590" s="12"/>
      <c r="X5590" s="12"/>
      <c r="AC5590" s="38">
        <v>4</v>
      </c>
    </row>
    <row r="5591" spans="1:29" x14ac:dyDescent="0.25">
      <c r="A5591" s="22">
        <v>43942</v>
      </c>
      <c r="D5591" s="12"/>
      <c r="F5591" s="12"/>
      <c r="G5591" s="12">
        <v>1.9</v>
      </c>
      <c r="H5591" s="12"/>
      <c r="I5591" s="12"/>
      <c r="J5591" s="12">
        <v>3.7</v>
      </c>
      <c r="K5591" s="12">
        <v>3.4</v>
      </c>
      <c r="M5591" s="12">
        <v>1.6</v>
      </c>
      <c r="Q5591" s="12"/>
      <c r="R5591" s="12"/>
      <c r="U5591" s="12"/>
      <c r="X5591" s="12"/>
      <c r="AC5591" s="38">
        <v>0</v>
      </c>
    </row>
    <row r="5592" spans="1:29" x14ac:dyDescent="0.25">
      <c r="A5592" s="22">
        <v>43943</v>
      </c>
      <c r="D5592" s="12"/>
      <c r="F5592" s="12"/>
      <c r="G5592" s="12">
        <v>0.7</v>
      </c>
      <c r="H5592" s="12"/>
      <c r="I5592" s="12"/>
      <c r="J5592" s="12">
        <v>2.4</v>
      </c>
      <c r="K5592" s="12">
        <v>1.4</v>
      </c>
      <c r="M5592" s="12">
        <v>0.3</v>
      </c>
      <c r="Q5592" s="12"/>
      <c r="R5592" s="12"/>
      <c r="U5592" s="12"/>
      <c r="X5592" s="12"/>
      <c r="AC5592" s="38">
        <v>0</v>
      </c>
    </row>
    <row r="5593" spans="1:29" x14ac:dyDescent="0.25">
      <c r="A5593" s="22">
        <v>43944</v>
      </c>
      <c r="D5593" s="12"/>
      <c r="F5593" s="12"/>
      <c r="G5593" s="12">
        <v>2.7</v>
      </c>
      <c r="H5593" s="12"/>
      <c r="I5593" s="12"/>
      <c r="J5593" s="12">
        <v>13</v>
      </c>
      <c r="K5593" s="12">
        <v>0.6</v>
      </c>
      <c r="M5593" s="12">
        <v>1.9</v>
      </c>
      <c r="Q5593" s="12"/>
      <c r="R5593" s="12"/>
      <c r="U5593" s="12"/>
      <c r="X5593" s="12"/>
      <c r="AC5593" s="38">
        <v>4</v>
      </c>
    </row>
    <row r="5594" spans="1:29" x14ac:dyDescent="0.25">
      <c r="A5594" s="22">
        <v>43945</v>
      </c>
      <c r="D5594" s="12"/>
      <c r="F5594" s="12"/>
      <c r="G5594" s="12">
        <v>32.5</v>
      </c>
      <c r="H5594" s="12">
        <v>31.8</v>
      </c>
      <c r="I5594" s="12"/>
      <c r="J5594" s="12">
        <v>51.4</v>
      </c>
      <c r="K5594" s="12">
        <v>30.4</v>
      </c>
      <c r="M5594" s="12">
        <v>34</v>
      </c>
      <c r="Q5594" s="12"/>
      <c r="R5594" s="12"/>
      <c r="U5594" s="12"/>
      <c r="X5594" s="12"/>
      <c r="AC5594" s="38">
        <v>15</v>
      </c>
    </row>
    <row r="5595" spans="1:29" x14ac:dyDescent="0.25">
      <c r="A5595" s="22">
        <v>43946</v>
      </c>
      <c r="D5595" s="12"/>
      <c r="F5595" s="12"/>
      <c r="G5595" s="12">
        <v>15.4</v>
      </c>
      <c r="H5595" s="12">
        <v>15.7</v>
      </c>
      <c r="I5595" s="12"/>
      <c r="J5595" s="12">
        <v>22.6</v>
      </c>
      <c r="K5595" s="12">
        <v>19.5</v>
      </c>
      <c r="M5595" s="12">
        <v>18.600000000000001</v>
      </c>
      <c r="Q5595" s="12"/>
      <c r="R5595" s="12"/>
      <c r="U5595" s="12"/>
      <c r="X5595" s="12"/>
      <c r="AC5595" s="38">
        <v>2</v>
      </c>
    </row>
    <row r="5596" spans="1:29" x14ac:dyDescent="0.25">
      <c r="A5596" s="22">
        <v>43947</v>
      </c>
      <c r="D5596" s="12"/>
      <c r="F5596" s="12"/>
      <c r="G5596" s="12">
        <v>1.3</v>
      </c>
      <c r="H5596" s="12"/>
      <c r="I5596" s="12"/>
      <c r="J5596" s="12">
        <v>1</v>
      </c>
      <c r="K5596" s="12">
        <v>2</v>
      </c>
      <c r="M5596" s="12">
        <v>0</v>
      </c>
      <c r="Q5596" s="12"/>
      <c r="R5596" s="12"/>
      <c r="U5596" s="12"/>
      <c r="X5596" s="12"/>
      <c r="AC5596" s="38">
        <v>0</v>
      </c>
    </row>
    <row r="5597" spans="1:29" x14ac:dyDescent="0.25">
      <c r="A5597" s="22">
        <v>43948</v>
      </c>
      <c r="D5597" s="12"/>
      <c r="F5597" s="12"/>
      <c r="G5597" s="12">
        <v>0</v>
      </c>
      <c r="H5597" s="12"/>
      <c r="I5597" s="12"/>
      <c r="J5597" s="12">
        <v>0</v>
      </c>
      <c r="K5597" s="12">
        <v>0</v>
      </c>
      <c r="M5597" s="12">
        <v>0.5</v>
      </c>
      <c r="Q5597" s="12"/>
      <c r="R5597" s="12"/>
      <c r="U5597" s="12"/>
      <c r="X5597" s="12"/>
      <c r="AC5597" s="38">
        <v>0</v>
      </c>
    </row>
    <row r="5598" spans="1:29" x14ac:dyDescent="0.25">
      <c r="A5598" s="22">
        <v>43949</v>
      </c>
      <c r="D5598" s="12"/>
      <c r="F5598" s="12"/>
      <c r="G5598" s="12">
        <v>0.5</v>
      </c>
      <c r="H5598" s="12"/>
      <c r="I5598" s="12"/>
      <c r="J5598" s="12">
        <v>1.6</v>
      </c>
      <c r="K5598" s="12">
        <v>0</v>
      </c>
      <c r="M5598" s="12">
        <v>0.6</v>
      </c>
      <c r="Q5598" s="12"/>
      <c r="R5598" s="12"/>
      <c r="U5598" s="12"/>
      <c r="X5598" s="12"/>
      <c r="AC5598" s="38">
        <v>0</v>
      </c>
    </row>
    <row r="5599" spans="1:29" x14ac:dyDescent="0.25">
      <c r="A5599" s="22">
        <v>43950</v>
      </c>
      <c r="D5599" s="12"/>
      <c r="F5599" s="12"/>
      <c r="G5599" s="12">
        <v>3.7</v>
      </c>
      <c r="H5599" s="12">
        <v>3.8</v>
      </c>
      <c r="I5599" s="12"/>
      <c r="J5599" s="12">
        <v>12.7</v>
      </c>
      <c r="K5599" s="12">
        <v>7.6</v>
      </c>
      <c r="M5599" s="12">
        <v>3.1</v>
      </c>
      <c r="Q5599" s="12"/>
      <c r="R5599" s="12"/>
      <c r="U5599" s="12"/>
      <c r="X5599" s="12"/>
      <c r="AC5599" s="38">
        <v>2</v>
      </c>
    </row>
    <row r="5600" spans="1:29" x14ac:dyDescent="0.25">
      <c r="A5600" s="22">
        <v>43951</v>
      </c>
      <c r="D5600" s="12"/>
      <c r="F5600" s="12"/>
      <c r="G5600" s="12">
        <v>3.8</v>
      </c>
      <c r="H5600" s="12"/>
      <c r="I5600" s="12"/>
      <c r="J5600" s="12">
        <v>5.0999999999999996</v>
      </c>
      <c r="K5600" s="12">
        <v>0.3</v>
      </c>
      <c r="M5600" s="12">
        <v>2</v>
      </c>
      <c r="Q5600" s="12"/>
      <c r="R5600" s="12"/>
      <c r="U5600" s="12"/>
      <c r="X5600" s="12"/>
      <c r="AC5600" s="38">
        <v>0</v>
      </c>
    </row>
    <row r="5601" spans="1:29" x14ac:dyDescent="0.25">
      <c r="A5601" s="22">
        <v>43952</v>
      </c>
      <c r="D5601" s="12"/>
      <c r="F5601" s="12">
        <v>0</v>
      </c>
      <c r="G5601" s="12">
        <v>0</v>
      </c>
      <c r="H5601" s="12"/>
      <c r="I5601" s="12"/>
      <c r="J5601" s="12">
        <v>0.1</v>
      </c>
      <c r="K5601" s="12">
        <v>0</v>
      </c>
      <c r="M5601" s="12">
        <v>0</v>
      </c>
      <c r="Q5601" s="12"/>
      <c r="R5601" s="12"/>
      <c r="U5601" s="12">
        <v>0</v>
      </c>
      <c r="X5601" s="12"/>
      <c r="AC5601" s="38">
        <v>0</v>
      </c>
    </row>
    <row r="5602" spans="1:29" x14ac:dyDescent="0.25">
      <c r="A5602" s="22">
        <v>43953</v>
      </c>
      <c r="D5602" s="12"/>
      <c r="F5602" s="12">
        <v>0</v>
      </c>
      <c r="G5602" s="12">
        <v>0</v>
      </c>
      <c r="H5602" s="12"/>
      <c r="I5602" s="12"/>
      <c r="J5602" s="12">
        <v>0</v>
      </c>
      <c r="K5602" s="12">
        <v>0.2</v>
      </c>
      <c r="M5602" s="12">
        <v>0</v>
      </c>
      <c r="Q5602" s="12"/>
      <c r="R5602" s="12"/>
      <c r="U5602" s="12">
        <v>0</v>
      </c>
      <c r="X5602" s="12"/>
      <c r="AC5602" s="38">
        <v>0</v>
      </c>
    </row>
    <row r="5603" spans="1:29" x14ac:dyDescent="0.25">
      <c r="A5603" s="22">
        <v>43954</v>
      </c>
      <c r="D5603" s="12"/>
      <c r="F5603" s="12">
        <v>0</v>
      </c>
      <c r="G5603" s="12">
        <v>0.4</v>
      </c>
      <c r="H5603" s="12"/>
      <c r="I5603" s="12"/>
      <c r="J5603" s="12">
        <v>1.1000000000000001</v>
      </c>
      <c r="K5603" s="12">
        <v>2.2999999999999998</v>
      </c>
      <c r="M5603" s="12">
        <v>0</v>
      </c>
      <c r="Q5603" s="12"/>
      <c r="R5603" s="12"/>
      <c r="U5603" s="12">
        <v>1</v>
      </c>
      <c r="X5603" s="12"/>
      <c r="AC5603" s="38">
        <v>0</v>
      </c>
    </row>
    <row r="5604" spans="1:29" x14ac:dyDescent="0.25">
      <c r="A5604" s="22">
        <v>43955</v>
      </c>
      <c r="D5604" s="12"/>
      <c r="F5604" s="12">
        <v>0</v>
      </c>
      <c r="G5604" s="12">
        <v>0.4</v>
      </c>
      <c r="H5604" s="12"/>
      <c r="I5604" s="12"/>
      <c r="J5604" s="12">
        <v>16</v>
      </c>
      <c r="K5604" s="12">
        <v>1.4</v>
      </c>
      <c r="M5604" s="12">
        <v>0</v>
      </c>
      <c r="Q5604" s="12"/>
      <c r="R5604" s="12"/>
      <c r="U5604" s="12">
        <v>10</v>
      </c>
      <c r="X5604" s="12"/>
      <c r="AC5604" s="38">
        <v>0</v>
      </c>
    </row>
    <row r="5605" spans="1:29" x14ac:dyDescent="0.25">
      <c r="A5605" s="22">
        <v>43956</v>
      </c>
      <c r="D5605" s="12"/>
      <c r="F5605" s="12">
        <v>0</v>
      </c>
      <c r="G5605" s="12">
        <v>0</v>
      </c>
      <c r="H5605" s="12"/>
      <c r="I5605" s="12"/>
      <c r="J5605" s="12">
        <v>0</v>
      </c>
      <c r="K5605" s="12">
        <v>0</v>
      </c>
      <c r="M5605" s="12">
        <v>0</v>
      </c>
      <c r="Q5605" s="12"/>
      <c r="R5605" s="12"/>
      <c r="U5605" s="12">
        <v>0</v>
      </c>
      <c r="X5605" s="12"/>
      <c r="AC5605" s="38">
        <v>0</v>
      </c>
    </row>
    <row r="5606" spans="1:29" x14ac:dyDescent="0.25">
      <c r="A5606" s="22">
        <v>43957</v>
      </c>
      <c r="D5606" s="12"/>
      <c r="F5606" s="12">
        <v>0</v>
      </c>
      <c r="G5606" s="12">
        <v>1.1000000000000001</v>
      </c>
      <c r="H5606" s="12"/>
      <c r="I5606" s="12"/>
      <c r="J5606" s="12">
        <v>0</v>
      </c>
      <c r="K5606" s="12">
        <v>0.5</v>
      </c>
      <c r="M5606" s="12">
        <v>1.2</v>
      </c>
      <c r="Q5606" s="12"/>
      <c r="R5606" s="12"/>
      <c r="U5606" s="12">
        <v>5</v>
      </c>
      <c r="X5606" s="12"/>
      <c r="AC5606" s="38">
        <v>0</v>
      </c>
    </row>
    <row r="5607" spans="1:29" x14ac:dyDescent="0.25">
      <c r="A5607" s="22">
        <v>43958</v>
      </c>
      <c r="D5607" s="12"/>
      <c r="F5607" s="12">
        <v>0</v>
      </c>
      <c r="G5607" s="12">
        <v>0</v>
      </c>
      <c r="H5607" s="12"/>
      <c r="I5607" s="12"/>
      <c r="J5607" s="12">
        <v>0.3</v>
      </c>
      <c r="K5607" s="12">
        <v>0</v>
      </c>
      <c r="M5607" s="12">
        <v>0</v>
      </c>
      <c r="Q5607" s="12"/>
      <c r="R5607" s="12"/>
      <c r="U5607" s="12">
        <v>0</v>
      </c>
      <c r="X5607" s="12"/>
      <c r="AC5607" s="38">
        <v>0</v>
      </c>
    </row>
    <row r="5608" spans="1:29" x14ac:dyDescent="0.25">
      <c r="A5608" s="22">
        <v>43959</v>
      </c>
      <c r="D5608" s="12"/>
      <c r="F5608" s="12">
        <v>0</v>
      </c>
      <c r="G5608" s="12">
        <v>0</v>
      </c>
      <c r="H5608" s="12"/>
      <c r="I5608" s="12"/>
      <c r="J5608" s="12">
        <v>0</v>
      </c>
      <c r="K5608" s="12">
        <v>0</v>
      </c>
      <c r="M5608" s="12">
        <v>0</v>
      </c>
      <c r="Q5608" s="12"/>
      <c r="R5608" s="12"/>
      <c r="U5608" s="12">
        <v>1</v>
      </c>
      <c r="X5608" s="12"/>
      <c r="AC5608" s="38">
        <v>0</v>
      </c>
    </row>
    <row r="5609" spans="1:29" x14ac:dyDescent="0.25">
      <c r="A5609" s="22">
        <v>43960</v>
      </c>
      <c r="D5609" s="12"/>
      <c r="F5609" s="12">
        <v>0</v>
      </c>
      <c r="G5609" s="12">
        <v>0</v>
      </c>
      <c r="H5609" s="12"/>
      <c r="I5609" s="12"/>
      <c r="J5609" s="12">
        <v>0</v>
      </c>
      <c r="K5609" s="12">
        <v>0</v>
      </c>
      <c r="M5609" s="12">
        <v>0</v>
      </c>
      <c r="Q5609" s="12"/>
      <c r="R5609" s="12"/>
      <c r="U5609" s="12">
        <v>0</v>
      </c>
      <c r="X5609" s="12"/>
      <c r="AC5609" s="38">
        <v>3</v>
      </c>
    </row>
    <row r="5610" spans="1:29" x14ac:dyDescent="0.25">
      <c r="A5610" s="22">
        <v>43961</v>
      </c>
      <c r="D5610" s="12"/>
      <c r="F5610" s="12">
        <v>1.2</v>
      </c>
      <c r="G5610" s="12">
        <v>10.4</v>
      </c>
      <c r="H5610" s="12">
        <v>7.8</v>
      </c>
      <c r="I5610" s="12"/>
      <c r="J5610" s="12">
        <v>8.5</v>
      </c>
      <c r="K5610" s="12">
        <v>0</v>
      </c>
      <c r="M5610" s="12">
        <v>7.9</v>
      </c>
      <c r="Q5610" s="12"/>
      <c r="R5610" s="12"/>
      <c r="U5610" s="12">
        <v>3</v>
      </c>
      <c r="X5610" s="12"/>
      <c r="AC5610" s="38">
        <v>0</v>
      </c>
    </row>
    <row r="5611" spans="1:29" x14ac:dyDescent="0.25">
      <c r="A5611" s="22">
        <v>43962</v>
      </c>
      <c r="D5611" s="12"/>
      <c r="F5611" s="12">
        <v>0</v>
      </c>
      <c r="G5611" s="12">
        <v>0</v>
      </c>
      <c r="H5611" s="12"/>
      <c r="I5611" s="12"/>
      <c r="J5611" s="12">
        <v>0</v>
      </c>
      <c r="K5611" s="12">
        <v>3.4</v>
      </c>
      <c r="M5611" s="12">
        <v>0</v>
      </c>
      <c r="Q5611" s="12"/>
      <c r="R5611" s="12"/>
      <c r="U5611" s="12">
        <v>0</v>
      </c>
      <c r="X5611" s="12"/>
      <c r="AC5611" s="38">
        <v>0</v>
      </c>
    </row>
    <row r="5612" spans="1:29" x14ac:dyDescent="0.25">
      <c r="A5612" s="22">
        <v>43963</v>
      </c>
      <c r="D5612" s="12"/>
      <c r="F5612" s="12">
        <v>0</v>
      </c>
      <c r="G5612" s="12">
        <v>0</v>
      </c>
      <c r="H5612" s="12"/>
      <c r="I5612" s="12"/>
      <c r="J5612" s="12">
        <v>0</v>
      </c>
      <c r="K5612" s="12"/>
      <c r="M5612" s="12">
        <v>0</v>
      </c>
      <c r="Q5612" s="12"/>
      <c r="R5612" s="12"/>
      <c r="U5612" s="12">
        <v>0</v>
      </c>
      <c r="X5612" s="12"/>
      <c r="AC5612" s="38">
        <v>0</v>
      </c>
    </row>
    <row r="5613" spans="1:29" x14ac:dyDescent="0.25">
      <c r="A5613" s="22">
        <v>43964</v>
      </c>
      <c r="D5613" s="12"/>
      <c r="F5613" s="12">
        <v>0</v>
      </c>
      <c r="G5613" s="12">
        <v>0</v>
      </c>
      <c r="H5613" s="12"/>
      <c r="I5613" s="12"/>
      <c r="J5613" s="12">
        <v>0</v>
      </c>
      <c r="K5613" s="12"/>
      <c r="M5613" s="12">
        <v>0</v>
      </c>
      <c r="Q5613" s="12"/>
      <c r="R5613" s="12"/>
      <c r="U5613" s="12">
        <v>0.5</v>
      </c>
      <c r="X5613" s="12"/>
      <c r="AC5613" s="38">
        <v>0</v>
      </c>
    </row>
    <row r="5614" spans="1:29" x14ac:dyDescent="0.25">
      <c r="A5614" s="22">
        <v>43965</v>
      </c>
      <c r="D5614" s="12"/>
      <c r="F5614" s="12">
        <v>0</v>
      </c>
      <c r="G5614" s="12">
        <v>0</v>
      </c>
      <c r="H5614" s="12"/>
      <c r="I5614" s="12"/>
      <c r="J5614" s="12">
        <v>0</v>
      </c>
      <c r="K5614" s="12"/>
      <c r="M5614" s="12">
        <v>0</v>
      </c>
      <c r="Q5614" s="12"/>
      <c r="R5614" s="12"/>
      <c r="U5614" s="12">
        <v>0</v>
      </c>
      <c r="X5614" s="12"/>
      <c r="AC5614" s="38">
        <v>0</v>
      </c>
    </row>
    <row r="5615" spans="1:29" x14ac:dyDescent="0.25">
      <c r="A5615" s="22">
        <v>43966</v>
      </c>
      <c r="D5615" s="12"/>
      <c r="F5615" s="12">
        <v>0</v>
      </c>
      <c r="G5615" s="12">
        <v>0.3</v>
      </c>
      <c r="H5615" s="12"/>
      <c r="I5615" s="12"/>
      <c r="J5615" s="12">
        <v>0</v>
      </c>
      <c r="K5615" s="12"/>
      <c r="M5615" s="12">
        <v>0</v>
      </c>
      <c r="Q5615" s="12"/>
      <c r="R5615" s="12"/>
      <c r="U5615" s="12">
        <v>0</v>
      </c>
      <c r="X5615" s="12"/>
      <c r="AC5615" s="38">
        <v>0</v>
      </c>
    </row>
    <row r="5616" spans="1:29" x14ac:dyDescent="0.25">
      <c r="A5616" s="22">
        <v>43967</v>
      </c>
      <c r="D5616" s="12"/>
      <c r="F5616" s="12">
        <v>0</v>
      </c>
      <c r="G5616" s="12">
        <v>0</v>
      </c>
      <c r="H5616" s="12"/>
      <c r="I5616" s="12"/>
      <c r="J5616" s="12">
        <v>0</v>
      </c>
      <c r="K5616" s="12">
        <v>0.4</v>
      </c>
      <c r="M5616" s="12">
        <v>0</v>
      </c>
      <c r="Q5616" s="12"/>
      <c r="R5616" s="12"/>
      <c r="U5616" s="12">
        <v>0</v>
      </c>
      <c r="X5616" s="12"/>
      <c r="AC5616" s="38">
        <v>0</v>
      </c>
    </row>
    <row r="5617" spans="1:29" x14ac:dyDescent="0.25">
      <c r="A5617" s="22">
        <v>43968</v>
      </c>
      <c r="D5617" s="12"/>
      <c r="F5617" s="12">
        <v>0</v>
      </c>
      <c r="G5617" s="12">
        <v>0</v>
      </c>
      <c r="H5617" s="12"/>
      <c r="I5617" s="12"/>
      <c r="J5617" s="12">
        <v>0</v>
      </c>
      <c r="K5617" s="12"/>
      <c r="M5617" s="12">
        <v>0</v>
      </c>
      <c r="Q5617" s="12"/>
      <c r="R5617" s="12"/>
      <c r="U5617" s="12">
        <v>0.5</v>
      </c>
      <c r="X5617" s="12"/>
      <c r="AC5617" s="38">
        <v>0</v>
      </c>
    </row>
    <row r="5618" spans="1:29" x14ac:dyDescent="0.25">
      <c r="A5618" s="22">
        <v>43969</v>
      </c>
      <c r="D5618" s="12"/>
      <c r="F5618" s="12">
        <v>0</v>
      </c>
      <c r="G5618" s="12">
        <v>0</v>
      </c>
      <c r="H5618" s="12"/>
      <c r="I5618" s="12"/>
      <c r="J5618" s="12">
        <v>0</v>
      </c>
      <c r="K5618" s="12"/>
      <c r="M5618" s="12">
        <v>0.4</v>
      </c>
      <c r="Q5618" s="12"/>
      <c r="R5618" s="12"/>
      <c r="U5618" s="12">
        <v>0</v>
      </c>
      <c r="X5618" s="12"/>
      <c r="AC5618" s="38">
        <v>0</v>
      </c>
    </row>
    <row r="5619" spans="1:29" x14ac:dyDescent="0.25">
      <c r="A5619" s="22">
        <v>43970</v>
      </c>
      <c r="D5619" s="12"/>
      <c r="F5619" s="12">
        <v>0.6</v>
      </c>
      <c r="G5619" s="12">
        <v>0.9</v>
      </c>
      <c r="H5619" s="12"/>
      <c r="I5619" s="12"/>
      <c r="J5619" s="12">
        <v>1.4</v>
      </c>
      <c r="K5619" s="12">
        <v>1.8</v>
      </c>
      <c r="M5619" s="12">
        <v>0</v>
      </c>
      <c r="Q5619" s="12"/>
      <c r="R5619" s="12"/>
      <c r="U5619" s="12">
        <v>0</v>
      </c>
      <c r="X5619" s="12"/>
      <c r="AC5619" s="38">
        <v>1</v>
      </c>
    </row>
    <row r="5620" spans="1:29" x14ac:dyDescent="0.25">
      <c r="A5620" s="22">
        <v>43971</v>
      </c>
      <c r="D5620" s="12"/>
      <c r="F5620" s="12">
        <v>0</v>
      </c>
      <c r="G5620" s="12">
        <v>0</v>
      </c>
      <c r="H5620" s="12"/>
      <c r="I5620" s="12"/>
      <c r="J5620" s="12">
        <v>0</v>
      </c>
      <c r="K5620" s="12">
        <v>1.1000000000000001</v>
      </c>
      <c r="M5620" s="12">
        <v>8.6</v>
      </c>
      <c r="Q5620" s="12"/>
      <c r="R5620" s="12"/>
      <c r="U5620" s="12">
        <v>1</v>
      </c>
      <c r="X5620" s="12"/>
      <c r="AC5620" s="38">
        <v>2</v>
      </c>
    </row>
    <row r="5621" spans="1:29" x14ac:dyDescent="0.25">
      <c r="A5621" s="22">
        <v>43972</v>
      </c>
      <c r="D5621" s="12"/>
      <c r="F5621" s="12">
        <v>3.2</v>
      </c>
      <c r="G5621" s="12">
        <v>8.6999999999999993</v>
      </c>
      <c r="H5621" s="12">
        <v>5.3</v>
      </c>
      <c r="I5621" s="12"/>
      <c r="J5621" s="12">
        <v>8.6999999999999993</v>
      </c>
      <c r="K5621" s="12">
        <v>9.3000000000000007</v>
      </c>
      <c r="M5621" s="12">
        <v>1.3</v>
      </c>
      <c r="Q5621" s="12"/>
      <c r="R5621" s="12"/>
      <c r="U5621" s="12">
        <v>16</v>
      </c>
      <c r="X5621" s="12"/>
      <c r="AC5621" s="38">
        <v>1</v>
      </c>
    </row>
    <row r="5622" spans="1:29" x14ac:dyDescent="0.25">
      <c r="A5622" s="22">
        <v>43973</v>
      </c>
      <c r="D5622" s="12"/>
      <c r="F5622" s="12">
        <v>3.4</v>
      </c>
      <c r="G5622" s="12">
        <v>1.3</v>
      </c>
      <c r="H5622" s="12"/>
      <c r="I5622" s="12"/>
      <c r="J5622" s="12">
        <v>10.199999999999999</v>
      </c>
      <c r="K5622" s="12">
        <v>6.1</v>
      </c>
      <c r="M5622" s="12">
        <v>0</v>
      </c>
      <c r="Q5622" s="12"/>
      <c r="R5622" s="12"/>
      <c r="U5622" s="12">
        <v>1</v>
      </c>
      <c r="X5622" s="12"/>
      <c r="AC5622" s="38">
        <v>0</v>
      </c>
    </row>
    <row r="5623" spans="1:29" x14ac:dyDescent="0.25">
      <c r="A5623" s="22">
        <v>43974</v>
      </c>
      <c r="D5623" s="12"/>
      <c r="F5623" s="12">
        <v>0</v>
      </c>
      <c r="G5623" s="12">
        <v>0</v>
      </c>
      <c r="H5623" s="12"/>
      <c r="I5623" s="12"/>
      <c r="J5623" s="12">
        <v>0</v>
      </c>
      <c r="K5623" s="12">
        <v>0.8</v>
      </c>
      <c r="M5623" s="12">
        <v>0</v>
      </c>
      <c r="Q5623" s="12"/>
      <c r="R5623" s="12"/>
      <c r="U5623" s="12">
        <v>0</v>
      </c>
      <c r="X5623" s="12"/>
      <c r="AC5623" s="38">
        <v>0</v>
      </c>
    </row>
    <row r="5624" spans="1:29" x14ac:dyDescent="0.25">
      <c r="A5624" s="22">
        <v>43975</v>
      </c>
      <c r="D5624" s="12"/>
      <c r="F5624" s="12">
        <v>0</v>
      </c>
      <c r="G5624" s="12">
        <v>0</v>
      </c>
      <c r="H5624" s="12"/>
      <c r="I5624" s="12"/>
      <c r="J5624" s="12">
        <v>0</v>
      </c>
      <c r="K5624" s="12"/>
      <c r="M5624" s="12">
        <v>0</v>
      </c>
      <c r="Q5624" s="12"/>
      <c r="R5624" s="12"/>
      <c r="U5624" s="12">
        <v>0</v>
      </c>
      <c r="X5624" s="12"/>
      <c r="AC5624" s="38">
        <v>0</v>
      </c>
    </row>
    <row r="5625" spans="1:29" x14ac:dyDescent="0.25">
      <c r="A5625" s="22">
        <v>43976</v>
      </c>
      <c r="D5625" s="12"/>
      <c r="F5625" s="12">
        <v>0</v>
      </c>
      <c r="G5625" s="12">
        <v>0.5</v>
      </c>
      <c r="H5625" s="12"/>
      <c r="I5625" s="12"/>
      <c r="J5625" s="12">
        <v>0</v>
      </c>
      <c r="K5625" s="12"/>
      <c r="M5625" s="12">
        <v>1.3</v>
      </c>
      <c r="Q5625" s="12"/>
      <c r="R5625" s="12"/>
      <c r="U5625" s="12">
        <v>5</v>
      </c>
      <c r="X5625" s="12"/>
      <c r="AC5625" s="38">
        <v>0</v>
      </c>
    </row>
    <row r="5626" spans="1:29" x14ac:dyDescent="0.25">
      <c r="A5626" s="22">
        <v>43977</v>
      </c>
      <c r="D5626" s="12"/>
      <c r="F5626" s="12">
        <v>1.5</v>
      </c>
      <c r="G5626" s="12">
        <v>0</v>
      </c>
      <c r="H5626" s="12">
        <v>3.2</v>
      </c>
      <c r="I5626" s="12"/>
      <c r="J5626" s="12">
        <v>0</v>
      </c>
      <c r="K5626" s="12"/>
      <c r="M5626" s="12">
        <v>0</v>
      </c>
      <c r="Q5626" s="12"/>
      <c r="R5626" s="12"/>
      <c r="U5626" s="12">
        <v>3</v>
      </c>
      <c r="X5626" s="12"/>
      <c r="AC5626" s="38">
        <v>0</v>
      </c>
    </row>
    <row r="5627" spans="1:29" x14ac:dyDescent="0.25">
      <c r="A5627" s="22">
        <v>43978</v>
      </c>
      <c r="D5627" s="12"/>
      <c r="F5627" s="12">
        <v>0</v>
      </c>
      <c r="G5627" s="12">
        <v>0</v>
      </c>
      <c r="H5627" s="12"/>
      <c r="I5627" s="12"/>
      <c r="J5627" s="12">
        <v>0</v>
      </c>
      <c r="K5627" s="12"/>
      <c r="M5627" s="12">
        <v>0</v>
      </c>
      <c r="Q5627" s="12"/>
      <c r="R5627" s="12"/>
      <c r="U5627" s="12">
        <v>0</v>
      </c>
      <c r="X5627" s="12"/>
      <c r="AC5627" s="38">
        <v>0</v>
      </c>
    </row>
    <row r="5628" spans="1:29" x14ac:dyDescent="0.25">
      <c r="A5628" s="22">
        <v>43979</v>
      </c>
      <c r="D5628" s="12"/>
      <c r="F5628" s="12">
        <v>0</v>
      </c>
      <c r="G5628" s="12">
        <v>0</v>
      </c>
      <c r="H5628" s="12"/>
      <c r="I5628" s="12"/>
      <c r="J5628" s="12">
        <v>0</v>
      </c>
      <c r="K5628" s="12"/>
      <c r="M5628" s="12">
        <v>0</v>
      </c>
      <c r="Q5628" s="12"/>
      <c r="R5628" s="12"/>
      <c r="U5628" s="12">
        <v>0</v>
      </c>
      <c r="X5628" s="12"/>
      <c r="AC5628" s="38">
        <v>0</v>
      </c>
    </row>
    <row r="5629" spans="1:29" x14ac:dyDescent="0.25">
      <c r="A5629" s="22">
        <v>43980</v>
      </c>
      <c r="D5629" s="12"/>
      <c r="F5629" s="12">
        <v>0</v>
      </c>
      <c r="G5629" s="12">
        <v>0</v>
      </c>
      <c r="H5629" s="12"/>
      <c r="I5629" s="12"/>
      <c r="J5629" s="12"/>
      <c r="K5629" s="12"/>
      <c r="M5629" s="12">
        <v>0</v>
      </c>
      <c r="Q5629" s="12"/>
      <c r="R5629" s="12"/>
      <c r="U5629" s="12">
        <v>4</v>
      </c>
      <c r="X5629" s="12"/>
      <c r="AC5629" s="38">
        <v>0</v>
      </c>
    </row>
    <row r="5630" spans="1:29" x14ac:dyDescent="0.25">
      <c r="A5630" s="22">
        <v>43981</v>
      </c>
      <c r="D5630" s="12"/>
      <c r="F5630" s="12">
        <v>0</v>
      </c>
      <c r="G5630" s="12">
        <v>0</v>
      </c>
      <c r="H5630" s="12"/>
      <c r="I5630" s="12"/>
      <c r="J5630" s="12">
        <v>0</v>
      </c>
      <c r="K5630" s="12">
        <v>1.1000000000000001</v>
      </c>
      <c r="M5630" s="12">
        <v>0</v>
      </c>
      <c r="Q5630" s="12"/>
      <c r="R5630" s="12"/>
      <c r="U5630" s="12">
        <v>5</v>
      </c>
      <c r="X5630" s="12"/>
      <c r="AC5630" s="38">
        <v>0</v>
      </c>
    </row>
    <row r="5631" spans="1:29" x14ac:dyDescent="0.25">
      <c r="A5631" s="22">
        <v>43982</v>
      </c>
      <c r="D5631" s="12"/>
      <c r="F5631" s="12">
        <v>1.6</v>
      </c>
      <c r="G5631" s="12">
        <v>1.7</v>
      </c>
      <c r="H5631" s="12"/>
      <c r="I5631" s="12"/>
      <c r="J5631" s="12">
        <v>9.3000000000000007</v>
      </c>
      <c r="K5631" s="12">
        <v>6.5</v>
      </c>
      <c r="M5631" s="12">
        <v>0.2</v>
      </c>
      <c r="Q5631" s="12"/>
      <c r="R5631" s="12"/>
      <c r="U5631" s="12">
        <v>8</v>
      </c>
      <c r="X5631" s="12"/>
      <c r="AC5631" s="38">
        <v>2</v>
      </c>
    </row>
    <row r="5632" spans="1:29" x14ac:dyDescent="0.25">
      <c r="A5632" s="22">
        <v>43983</v>
      </c>
      <c r="D5632" s="12">
        <v>4.2</v>
      </c>
      <c r="F5632" s="12">
        <v>0</v>
      </c>
      <c r="G5632" s="12">
        <v>0</v>
      </c>
      <c r="H5632" s="12">
        <v>4.2</v>
      </c>
      <c r="I5632" s="12">
        <v>0</v>
      </c>
      <c r="J5632" s="12">
        <v>0</v>
      </c>
      <c r="K5632" s="12">
        <v>0</v>
      </c>
      <c r="M5632" s="12">
        <v>8.6999999999999993</v>
      </c>
      <c r="Q5632" s="12"/>
      <c r="R5632" s="12">
        <v>0</v>
      </c>
      <c r="U5632" s="12">
        <v>2</v>
      </c>
      <c r="X5632" s="12">
        <v>0</v>
      </c>
      <c r="AC5632" s="38">
        <v>0</v>
      </c>
    </row>
    <row r="5633" spans="1:29" x14ac:dyDescent="0.25">
      <c r="A5633" s="22">
        <v>43984</v>
      </c>
      <c r="D5633" s="12">
        <v>0</v>
      </c>
      <c r="F5633" s="12">
        <v>0</v>
      </c>
      <c r="G5633" s="12">
        <v>0</v>
      </c>
      <c r="H5633" s="12">
        <v>0</v>
      </c>
      <c r="I5633" s="12">
        <v>0</v>
      </c>
      <c r="J5633" s="12">
        <v>0.8</v>
      </c>
      <c r="K5633" s="12">
        <v>0</v>
      </c>
      <c r="M5633" s="12">
        <v>0</v>
      </c>
      <c r="Q5633" s="12"/>
      <c r="R5633" s="12">
        <v>0</v>
      </c>
      <c r="U5633" s="12">
        <v>0</v>
      </c>
      <c r="X5633" s="12">
        <v>0</v>
      </c>
      <c r="AC5633" s="38">
        <v>0</v>
      </c>
    </row>
    <row r="5634" spans="1:29" x14ac:dyDescent="0.25">
      <c r="A5634" s="22">
        <v>43985</v>
      </c>
      <c r="D5634" s="12">
        <v>3.2</v>
      </c>
      <c r="F5634" s="12">
        <v>5</v>
      </c>
      <c r="G5634" s="12">
        <v>10.1</v>
      </c>
      <c r="H5634" s="12">
        <v>2.9</v>
      </c>
      <c r="I5634" s="12">
        <v>3.7</v>
      </c>
      <c r="J5634" s="12">
        <v>8.3000000000000007</v>
      </c>
      <c r="K5634" s="12">
        <v>4.2</v>
      </c>
      <c r="M5634" s="12">
        <v>2</v>
      </c>
      <c r="Q5634" s="12"/>
      <c r="R5634" s="12">
        <v>0</v>
      </c>
      <c r="U5634" s="12">
        <v>3</v>
      </c>
      <c r="X5634" s="12">
        <v>10.199999999999999</v>
      </c>
      <c r="AC5634" s="38">
        <v>8</v>
      </c>
    </row>
    <row r="5635" spans="1:29" x14ac:dyDescent="0.25">
      <c r="A5635" s="22">
        <v>43986</v>
      </c>
      <c r="D5635" s="12">
        <v>4.0999999999999996</v>
      </c>
      <c r="F5635" s="12">
        <v>0</v>
      </c>
      <c r="G5635" s="12">
        <v>1.5</v>
      </c>
      <c r="H5635" s="12">
        <v>0</v>
      </c>
      <c r="I5635" s="12">
        <v>4.4000000000000004</v>
      </c>
      <c r="J5635" s="12">
        <v>3.4</v>
      </c>
      <c r="K5635" s="12">
        <v>0.8</v>
      </c>
      <c r="M5635" s="12">
        <v>1.5</v>
      </c>
      <c r="Q5635" s="12"/>
      <c r="R5635" s="12">
        <v>0</v>
      </c>
      <c r="U5635" s="12">
        <v>7</v>
      </c>
      <c r="X5635" s="12">
        <v>0</v>
      </c>
      <c r="AC5635" s="38">
        <v>1</v>
      </c>
    </row>
    <row r="5636" spans="1:29" x14ac:dyDescent="0.25">
      <c r="A5636" s="22">
        <v>43987</v>
      </c>
      <c r="D5636" s="12">
        <v>23.8</v>
      </c>
      <c r="F5636" s="12">
        <v>5</v>
      </c>
      <c r="G5636" s="12">
        <v>10.3</v>
      </c>
      <c r="H5636" s="12">
        <v>6.8</v>
      </c>
      <c r="I5636" s="12">
        <v>7.4</v>
      </c>
      <c r="J5636" s="12">
        <v>18.7</v>
      </c>
      <c r="K5636" s="12">
        <v>21.3</v>
      </c>
      <c r="M5636" s="12">
        <v>8.8000000000000007</v>
      </c>
      <c r="Q5636" s="12"/>
      <c r="R5636" s="12">
        <v>4.3</v>
      </c>
      <c r="U5636" s="12">
        <v>14</v>
      </c>
      <c r="X5636" s="12">
        <v>25.5</v>
      </c>
      <c r="AC5636" s="38">
        <v>33</v>
      </c>
    </row>
    <row r="5637" spans="1:29" x14ac:dyDescent="0.25">
      <c r="A5637" s="22">
        <v>43988</v>
      </c>
      <c r="D5637" s="12">
        <v>30</v>
      </c>
      <c r="F5637" s="12">
        <v>38.700000000000003</v>
      </c>
      <c r="G5637" s="12">
        <v>36.1</v>
      </c>
      <c r="H5637" s="12">
        <v>42</v>
      </c>
      <c r="I5637" s="12">
        <v>27.1</v>
      </c>
      <c r="J5637" s="12">
        <v>47.9</v>
      </c>
      <c r="K5637" s="12">
        <v>0</v>
      </c>
      <c r="M5637" s="12">
        <v>34.299999999999997</v>
      </c>
      <c r="Q5637" s="12"/>
      <c r="R5637" s="12">
        <v>24.2</v>
      </c>
      <c r="U5637" s="12">
        <v>49</v>
      </c>
      <c r="X5637" s="12">
        <v>0</v>
      </c>
      <c r="AC5637" s="38">
        <v>18</v>
      </c>
    </row>
    <row r="5638" spans="1:29" x14ac:dyDescent="0.25">
      <c r="A5638" s="22">
        <v>43989</v>
      </c>
      <c r="D5638" s="12">
        <v>70.099999999999994</v>
      </c>
      <c r="F5638" s="12">
        <v>8.5</v>
      </c>
      <c r="G5638" s="12">
        <v>10.7</v>
      </c>
      <c r="H5638" s="12">
        <v>10</v>
      </c>
      <c r="I5638" s="12">
        <v>7.7</v>
      </c>
      <c r="J5638" s="12">
        <v>48.6</v>
      </c>
      <c r="K5638" s="12">
        <v>40.799999999999997</v>
      </c>
      <c r="M5638" s="12">
        <v>12.6</v>
      </c>
      <c r="Q5638" s="12"/>
      <c r="R5638" s="12">
        <v>20.3</v>
      </c>
      <c r="U5638" s="12">
        <v>31</v>
      </c>
      <c r="X5638" s="12">
        <v>0</v>
      </c>
      <c r="AC5638" s="38">
        <v>1</v>
      </c>
    </row>
    <row r="5639" spans="1:29" x14ac:dyDescent="0.25">
      <c r="A5639" s="22">
        <v>43990</v>
      </c>
      <c r="D5639" s="12">
        <v>5</v>
      </c>
      <c r="F5639" s="12">
        <v>2.7</v>
      </c>
      <c r="G5639" s="12">
        <v>1.8</v>
      </c>
      <c r="H5639" s="12">
        <v>2</v>
      </c>
      <c r="I5639" s="12">
        <v>0.8</v>
      </c>
      <c r="J5639" s="12">
        <v>4</v>
      </c>
      <c r="K5639" s="12">
        <v>4</v>
      </c>
      <c r="M5639" s="12">
        <v>1.3</v>
      </c>
      <c r="Q5639" s="12"/>
      <c r="R5639" s="12">
        <v>0</v>
      </c>
      <c r="U5639" s="12">
        <v>7</v>
      </c>
      <c r="X5639" s="12">
        <v>20.399999999999999</v>
      </c>
      <c r="AC5639" s="38">
        <v>0</v>
      </c>
    </row>
    <row r="5640" spans="1:29" x14ac:dyDescent="0.25">
      <c r="A5640" s="22">
        <v>43991</v>
      </c>
      <c r="D5640" s="12">
        <v>1</v>
      </c>
      <c r="F5640" s="12">
        <v>12.5</v>
      </c>
      <c r="G5640" s="12">
        <v>45.5</v>
      </c>
      <c r="H5640" s="12">
        <v>0</v>
      </c>
      <c r="I5640" s="12">
        <v>0</v>
      </c>
      <c r="J5640" s="12">
        <v>0</v>
      </c>
      <c r="K5640" s="12">
        <v>0.3</v>
      </c>
      <c r="M5640" s="12">
        <v>0</v>
      </c>
      <c r="Q5640" s="12"/>
      <c r="R5640" s="12">
        <v>10.3</v>
      </c>
      <c r="U5640" s="12">
        <v>0</v>
      </c>
      <c r="X5640" s="12">
        <v>0</v>
      </c>
      <c r="AC5640" s="38">
        <v>5</v>
      </c>
    </row>
    <row r="5641" spans="1:29" x14ac:dyDescent="0.25">
      <c r="A5641" s="22">
        <v>43992</v>
      </c>
      <c r="D5641" s="12">
        <v>32.200000000000003</v>
      </c>
      <c r="F5641" s="12">
        <v>5.3</v>
      </c>
      <c r="G5641" s="12">
        <v>1.1000000000000001</v>
      </c>
      <c r="H5641" s="12">
        <v>20.7</v>
      </c>
      <c r="I5641" s="12">
        <v>33</v>
      </c>
      <c r="J5641" s="12">
        <v>48.4</v>
      </c>
      <c r="K5641" s="12">
        <v>37.5</v>
      </c>
      <c r="M5641" s="12">
        <v>34.799999999999997</v>
      </c>
      <c r="Q5641" s="12"/>
      <c r="R5641" s="12">
        <v>0</v>
      </c>
      <c r="U5641" s="12">
        <v>9</v>
      </c>
      <c r="X5641" s="12">
        <v>15.3</v>
      </c>
      <c r="AC5641" s="38">
        <v>28</v>
      </c>
    </row>
    <row r="5642" spans="1:29" x14ac:dyDescent="0.25">
      <c r="A5642" s="22">
        <v>43993</v>
      </c>
      <c r="D5642" s="12">
        <v>0</v>
      </c>
      <c r="F5642" s="12">
        <v>1.3</v>
      </c>
      <c r="G5642" s="12">
        <v>2.4</v>
      </c>
      <c r="H5642" s="12">
        <v>0</v>
      </c>
      <c r="I5642" s="12">
        <v>0.6</v>
      </c>
      <c r="J5642" s="12">
        <v>0</v>
      </c>
      <c r="K5642" s="12">
        <v>1.2</v>
      </c>
      <c r="M5642" s="12">
        <v>0</v>
      </c>
      <c r="Q5642" s="12"/>
      <c r="R5642" s="12">
        <v>1</v>
      </c>
      <c r="U5642" s="12">
        <v>5</v>
      </c>
      <c r="X5642" s="12">
        <v>0</v>
      </c>
      <c r="AC5642" s="38">
        <v>1</v>
      </c>
    </row>
    <row r="5643" spans="1:29" x14ac:dyDescent="0.25">
      <c r="A5643" s="22">
        <v>43994</v>
      </c>
      <c r="D5643" s="12">
        <v>1</v>
      </c>
      <c r="F5643" s="12">
        <v>1.4</v>
      </c>
      <c r="G5643" s="12">
        <v>0.5</v>
      </c>
      <c r="H5643" s="12">
        <v>2.5</v>
      </c>
      <c r="I5643" s="12">
        <v>1</v>
      </c>
      <c r="J5643" s="12">
        <v>0.7</v>
      </c>
      <c r="K5643" s="12">
        <v>1.9</v>
      </c>
      <c r="M5643" s="12">
        <v>2.5</v>
      </c>
      <c r="Q5643" s="12"/>
      <c r="R5643" s="12">
        <v>0</v>
      </c>
      <c r="U5643" s="12">
        <v>5</v>
      </c>
      <c r="X5643" s="12">
        <v>2.5</v>
      </c>
      <c r="AC5643" s="38">
        <v>0</v>
      </c>
    </row>
    <row r="5644" spans="1:29" x14ac:dyDescent="0.25">
      <c r="A5644" s="22">
        <v>43995</v>
      </c>
      <c r="D5644" s="12">
        <v>2.4</v>
      </c>
      <c r="F5644" s="12">
        <v>0</v>
      </c>
      <c r="G5644" s="12">
        <v>0</v>
      </c>
      <c r="H5644" s="12">
        <v>0</v>
      </c>
      <c r="I5644" s="12">
        <v>0.4</v>
      </c>
      <c r="J5644" s="12">
        <v>0</v>
      </c>
      <c r="K5644" s="12">
        <v>0.4</v>
      </c>
      <c r="M5644" s="12">
        <v>0</v>
      </c>
      <c r="Q5644" s="12"/>
      <c r="R5644" s="12">
        <v>0</v>
      </c>
      <c r="U5644" s="12">
        <v>0</v>
      </c>
      <c r="X5644" s="12">
        <v>0</v>
      </c>
      <c r="AC5644" s="38">
        <v>0</v>
      </c>
    </row>
    <row r="5645" spans="1:29" x14ac:dyDescent="0.25">
      <c r="A5645" s="22">
        <v>43996</v>
      </c>
      <c r="D5645" s="12">
        <v>0</v>
      </c>
      <c r="F5645" s="12">
        <v>1</v>
      </c>
      <c r="G5645" s="12">
        <v>0</v>
      </c>
      <c r="H5645" s="12">
        <v>0</v>
      </c>
      <c r="I5645" s="12">
        <v>0</v>
      </c>
      <c r="J5645" s="12">
        <v>0.1</v>
      </c>
      <c r="K5645" s="12">
        <v>0</v>
      </c>
      <c r="M5645" s="12">
        <v>0</v>
      </c>
      <c r="Q5645" s="12"/>
      <c r="R5645" s="12">
        <v>0</v>
      </c>
      <c r="U5645" s="12">
        <v>2</v>
      </c>
      <c r="X5645" s="12">
        <v>0</v>
      </c>
      <c r="AC5645" s="38">
        <v>0</v>
      </c>
    </row>
    <row r="5646" spans="1:29" x14ac:dyDescent="0.25">
      <c r="A5646" s="22">
        <v>43997</v>
      </c>
      <c r="D5646" s="12">
        <v>7.3</v>
      </c>
      <c r="F5646" s="12">
        <v>1</v>
      </c>
      <c r="G5646" s="12">
        <v>2.5</v>
      </c>
      <c r="H5646" s="12">
        <v>1.8</v>
      </c>
      <c r="I5646" s="12">
        <v>0.8</v>
      </c>
      <c r="J5646" s="12">
        <v>4.2</v>
      </c>
      <c r="K5646" s="12">
        <v>3.4</v>
      </c>
      <c r="M5646" s="12">
        <v>4.2</v>
      </c>
      <c r="Q5646" s="12"/>
      <c r="R5646" s="12">
        <v>1.1000000000000001</v>
      </c>
      <c r="U5646" s="12">
        <v>6</v>
      </c>
      <c r="X5646" s="12">
        <v>10.1</v>
      </c>
      <c r="AC5646" s="38">
        <v>3</v>
      </c>
    </row>
    <row r="5647" spans="1:29" x14ac:dyDescent="0.25">
      <c r="A5647" s="22">
        <v>43998</v>
      </c>
      <c r="D5647" s="12">
        <v>0</v>
      </c>
      <c r="F5647" s="12">
        <v>1.6</v>
      </c>
      <c r="G5647" s="12">
        <v>7.9</v>
      </c>
      <c r="H5647" s="12">
        <v>0</v>
      </c>
      <c r="I5647" s="12">
        <v>4.4000000000000004</v>
      </c>
      <c r="J5647" s="12">
        <v>64</v>
      </c>
      <c r="K5647" s="12">
        <v>4</v>
      </c>
      <c r="M5647" s="12">
        <v>5.6</v>
      </c>
      <c r="Q5647" s="12"/>
      <c r="R5647" s="12">
        <v>0.5</v>
      </c>
      <c r="U5647" s="12">
        <v>1</v>
      </c>
      <c r="X5647" s="12">
        <v>0</v>
      </c>
      <c r="AC5647" s="38">
        <v>0</v>
      </c>
    </row>
    <row r="5648" spans="1:29" x14ac:dyDescent="0.25">
      <c r="A5648" s="22">
        <v>43999</v>
      </c>
      <c r="D5648" s="12">
        <v>7.5</v>
      </c>
      <c r="F5648" s="12">
        <v>0</v>
      </c>
      <c r="G5648" s="12">
        <v>0</v>
      </c>
      <c r="H5648" s="12">
        <v>0</v>
      </c>
      <c r="I5648" s="12">
        <v>1.8</v>
      </c>
      <c r="J5648" s="12">
        <v>0</v>
      </c>
      <c r="K5648" s="12">
        <v>1.8</v>
      </c>
      <c r="M5648" s="12">
        <v>0.8</v>
      </c>
      <c r="Q5648" s="12"/>
      <c r="R5648" s="12">
        <v>1.7</v>
      </c>
      <c r="U5648" s="12">
        <v>6</v>
      </c>
      <c r="X5648" s="12">
        <v>2.7</v>
      </c>
      <c r="AC5648" s="38">
        <v>7</v>
      </c>
    </row>
    <row r="5649" spans="1:29" x14ac:dyDescent="0.25">
      <c r="A5649" s="22">
        <v>44000</v>
      </c>
      <c r="D5649" s="12">
        <v>6.7</v>
      </c>
      <c r="F5649" s="12">
        <v>3.2</v>
      </c>
      <c r="G5649" s="12">
        <v>16.899999999999999</v>
      </c>
      <c r="H5649" s="12">
        <v>8.6</v>
      </c>
      <c r="I5649" s="12">
        <v>9.6</v>
      </c>
      <c r="J5649" s="12">
        <v>14.2</v>
      </c>
      <c r="K5649" s="12">
        <v>11.4</v>
      </c>
      <c r="M5649" s="12">
        <v>10.5</v>
      </c>
      <c r="Q5649" s="12"/>
      <c r="R5649" s="12">
        <v>5.7</v>
      </c>
      <c r="U5649" s="12">
        <v>6</v>
      </c>
      <c r="X5649" s="12">
        <v>3.7</v>
      </c>
      <c r="AC5649" s="38">
        <v>14</v>
      </c>
    </row>
    <row r="5650" spans="1:29" x14ac:dyDescent="0.25">
      <c r="A5650" s="22">
        <v>44001</v>
      </c>
      <c r="D5650" s="12">
        <v>13.5</v>
      </c>
      <c r="F5650" s="12">
        <v>14.1</v>
      </c>
      <c r="G5650" s="12">
        <v>14.3</v>
      </c>
      <c r="H5650" s="12">
        <v>13.3</v>
      </c>
      <c r="I5650" s="12">
        <v>18.899999999999999</v>
      </c>
      <c r="J5650" s="12">
        <v>24.1</v>
      </c>
      <c r="K5650" s="12">
        <v>21.8</v>
      </c>
      <c r="M5650" s="12">
        <v>13</v>
      </c>
      <c r="Q5650" s="12"/>
      <c r="R5650" s="12">
        <v>15.3</v>
      </c>
      <c r="U5650" s="12">
        <v>14</v>
      </c>
      <c r="X5650" s="12">
        <v>0</v>
      </c>
      <c r="AC5650" s="38">
        <v>5</v>
      </c>
    </row>
    <row r="5651" spans="1:29" x14ac:dyDescent="0.25">
      <c r="A5651" s="22">
        <v>44002</v>
      </c>
      <c r="D5651" s="12">
        <v>4.5</v>
      </c>
      <c r="F5651" s="12">
        <v>7</v>
      </c>
      <c r="G5651" s="12">
        <v>8.9</v>
      </c>
      <c r="H5651" s="12">
        <v>6.6</v>
      </c>
      <c r="I5651" s="12">
        <v>3.8</v>
      </c>
      <c r="J5651" s="12">
        <v>10</v>
      </c>
      <c r="K5651" s="12">
        <v>7.3</v>
      </c>
      <c r="M5651" s="12">
        <v>10.7</v>
      </c>
      <c r="Q5651" s="12"/>
      <c r="R5651" s="12">
        <v>5.4</v>
      </c>
      <c r="U5651" s="12">
        <v>10</v>
      </c>
      <c r="X5651" s="12">
        <v>10.5</v>
      </c>
      <c r="AC5651" s="38">
        <v>0</v>
      </c>
    </row>
    <row r="5652" spans="1:29" x14ac:dyDescent="0.25">
      <c r="A5652" s="22">
        <v>44003</v>
      </c>
      <c r="D5652" s="12">
        <v>25.6</v>
      </c>
      <c r="F5652" s="12">
        <v>0</v>
      </c>
      <c r="G5652" s="12">
        <v>2.6</v>
      </c>
      <c r="H5652" s="12">
        <v>1.5</v>
      </c>
      <c r="I5652" s="12">
        <v>0.7</v>
      </c>
      <c r="J5652" s="12">
        <v>6.9</v>
      </c>
      <c r="K5652" s="12">
        <v>0</v>
      </c>
      <c r="M5652" s="12">
        <v>1.8</v>
      </c>
      <c r="Q5652" s="12"/>
      <c r="R5652" s="12">
        <v>2.4</v>
      </c>
      <c r="U5652" s="12">
        <v>3</v>
      </c>
      <c r="X5652" s="12">
        <v>0</v>
      </c>
      <c r="AC5652" s="38">
        <v>0</v>
      </c>
    </row>
    <row r="5653" spans="1:29" x14ac:dyDescent="0.25">
      <c r="A5653" s="22">
        <v>44004</v>
      </c>
      <c r="D5653" s="12">
        <v>0</v>
      </c>
      <c r="F5653" s="12">
        <v>16.399999999999999</v>
      </c>
      <c r="G5653" s="12">
        <v>2.4</v>
      </c>
      <c r="H5653" s="12">
        <v>2.6</v>
      </c>
      <c r="I5653" s="12">
        <v>0.4</v>
      </c>
      <c r="J5653" s="12">
        <v>14.8</v>
      </c>
      <c r="K5653" s="12">
        <v>13.3</v>
      </c>
      <c r="M5653" s="12">
        <v>2</v>
      </c>
      <c r="Q5653" s="12"/>
      <c r="R5653" s="12">
        <v>0</v>
      </c>
      <c r="U5653" s="12">
        <v>1</v>
      </c>
      <c r="X5653" s="12">
        <v>20.3</v>
      </c>
      <c r="AC5653" s="38">
        <v>0</v>
      </c>
    </row>
    <row r="5654" spans="1:29" x14ac:dyDescent="0.25">
      <c r="A5654" s="22">
        <v>44005</v>
      </c>
      <c r="D5654" s="12">
        <v>0</v>
      </c>
      <c r="F5654" s="12">
        <v>0</v>
      </c>
      <c r="G5654" s="12">
        <v>0</v>
      </c>
      <c r="H5654" s="12">
        <v>0</v>
      </c>
      <c r="I5654" s="12">
        <v>0</v>
      </c>
      <c r="J5654" s="12">
        <v>0</v>
      </c>
      <c r="K5654" s="12">
        <v>0</v>
      </c>
      <c r="M5654" s="12">
        <v>0</v>
      </c>
      <c r="Q5654" s="12"/>
      <c r="R5654" s="12">
        <v>1.5</v>
      </c>
      <c r="U5654" s="12">
        <v>0</v>
      </c>
      <c r="X5654" s="12">
        <v>0</v>
      </c>
      <c r="AC5654" s="38">
        <v>0</v>
      </c>
    </row>
    <row r="5655" spans="1:29" x14ac:dyDescent="0.25">
      <c r="A5655" s="22">
        <v>44006</v>
      </c>
      <c r="D5655" s="12">
        <v>1.4</v>
      </c>
      <c r="F5655" s="12">
        <v>2</v>
      </c>
      <c r="G5655" s="12">
        <v>5.6</v>
      </c>
      <c r="H5655" s="12">
        <v>0</v>
      </c>
      <c r="I5655" s="12">
        <v>1.8</v>
      </c>
      <c r="J5655" s="12">
        <v>1.6</v>
      </c>
      <c r="K5655" s="12">
        <v>1</v>
      </c>
      <c r="M5655" s="12">
        <v>3.5</v>
      </c>
      <c r="Q5655" s="12"/>
      <c r="R5655" s="12">
        <v>0.1</v>
      </c>
      <c r="U5655" s="12">
        <v>1</v>
      </c>
      <c r="X5655" s="12">
        <v>5.4</v>
      </c>
      <c r="AC5655" s="38">
        <v>3</v>
      </c>
    </row>
    <row r="5656" spans="1:29" x14ac:dyDescent="0.25">
      <c r="A5656" s="22">
        <v>44007</v>
      </c>
      <c r="D5656" s="12">
        <v>1.9</v>
      </c>
      <c r="F5656" s="12">
        <v>4.3</v>
      </c>
      <c r="G5656" s="12">
        <v>2.9</v>
      </c>
      <c r="H5656" s="12">
        <v>4.0999999999999996</v>
      </c>
      <c r="I5656" s="12">
        <v>0.1</v>
      </c>
      <c r="J5656" s="12">
        <v>1.8</v>
      </c>
      <c r="K5656" s="12">
        <v>1.5</v>
      </c>
      <c r="M5656" s="12">
        <v>3.3</v>
      </c>
      <c r="Q5656" s="12"/>
      <c r="R5656" s="12">
        <v>5.9</v>
      </c>
      <c r="U5656" s="12">
        <v>1</v>
      </c>
      <c r="X5656" s="12">
        <v>0</v>
      </c>
      <c r="AC5656" s="38">
        <v>3</v>
      </c>
    </row>
    <row r="5657" spans="1:29" x14ac:dyDescent="0.25">
      <c r="A5657" s="22">
        <v>44008</v>
      </c>
      <c r="D5657" s="12">
        <v>8.8000000000000007</v>
      </c>
      <c r="F5657" s="12">
        <v>6</v>
      </c>
      <c r="G5657" s="12">
        <v>9.4</v>
      </c>
      <c r="H5657" s="12">
        <v>7.9</v>
      </c>
      <c r="I5657" s="12">
        <v>10.3</v>
      </c>
      <c r="J5657" s="12">
        <v>4.5999999999999996</v>
      </c>
      <c r="K5657" s="12">
        <v>2.7</v>
      </c>
      <c r="M5657" s="12">
        <v>9.1999999999999993</v>
      </c>
      <c r="Q5657" s="12"/>
      <c r="R5657" s="12">
        <v>0</v>
      </c>
      <c r="U5657" s="12">
        <v>2</v>
      </c>
      <c r="X5657" s="12">
        <v>12.9</v>
      </c>
      <c r="AC5657" s="38">
        <v>2</v>
      </c>
    </row>
    <row r="5658" spans="1:29" x14ac:dyDescent="0.25">
      <c r="A5658" s="22">
        <v>44009</v>
      </c>
      <c r="D5658" s="12">
        <v>1.2</v>
      </c>
      <c r="F5658" s="12">
        <v>0</v>
      </c>
      <c r="G5658" s="12">
        <v>0</v>
      </c>
      <c r="H5658" s="12">
        <v>0</v>
      </c>
      <c r="I5658" s="12">
        <v>13.6</v>
      </c>
      <c r="J5658" s="12">
        <v>35</v>
      </c>
      <c r="K5658" s="12">
        <v>3.8</v>
      </c>
      <c r="M5658" s="12">
        <v>0</v>
      </c>
      <c r="Q5658" s="12"/>
      <c r="R5658" s="12">
        <v>0</v>
      </c>
      <c r="U5658" s="12">
        <v>4</v>
      </c>
      <c r="X5658" s="12">
        <v>0</v>
      </c>
      <c r="AC5658" s="38">
        <v>12</v>
      </c>
    </row>
    <row r="5659" spans="1:29" x14ac:dyDescent="0.25">
      <c r="A5659" s="22">
        <v>44010</v>
      </c>
      <c r="D5659" s="12">
        <v>25.4</v>
      </c>
      <c r="F5659" s="12">
        <v>15</v>
      </c>
      <c r="G5659" s="12">
        <v>17.899999999999999</v>
      </c>
      <c r="H5659" s="12">
        <v>13.4</v>
      </c>
      <c r="I5659" s="12">
        <v>0</v>
      </c>
      <c r="J5659" s="12">
        <v>28.2</v>
      </c>
      <c r="K5659" s="12">
        <v>21.1</v>
      </c>
      <c r="M5659" s="12">
        <v>15.3</v>
      </c>
      <c r="Q5659" s="12"/>
      <c r="R5659" s="12">
        <v>0</v>
      </c>
      <c r="U5659" s="12">
        <v>16</v>
      </c>
      <c r="X5659" s="12">
        <v>28.3</v>
      </c>
      <c r="AC5659" s="38">
        <v>0</v>
      </c>
    </row>
    <row r="5660" spans="1:29" x14ac:dyDescent="0.25">
      <c r="A5660" s="22">
        <v>44011</v>
      </c>
      <c r="D5660" s="12">
        <v>2.1</v>
      </c>
      <c r="F5660" s="12">
        <v>0.7</v>
      </c>
      <c r="G5660" s="12">
        <v>2.4</v>
      </c>
      <c r="H5660" s="12">
        <v>0</v>
      </c>
      <c r="I5660" s="12">
        <v>0.8</v>
      </c>
      <c r="J5660" s="12">
        <v>0.1</v>
      </c>
      <c r="K5660" s="12">
        <v>0.4</v>
      </c>
      <c r="M5660" s="12">
        <v>2.4</v>
      </c>
      <c r="Q5660" s="12"/>
      <c r="R5660" s="12">
        <v>0</v>
      </c>
      <c r="U5660" s="12">
        <v>0</v>
      </c>
      <c r="X5660" s="12">
        <v>0</v>
      </c>
      <c r="AC5660" s="38">
        <v>4</v>
      </c>
    </row>
    <row r="5661" spans="1:29" x14ac:dyDescent="0.25">
      <c r="A5661" s="22">
        <v>44012</v>
      </c>
      <c r="D5661" s="12">
        <v>1.9</v>
      </c>
      <c r="F5661" s="12">
        <v>0.6</v>
      </c>
      <c r="G5661" s="12">
        <v>2.8</v>
      </c>
      <c r="H5661" s="12">
        <v>1.5</v>
      </c>
      <c r="I5661" s="12">
        <v>0.8</v>
      </c>
      <c r="J5661" s="12">
        <v>27</v>
      </c>
      <c r="K5661" s="12">
        <v>5.4</v>
      </c>
      <c r="M5661" s="12">
        <v>3.9</v>
      </c>
      <c r="Q5661" s="12"/>
      <c r="R5661" s="12">
        <v>6.6</v>
      </c>
      <c r="U5661" s="12">
        <v>1</v>
      </c>
      <c r="X5661" s="12">
        <v>0</v>
      </c>
      <c r="AC5661" s="38">
        <v>5</v>
      </c>
    </row>
    <row r="5662" spans="1:29" x14ac:dyDescent="0.25">
      <c r="A5662" s="22">
        <v>44013</v>
      </c>
      <c r="D5662" s="12"/>
      <c r="F5662" s="12">
        <v>2</v>
      </c>
      <c r="G5662" s="12">
        <v>4.0999999999999996</v>
      </c>
      <c r="H5662" s="12"/>
      <c r="I5662" s="12"/>
      <c r="J5662" s="12">
        <v>49</v>
      </c>
      <c r="K5662" s="12"/>
      <c r="M5662" s="12">
        <v>4.5999999999999996</v>
      </c>
      <c r="Q5662" s="12">
        <v>0.2</v>
      </c>
      <c r="R5662" s="12"/>
      <c r="U5662" s="12"/>
      <c r="X5662" s="12"/>
      <c r="AC5662" s="38">
        <v>0</v>
      </c>
    </row>
    <row r="5663" spans="1:29" x14ac:dyDescent="0.25">
      <c r="A5663" s="22">
        <v>44014</v>
      </c>
      <c r="D5663" s="12"/>
      <c r="F5663" s="12">
        <v>0</v>
      </c>
      <c r="G5663" s="12">
        <v>0.9</v>
      </c>
      <c r="H5663" s="12"/>
      <c r="I5663" s="12"/>
      <c r="J5663" s="12">
        <v>0</v>
      </c>
      <c r="K5663" s="12"/>
      <c r="M5663" s="12">
        <v>0.1</v>
      </c>
      <c r="Q5663" s="12">
        <v>0</v>
      </c>
      <c r="R5663" s="12"/>
      <c r="U5663" s="12"/>
      <c r="X5663" s="12"/>
      <c r="AC5663" s="38">
        <v>0</v>
      </c>
    </row>
    <row r="5664" spans="1:29" x14ac:dyDescent="0.25">
      <c r="A5664" s="22">
        <v>44015</v>
      </c>
      <c r="D5664" s="12"/>
      <c r="F5664" s="12">
        <v>0</v>
      </c>
      <c r="G5664" s="12">
        <v>0</v>
      </c>
      <c r="H5664" s="12"/>
      <c r="I5664" s="12"/>
      <c r="J5664" s="12">
        <v>0.3</v>
      </c>
      <c r="K5664" s="12"/>
      <c r="M5664" s="12">
        <v>0</v>
      </c>
      <c r="Q5664" s="12">
        <v>0</v>
      </c>
      <c r="R5664" s="12"/>
      <c r="U5664" s="12"/>
      <c r="X5664" s="12"/>
      <c r="AC5664" s="38">
        <v>0</v>
      </c>
    </row>
    <row r="5665" spans="1:29" x14ac:dyDescent="0.25">
      <c r="A5665" s="22">
        <v>44016</v>
      </c>
      <c r="D5665" s="12"/>
      <c r="F5665" s="12">
        <v>0</v>
      </c>
      <c r="G5665" s="12">
        <v>5</v>
      </c>
      <c r="H5665" s="12"/>
      <c r="I5665" s="12"/>
      <c r="J5665" s="12">
        <v>13</v>
      </c>
      <c r="K5665" s="12"/>
      <c r="M5665" s="12">
        <v>6.9</v>
      </c>
      <c r="Q5665" s="12">
        <v>0</v>
      </c>
      <c r="R5665" s="12"/>
      <c r="U5665" s="12"/>
      <c r="X5665" s="12"/>
      <c r="AC5665" s="38">
        <v>0</v>
      </c>
    </row>
    <row r="5666" spans="1:29" x14ac:dyDescent="0.25">
      <c r="A5666" s="22">
        <v>44017</v>
      </c>
      <c r="D5666" s="12"/>
      <c r="F5666" s="12">
        <v>0</v>
      </c>
      <c r="G5666" s="12">
        <v>0</v>
      </c>
      <c r="H5666" s="12"/>
      <c r="I5666" s="12"/>
      <c r="J5666" s="12">
        <v>0.1</v>
      </c>
      <c r="K5666" s="12"/>
      <c r="M5666" s="12">
        <v>0</v>
      </c>
      <c r="Q5666" s="12">
        <v>6.1</v>
      </c>
      <c r="R5666" s="12"/>
      <c r="U5666" s="12"/>
      <c r="X5666" s="12"/>
      <c r="AC5666" s="38">
        <v>1</v>
      </c>
    </row>
    <row r="5667" spans="1:29" x14ac:dyDescent="0.25">
      <c r="A5667" s="22">
        <v>44018</v>
      </c>
      <c r="D5667" s="12"/>
      <c r="F5667" s="12">
        <v>4</v>
      </c>
      <c r="G5667" s="12">
        <v>0</v>
      </c>
      <c r="H5667" s="12"/>
      <c r="I5667" s="12"/>
      <c r="J5667" s="12">
        <v>13.9</v>
      </c>
      <c r="K5667" s="12"/>
      <c r="M5667" s="12">
        <v>8.4</v>
      </c>
      <c r="Q5667" s="12">
        <v>31.9</v>
      </c>
      <c r="R5667" s="12"/>
      <c r="U5667" s="12"/>
      <c r="X5667" s="12"/>
      <c r="AC5667" s="38">
        <v>11</v>
      </c>
    </row>
    <row r="5668" spans="1:29" x14ac:dyDescent="0.25">
      <c r="A5668" s="22">
        <v>44019</v>
      </c>
      <c r="D5668" s="12"/>
      <c r="F5668" s="12">
        <v>26.3</v>
      </c>
      <c r="G5668" s="12">
        <v>31.6</v>
      </c>
      <c r="H5668" s="12"/>
      <c r="I5668" s="12"/>
      <c r="J5668" s="12">
        <v>38.700000000000003</v>
      </c>
      <c r="K5668" s="12"/>
      <c r="M5668" s="12">
        <v>24.8</v>
      </c>
      <c r="Q5668" s="12">
        <v>1.1000000000000001</v>
      </c>
      <c r="R5668" s="12"/>
      <c r="U5668" s="12"/>
      <c r="X5668" s="12"/>
      <c r="AC5668" s="38">
        <v>2</v>
      </c>
    </row>
    <row r="5669" spans="1:29" x14ac:dyDescent="0.25">
      <c r="A5669" s="22">
        <v>44020</v>
      </c>
      <c r="D5669" s="12"/>
      <c r="F5669" s="12">
        <v>0</v>
      </c>
      <c r="G5669" s="12">
        <v>0</v>
      </c>
      <c r="H5669" s="12"/>
      <c r="I5669" s="12"/>
      <c r="J5669" s="12">
        <v>0</v>
      </c>
      <c r="K5669" s="12"/>
      <c r="M5669" s="12">
        <v>0</v>
      </c>
      <c r="Q5669" s="12">
        <v>0</v>
      </c>
      <c r="R5669" s="12"/>
      <c r="U5669" s="12"/>
      <c r="X5669" s="12"/>
      <c r="AC5669" s="38">
        <v>0</v>
      </c>
    </row>
    <row r="5670" spans="1:29" x14ac:dyDescent="0.25">
      <c r="A5670" s="22">
        <v>44021</v>
      </c>
      <c r="D5670" s="12"/>
      <c r="F5670" s="12">
        <v>0</v>
      </c>
      <c r="G5670" s="12">
        <v>0.3</v>
      </c>
      <c r="H5670" s="12"/>
      <c r="I5670" s="12"/>
      <c r="J5670" s="12">
        <v>0</v>
      </c>
      <c r="K5670" s="12"/>
      <c r="M5670" s="12">
        <v>0.1</v>
      </c>
      <c r="Q5670" s="12">
        <v>9.6999999999999993</v>
      </c>
      <c r="R5670" s="12"/>
      <c r="U5670" s="12"/>
      <c r="X5670" s="12"/>
      <c r="AC5670" s="38">
        <v>5</v>
      </c>
    </row>
    <row r="5671" spans="1:29" x14ac:dyDescent="0.25">
      <c r="A5671" s="22">
        <v>44022</v>
      </c>
      <c r="D5671" s="12"/>
      <c r="F5671" s="12">
        <v>6.2</v>
      </c>
      <c r="G5671" s="12">
        <v>5.8</v>
      </c>
      <c r="H5671" s="12"/>
      <c r="I5671" s="12"/>
      <c r="J5671" s="12">
        <v>12.6</v>
      </c>
      <c r="K5671" s="12"/>
      <c r="M5671" s="12">
        <v>5.6</v>
      </c>
      <c r="Q5671" s="12">
        <v>0</v>
      </c>
      <c r="R5671" s="12"/>
      <c r="U5671" s="12"/>
      <c r="X5671" s="12"/>
      <c r="AC5671" s="38">
        <v>2</v>
      </c>
    </row>
    <row r="5672" spans="1:29" x14ac:dyDescent="0.25">
      <c r="A5672" s="22">
        <v>44023</v>
      </c>
      <c r="D5672" s="12"/>
      <c r="F5672" s="12">
        <v>5.9</v>
      </c>
      <c r="G5672" s="12">
        <v>2.4</v>
      </c>
      <c r="H5672" s="12"/>
      <c r="I5672" s="12"/>
      <c r="J5672" s="12">
        <v>46</v>
      </c>
      <c r="K5672" s="12"/>
      <c r="M5672" s="12">
        <v>2.8</v>
      </c>
      <c r="Q5672" s="12">
        <v>3.4</v>
      </c>
      <c r="R5672" s="12"/>
      <c r="U5672" s="12"/>
      <c r="X5672" s="12"/>
      <c r="AC5672" s="38">
        <v>1</v>
      </c>
    </row>
    <row r="5673" spans="1:29" x14ac:dyDescent="0.25">
      <c r="A5673" s="22">
        <v>44024</v>
      </c>
      <c r="D5673" s="12"/>
      <c r="F5673" s="12">
        <v>3.1</v>
      </c>
      <c r="G5673" s="12">
        <v>3.9</v>
      </c>
      <c r="H5673" s="12"/>
      <c r="I5673" s="12"/>
      <c r="J5673" s="12">
        <v>8.5</v>
      </c>
      <c r="K5673" s="12"/>
      <c r="M5673" s="12">
        <v>2</v>
      </c>
      <c r="Q5673" s="12">
        <v>22.2</v>
      </c>
      <c r="R5673" s="12"/>
      <c r="U5673" s="12"/>
      <c r="X5673" s="12"/>
      <c r="AC5673" s="38">
        <v>6</v>
      </c>
    </row>
    <row r="5674" spans="1:29" x14ac:dyDescent="0.25">
      <c r="A5674" s="22">
        <v>44025</v>
      </c>
      <c r="D5674" s="12"/>
      <c r="F5674" s="12">
        <v>22.8</v>
      </c>
      <c r="G5674" s="12">
        <v>13.4</v>
      </c>
      <c r="H5674" s="12"/>
      <c r="I5674" s="12"/>
      <c r="J5674" s="12">
        <v>18.100000000000001</v>
      </c>
      <c r="K5674" s="12"/>
      <c r="M5674" s="12">
        <v>14.4</v>
      </c>
      <c r="Q5674" s="12">
        <v>0</v>
      </c>
      <c r="R5674" s="12"/>
      <c r="U5674" s="12"/>
      <c r="X5674" s="12"/>
      <c r="AC5674" s="38">
        <v>0</v>
      </c>
    </row>
    <row r="5675" spans="1:29" x14ac:dyDescent="0.25">
      <c r="A5675" s="22">
        <v>44026</v>
      </c>
      <c r="D5675" s="12"/>
      <c r="F5675" s="12">
        <v>0</v>
      </c>
      <c r="G5675" s="12">
        <v>0</v>
      </c>
      <c r="H5675" s="12"/>
      <c r="I5675" s="12"/>
      <c r="J5675" s="12">
        <v>0</v>
      </c>
      <c r="K5675" s="12"/>
      <c r="M5675" s="12">
        <v>0</v>
      </c>
      <c r="Q5675" s="12">
        <v>3.1</v>
      </c>
      <c r="R5675" s="12"/>
      <c r="U5675" s="12"/>
      <c r="X5675" s="12"/>
      <c r="AC5675" s="38">
        <v>0</v>
      </c>
    </row>
    <row r="5676" spans="1:29" x14ac:dyDescent="0.25">
      <c r="A5676" s="22">
        <v>44027</v>
      </c>
      <c r="D5676" s="12"/>
      <c r="F5676" s="12">
        <v>1</v>
      </c>
      <c r="G5676" s="12">
        <v>1.2</v>
      </c>
      <c r="H5676" s="12"/>
      <c r="I5676" s="12"/>
      <c r="J5676" s="12">
        <v>0</v>
      </c>
      <c r="K5676" s="12"/>
      <c r="M5676" s="12">
        <v>0.8</v>
      </c>
      <c r="Q5676" s="12">
        <v>0.4</v>
      </c>
      <c r="R5676" s="12"/>
      <c r="U5676" s="12"/>
      <c r="X5676" s="12"/>
      <c r="AC5676" s="38">
        <v>0</v>
      </c>
    </row>
    <row r="5677" spans="1:29" x14ac:dyDescent="0.25">
      <c r="A5677" s="22">
        <v>44028</v>
      </c>
      <c r="D5677" s="12"/>
      <c r="F5677" s="12">
        <v>0</v>
      </c>
      <c r="G5677" s="12">
        <v>0</v>
      </c>
      <c r="H5677" s="12"/>
      <c r="I5677" s="12"/>
      <c r="J5677" s="12">
        <v>1.3</v>
      </c>
      <c r="K5677" s="12"/>
      <c r="M5677" s="12">
        <v>0.4</v>
      </c>
      <c r="Q5677" s="12">
        <v>0</v>
      </c>
      <c r="R5677" s="12"/>
      <c r="U5677" s="12"/>
      <c r="X5677" s="12"/>
      <c r="AC5677" s="38">
        <v>0</v>
      </c>
    </row>
    <row r="5678" spans="1:29" x14ac:dyDescent="0.25">
      <c r="A5678" s="22">
        <v>44029</v>
      </c>
      <c r="D5678" s="12"/>
      <c r="F5678" s="12">
        <v>2.2999999999999998</v>
      </c>
      <c r="G5678" s="12">
        <v>14.1</v>
      </c>
      <c r="H5678" s="12"/>
      <c r="I5678" s="12"/>
      <c r="J5678" s="12">
        <v>11.8</v>
      </c>
      <c r="K5678" s="12"/>
      <c r="M5678" s="12">
        <v>6.9</v>
      </c>
      <c r="Q5678" s="12">
        <v>0</v>
      </c>
      <c r="R5678" s="12"/>
      <c r="U5678" s="12"/>
      <c r="X5678" s="12"/>
      <c r="AC5678" s="38">
        <v>2</v>
      </c>
    </row>
    <row r="5679" spans="1:29" x14ac:dyDescent="0.25">
      <c r="A5679" s="22">
        <v>44030</v>
      </c>
      <c r="D5679" s="12"/>
      <c r="F5679" s="12">
        <v>0</v>
      </c>
      <c r="G5679" s="12">
        <v>0.4</v>
      </c>
      <c r="H5679" s="12"/>
      <c r="I5679" s="12"/>
      <c r="J5679" s="12">
        <v>0</v>
      </c>
      <c r="K5679" s="12"/>
      <c r="M5679" s="12">
        <v>0</v>
      </c>
      <c r="Q5679" s="12">
        <v>0</v>
      </c>
      <c r="R5679" s="12"/>
      <c r="U5679" s="12"/>
      <c r="X5679" s="12"/>
      <c r="AC5679" s="38">
        <v>0</v>
      </c>
    </row>
    <row r="5680" spans="1:29" x14ac:dyDescent="0.25">
      <c r="A5680" s="22">
        <v>44031</v>
      </c>
      <c r="D5680" s="12"/>
      <c r="F5680" s="12">
        <v>0</v>
      </c>
      <c r="G5680" s="12">
        <v>2.9</v>
      </c>
      <c r="H5680" s="12"/>
      <c r="I5680" s="12"/>
      <c r="J5680" s="12">
        <v>1.6</v>
      </c>
      <c r="K5680" s="12"/>
      <c r="M5680" s="12">
        <v>6.5</v>
      </c>
      <c r="Q5680" s="12">
        <v>4</v>
      </c>
      <c r="R5680" s="12"/>
      <c r="U5680" s="12"/>
      <c r="X5680" s="12"/>
      <c r="AC5680" s="38">
        <v>1</v>
      </c>
    </row>
    <row r="5681" spans="1:29" x14ac:dyDescent="0.25">
      <c r="A5681" s="22">
        <v>44032</v>
      </c>
      <c r="D5681" s="12"/>
      <c r="F5681" s="12">
        <v>3</v>
      </c>
      <c r="G5681" s="12">
        <v>1.5</v>
      </c>
      <c r="H5681" s="12"/>
      <c r="I5681" s="12"/>
      <c r="J5681" s="12">
        <v>2.9</v>
      </c>
      <c r="K5681" s="12"/>
      <c r="M5681" s="12">
        <v>0.5</v>
      </c>
      <c r="Q5681" s="12">
        <v>2.7</v>
      </c>
      <c r="R5681" s="12"/>
      <c r="U5681" s="12"/>
      <c r="X5681" s="12"/>
      <c r="AC5681" s="38">
        <v>1</v>
      </c>
    </row>
    <row r="5682" spans="1:29" x14ac:dyDescent="0.25">
      <c r="A5682" s="22">
        <v>44033</v>
      </c>
      <c r="D5682" s="12"/>
      <c r="F5682" s="12">
        <v>0</v>
      </c>
      <c r="G5682" s="12">
        <v>11.3</v>
      </c>
      <c r="H5682" s="12"/>
      <c r="I5682" s="12"/>
      <c r="J5682" s="12">
        <v>81</v>
      </c>
      <c r="K5682" s="12"/>
      <c r="M5682" s="12">
        <v>1.8</v>
      </c>
      <c r="Q5682" s="12">
        <v>0.6</v>
      </c>
      <c r="R5682" s="12"/>
      <c r="U5682" s="12"/>
      <c r="X5682" s="12"/>
      <c r="AC5682" s="38">
        <v>0</v>
      </c>
    </row>
    <row r="5683" spans="1:29" x14ac:dyDescent="0.25">
      <c r="A5683" s="22">
        <v>44034</v>
      </c>
      <c r="D5683" s="12"/>
      <c r="F5683" s="12">
        <v>0</v>
      </c>
      <c r="G5683" s="12">
        <v>22.5</v>
      </c>
      <c r="H5683" s="12"/>
      <c r="I5683" s="12"/>
      <c r="J5683" s="12">
        <v>4.3</v>
      </c>
      <c r="K5683" s="12"/>
      <c r="M5683" s="12">
        <v>2.1</v>
      </c>
      <c r="Q5683" s="12">
        <v>14.2</v>
      </c>
      <c r="R5683" s="12"/>
      <c r="U5683" s="12"/>
      <c r="X5683" s="12"/>
      <c r="AC5683" s="38">
        <v>6</v>
      </c>
    </row>
    <row r="5684" spans="1:29" x14ac:dyDescent="0.25">
      <c r="A5684" s="22">
        <v>44035</v>
      </c>
      <c r="D5684" s="12"/>
      <c r="F5684" s="12">
        <v>0</v>
      </c>
      <c r="G5684" s="12">
        <v>0</v>
      </c>
      <c r="H5684" s="12"/>
      <c r="I5684" s="12"/>
      <c r="J5684" s="12">
        <v>2.5</v>
      </c>
      <c r="K5684" s="12"/>
      <c r="M5684" s="12">
        <v>3.9</v>
      </c>
      <c r="Q5684" s="12">
        <v>0.3</v>
      </c>
      <c r="R5684" s="12"/>
      <c r="U5684" s="12"/>
      <c r="X5684" s="12"/>
      <c r="AC5684" s="38">
        <v>0</v>
      </c>
    </row>
    <row r="5685" spans="1:29" x14ac:dyDescent="0.25">
      <c r="A5685" s="22">
        <v>44036</v>
      </c>
      <c r="D5685" s="12"/>
      <c r="F5685" s="12">
        <v>0</v>
      </c>
      <c r="G5685" s="12">
        <v>0</v>
      </c>
      <c r="H5685" s="12"/>
      <c r="I5685" s="12"/>
      <c r="J5685" s="12">
        <v>0</v>
      </c>
      <c r="K5685" s="12"/>
      <c r="M5685" s="12">
        <v>0</v>
      </c>
      <c r="Q5685" s="12">
        <v>19.8</v>
      </c>
      <c r="R5685" s="12"/>
      <c r="U5685" s="12"/>
      <c r="X5685" s="12"/>
      <c r="AC5685" s="38">
        <v>1</v>
      </c>
    </row>
    <row r="5686" spans="1:29" x14ac:dyDescent="0.25">
      <c r="A5686" s="22">
        <v>44037</v>
      </c>
      <c r="D5686" s="12"/>
      <c r="F5686" s="12">
        <v>17.600000000000001</v>
      </c>
      <c r="G5686" s="12">
        <v>0</v>
      </c>
      <c r="H5686" s="12"/>
      <c r="I5686" s="12"/>
      <c r="J5686" s="12">
        <v>26.2</v>
      </c>
      <c r="K5686" s="12"/>
      <c r="M5686" s="12">
        <v>20.9</v>
      </c>
      <c r="Q5686" s="12">
        <v>7.2</v>
      </c>
      <c r="R5686" s="12"/>
      <c r="U5686" s="12"/>
      <c r="X5686" s="12"/>
      <c r="AC5686" s="38">
        <v>32</v>
      </c>
    </row>
    <row r="5687" spans="1:29" x14ac:dyDescent="0.25">
      <c r="A5687" s="22">
        <v>44038</v>
      </c>
      <c r="D5687" s="12"/>
      <c r="F5687" s="12">
        <v>13.5</v>
      </c>
      <c r="G5687" s="12">
        <v>8.1999999999999993</v>
      </c>
      <c r="H5687" s="12"/>
      <c r="I5687" s="12"/>
      <c r="J5687" s="12">
        <v>11.5</v>
      </c>
      <c r="K5687" s="12"/>
      <c r="M5687" s="12">
        <v>9.6</v>
      </c>
      <c r="Q5687" s="12">
        <v>1.4</v>
      </c>
      <c r="R5687" s="12"/>
      <c r="U5687" s="12"/>
      <c r="X5687" s="12"/>
      <c r="AC5687" s="38">
        <v>4</v>
      </c>
    </row>
    <row r="5688" spans="1:29" x14ac:dyDescent="0.25">
      <c r="A5688" s="22">
        <v>44039</v>
      </c>
      <c r="D5688" s="12"/>
      <c r="F5688" s="12">
        <v>19.399999999999999</v>
      </c>
      <c r="G5688" s="12">
        <v>18</v>
      </c>
      <c r="H5688" s="12"/>
      <c r="I5688" s="12"/>
      <c r="J5688" s="12">
        <v>21.6</v>
      </c>
      <c r="K5688" s="12"/>
      <c r="M5688" s="12">
        <v>18.3</v>
      </c>
      <c r="Q5688" s="12">
        <v>2.8</v>
      </c>
      <c r="R5688" s="12"/>
      <c r="U5688" s="12"/>
      <c r="X5688" s="12"/>
      <c r="AC5688" s="38">
        <v>0</v>
      </c>
    </row>
    <row r="5689" spans="1:29" x14ac:dyDescent="0.25">
      <c r="A5689" s="22">
        <v>44040</v>
      </c>
      <c r="D5689" s="12"/>
      <c r="F5689" s="12">
        <v>2.8</v>
      </c>
      <c r="G5689" s="12">
        <v>2.5</v>
      </c>
      <c r="H5689" s="12"/>
      <c r="I5689" s="12"/>
      <c r="J5689" s="12">
        <v>4.9000000000000004</v>
      </c>
      <c r="K5689" s="12"/>
      <c r="M5689" s="12">
        <v>1</v>
      </c>
      <c r="Q5689" s="12">
        <v>5.9</v>
      </c>
      <c r="R5689" s="12"/>
      <c r="U5689" s="12"/>
      <c r="X5689" s="12"/>
      <c r="AC5689" s="38">
        <v>25</v>
      </c>
    </row>
    <row r="5690" spans="1:29" x14ac:dyDescent="0.25">
      <c r="A5690" s="22">
        <v>44041</v>
      </c>
      <c r="D5690" s="12"/>
      <c r="F5690" s="12">
        <v>32.9</v>
      </c>
      <c r="G5690" s="12">
        <v>19.899999999999999</v>
      </c>
      <c r="H5690" s="12"/>
      <c r="I5690" s="12"/>
      <c r="J5690" s="12">
        <v>13.4</v>
      </c>
      <c r="K5690" s="12"/>
      <c r="M5690" s="12">
        <v>29.3</v>
      </c>
      <c r="Q5690" s="12">
        <v>0</v>
      </c>
      <c r="R5690" s="12"/>
      <c r="U5690" s="12"/>
      <c r="X5690" s="12"/>
      <c r="AC5690" s="38">
        <v>0</v>
      </c>
    </row>
    <row r="5691" spans="1:29" x14ac:dyDescent="0.25">
      <c r="A5691" s="22">
        <v>44042</v>
      </c>
      <c r="D5691" s="12"/>
      <c r="F5691" s="12">
        <v>0</v>
      </c>
      <c r="G5691" s="12">
        <v>0.8</v>
      </c>
      <c r="H5691" s="12"/>
      <c r="I5691" s="12"/>
      <c r="J5691" s="12">
        <v>2</v>
      </c>
      <c r="K5691" s="12"/>
      <c r="M5691" s="12">
        <v>0.2</v>
      </c>
      <c r="Q5691" s="12">
        <v>11.6</v>
      </c>
      <c r="R5691" s="12"/>
      <c r="U5691" s="12"/>
      <c r="X5691" s="12"/>
      <c r="AC5691" s="38">
        <v>8</v>
      </c>
    </row>
    <row r="5692" spans="1:29" x14ac:dyDescent="0.25">
      <c r="A5692" s="22">
        <v>44043</v>
      </c>
      <c r="D5692" s="12"/>
      <c r="F5692" s="12">
        <v>0</v>
      </c>
      <c r="G5692" s="12">
        <v>3.4</v>
      </c>
      <c r="H5692" s="12"/>
      <c r="I5692" s="12"/>
      <c r="J5692" s="12">
        <v>2.4</v>
      </c>
      <c r="K5692" s="12"/>
      <c r="M5692" s="12">
        <v>3.6</v>
      </c>
      <c r="Q5692" s="12">
        <v>2.2000000000000002</v>
      </c>
      <c r="R5692" s="12"/>
      <c r="U5692" s="12"/>
      <c r="X5692" s="12"/>
      <c r="AC5692" s="38">
        <v>0</v>
      </c>
    </row>
    <row r="5693" spans="1:29" x14ac:dyDescent="0.25">
      <c r="A5693" s="22">
        <v>44044</v>
      </c>
      <c r="D5693" s="12"/>
      <c r="F5693" s="12">
        <v>0</v>
      </c>
      <c r="G5693" s="12">
        <v>11.4</v>
      </c>
      <c r="H5693" s="12"/>
      <c r="I5693" s="12"/>
      <c r="J5693" s="12">
        <v>3.7</v>
      </c>
      <c r="K5693" s="12"/>
      <c r="M5693" s="12">
        <v>7</v>
      </c>
      <c r="Q5693" s="12">
        <v>23.7</v>
      </c>
      <c r="R5693" s="12"/>
      <c r="U5693" s="12"/>
      <c r="X5693" s="12"/>
      <c r="AC5693" s="38">
        <v>2</v>
      </c>
    </row>
    <row r="5694" spans="1:29" x14ac:dyDescent="0.25">
      <c r="A5694" s="22">
        <v>44045</v>
      </c>
      <c r="D5694" s="12"/>
      <c r="F5694" s="12">
        <v>24.1</v>
      </c>
      <c r="G5694" s="12">
        <v>2.2000000000000002</v>
      </c>
      <c r="H5694" s="12"/>
      <c r="I5694" s="12"/>
      <c r="J5694" s="12">
        <v>3.6</v>
      </c>
      <c r="K5694" s="12"/>
      <c r="M5694" s="12">
        <v>1.1000000000000001</v>
      </c>
      <c r="Q5694" s="12">
        <v>9.1999999999999993</v>
      </c>
      <c r="R5694" s="12"/>
      <c r="U5694" s="12"/>
      <c r="X5694" s="12"/>
      <c r="AC5694" s="38">
        <v>7</v>
      </c>
    </row>
    <row r="5695" spans="1:29" x14ac:dyDescent="0.25">
      <c r="A5695" s="22">
        <v>44046</v>
      </c>
      <c r="D5695" s="12"/>
      <c r="F5695" s="12">
        <v>6</v>
      </c>
      <c r="G5695" s="12">
        <v>7.9</v>
      </c>
      <c r="H5695" s="12"/>
      <c r="I5695" s="12"/>
      <c r="J5695" s="12">
        <v>17.8</v>
      </c>
      <c r="K5695" s="12"/>
      <c r="M5695" s="12">
        <v>9.3000000000000007</v>
      </c>
      <c r="Q5695" s="12">
        <v>0.9</v>
      </c>
      <c r="R5695" s="12"/>
      <c r="U5695" s="12"/>
      <c r="X5695" s="12"/>
      <c r="AC5695" s="38">
        <v>0</v>
      </c>
    </row>
    <row r="5696" spans="1:29" x14ac:dyDescent="0.25">
      <c r="A5696" s="22">
        <v>44047</v>
      </c>
      <c r="D5696" s="12"/>
      <c r="F5696" s="12">
        <v>0</v>
      </c>
      <c r="G5696" s="12">
        <v>9.9</v>
      </c>
      <c r="H5696" s="12"/>
      <c r="I5696" s="12"/>
      <c r="J5696" s="12">
        <v>17</v>
      </c>
      <c r="K5696" s="12"/>
      <c r="M5696" s="12">
        <v>7.3</v>
      </c>
      <c r="Q5696" s="12">
        <v>6</v>
      </c>
      <c r="R5696" s="12"/>
      <c r="U5696" s="12"/>
      <c r="X5696" s="12"/>
      <c r="AC5696" s="38">
        <v>19</v>
      </c>
    </row>
    <row r="5697" spans="1:29" x14ac:dyDescent="0.25">
      <c r="A5697" s="22">
        <v>44048</v>
      </c>
      <c r="D5697" s="12"/>
      <c r="F5697" s="12">
        <v>4.3</v>
      </c>
      <c r="G5697" s="12">
        <v>7.4</v>
      </c>
      <c r="H5697" s="12"/>
      <c r="I5697" s="12"/>
      <c r="J5697" s="12">
        <v>20.399999999999999</v>
      </c>
      <c r="K5697" s="12"/>
      <c r="M5697" s="12">
        <v>7.6</v>
      </c>
      <c r="Q5697" s="12">
        <v>3.9</v>
      </c>
      <c r="R5697" s="12"/>
      <c r="U5697" s="12"/>
      <c r="X5697" s="12"/>
      <c r="AC5697" s="38">
        <v>0</v>
      </c>
    </row>
    <row r="5698" spans="1:29" x14ac:dyDescent="0.25">
      <c r="A5698" s="22">
        <v>44049</v>
      </c>
      <c r="D5698" s="12"/>
      <c r="F5698" s="12">
        <v>6.4</v>
      </c>
      <c r="G5698" s="12">
        <v>8.9</v>
      </c>
      <c r="H5698" s="12"/>
      <c r="I5698" s="12"/>
      <c r="J5698" s="12">
        <v>5.0999999999999996</v>
      </c>
      <c r="K5698" s="12"/>
      <c r="M5698" s="12">
        <v>11.7</v>
      </c>
      <c r="Q5698" s="12">
        <v>7.2</v>
      </c>
      <c r="R5698" s="12"/>
      <c r="U5698" s="12"/>
      <c r="X5698" s="12"/>
      <c r="AC5698" s="38">
        <v>3</v>
      </c>
    </row>
    <row r="5699" spans="1:29" x14ac:dyDescent="0.25">
      <c r="A5699" s="22">
        <v>44050</v>
      </c>
      <c r="D5699" s="12"/>
      <c r="F5699" s="12">
        <v>2.6</v>
      </c>
      <c r="G5699" s="12">
        <v>7.8</v>
      </c>
      <c r="H5699" s="12"/>
      <c r="I5699" s="12"/>
      <c r="J5699" s="12">
        <v>2.4</v>
      </c>
      <c r="K5699" s="12"/>
      <c r="M5699" s="12">
        <v>7.1</v>
      </c>
      <c r="Q5699" s="12">
        <v>12.3</v>
      </c>
      <c r="R5699" s="12"/>
      <c r="U5699" s="12"/>
      <c r="X5699" s="12"/>
      <c r="AC5699" s="38">
        <v>1</v>
      </c>
    </row>
    <row r="5700" spans="1:29" x14ac:dyDescent="0.25">
      <c r="A5700" s="22">
        <v>44051</v>
      </c>
      <c r="D5700" s="12"/>
      <c r="F5700" s="12">
        <v>12.1</v>
      </c>
      <c r="G5700" s="12">
        <v>15.5</v>
      </c>
      <c r="H5700" s="12"/>
      <c r="I5700" s="12"/>
      <c r="J5700" s="12">
        <v>25.4</v>
      </c>
      <c r="K5700" s="12"/>
      <c r="M5700" s="12">
        <v>12.3</v>
      </c>
      <c r="Q5700" s="12">
        <v>40.4</v>
      </c>
      <c r="R5700" s="12"/>
      <c r="U5700" s="12"/>
      <c r="X5700" s="12"/>
      <c r="AC5700" s="38">
        <v>48</v>
      </c>
    </row>
    <row r="5701" spans="1:29" x14ac:dyDescent="0.25">
      <c r="A5701" s="22">
        <v>44052</v>
      </c>
      <c r="D5701" s="12"/>
      <c r="F5701" s="12">
        <v>14.3</v>
      </c>
      <c r="G5701" s="12">
        <v>26.5</v>
      </c>
      <c r="H5701" s="12"/>
      <c r="I5701" s="12"/>
      <c r="J5701" s="12">
        <v>29.6</v>
      </c>
      <c r="K5701" s="12"/>
      <c r="M5701" s="12">
        <v>25.2</v>
      </c>
      <c r="Q5701" s="12">
        <v>0</v>
      </c>
      <c r="R5701" s="12"/>
      <c r="U5701" s="12"/>
      <c r="X5701" s="12"/>
      <c r="AC5701" s="38">
        <v>3</v>
      </c>
    </row>
    <row r="5702" spans="1:29" x14ac:dyDescent="0.25">
      <c r="A5702" s="22">
        <v>44053</v>
      </c>
      <c r="D5702" s="12"/>
      <c r="F5702" s="12">
        <v>0</v>
      </c>
      <c r="G5702" s="12">
        <v>3.2</v>
      </c>
      <c r="H5702" s="12"/>
      <c r="I5702" s="12"/>
      <c r="J5702" s="12">
        <v>31</v>
      </c>
      <c r="K5702" s="12"/>
      <c r="M5702" s="12">
        <v>1.8</v>
      </c>
      <c r="Q5702" s="12">
        <v>6.3</v>
      </c>
      <c r="R5702" s="12"/>
      <c r="U5702" s="12"/>
      <c r="X5702" s="12"/>
      <c r="AC5702" s="38">
        <v>0</v>
      </c>
    </row>
    <row r="5703" spans="1:29" x14ac:dyDescent="0.25">
      <c r="A5703" s="22">
        <v>44054</v>
      </c>
      <c r="D5703" s="12"/>
      <c r="F5703" s="12">
        <v>10.1</v>
      </c>
      <c r="G5703" s="12">
        <v>11.1</v>
      </c>
      <c r="H5703" s="12"/>
      <c r="I5703" s="12"/>
      <c r="J5703" s="12">
        <v>20.3</v>
      </c>
      <c r="K5703" s="12"/>
      <c r="M5703" s="12">
        <v>14.3</v>
      </c>
      <c r="Q5703" s="12">
        <v>17.8</v>
      </c>
      <c r="R5703" s="12"/>
      <c r="U5703" s="12"/>
      <c r="X5703" s="12"/>
      <c r="AC5703" s="38">
        <v>13</v>
      </c>
    </row>
    <row r="5704" spans="1:29" x14ac:dyDescent="0.25">
      <c r="A5704" s="22">
        <v>44055</v>
      </c>
      <c r="D5704" s="12"/>
      <c r="F5704" s="12">
        <v>4.3</v>
      </c>
      <c r="G5704" s="12">
        <v>0</v>
      </c>
      <c r="H5704" s="12"/>
      <c r="I5704" s="12"/>
      <c r="J5704" s="12">
        <v>15.1</v>
      </c>
      <c r="K5704" s="12"/>
      <c r="M5704" s="12">
        <v>7.7</v>
      </c>
      <c r="Q5704" s="12">
        <v>0</v>
      </c>
      <c r="R5704" s="12"/>
      <c r="U5704" s="12"/>
      <c r="X5704" s="12"/>
      <c r="AC5704" s="38">
        <v>2</v>
      </c>
    </row>
    <row r="5705" spans="1:29" x14ac:dyDescent="0.25">
      <c r="A5705" s="22">
        <v>44056</v>
      </c>
      <c r="D5705" s="12"/>
      <c r="F5705" s="12">
        <v>0.2</v>
      </c>
      <c r="G5705" s="12">
        <v>1.2</v>
      </c>
      <c r="H5705" s="12"/>
      <c r="I5705" s="12"/>
      <c r="J5705" s="12">
        <v>6.4</v>
      </c>
      <c r="K5705" s="12"/>
      <c r="M5705" s="12">
        <v>0.7</v>
      </c>
      <c r="Q5705" s="12">
        <v>0</v>
      </c>
      <c r="R5705" s="12"/>
      <c r="U5705" s="12"/>
      <c r="X5705" s="12"/>
      <c r="AC5705" s="38">
        <v>0</v>
      </c>
    </row>
    <row r="5706" spans="1:29" x14ac:dyDescent="0.25">
      <c r="A5706" s="22">
        <v>44057</v>
      </c>
      <c r="D5706" s="12"/>
      <c r="F5706" s="12">
        <v>0</v>
      </c>
      <c r="G5706" s="12">
        <v>0</v>
      </c>
      <c r="H5706" s="12"/>
      <c r="I5706" s="12"/>
      <c r="J5706" s="12">
        <v>0</v>
      </c>
      <c r="K5706" s="12"/>
      <c r="M5706" s="12">
        <v>0</v>
      </c>
      <c r="Q5706" s="12">
        <v>0</v>
      </c>
      <c r="R5706" s="12"/>
      <c r="U5706" s="12"/>
      <c r="X5706" s="12"/>
      <c r="AC5706" s="38">
        <v>0</v>
      </c>
    </row>
    <row r="5707" spans="1:29" x14ac:dyDescent="0.25">
      <c r="A5707" s="22">
        <v>44058</v>
      </c>
      <c r="D5707" s="12"/>
      <c r="F5707" s="12">
        <v>0</v>
      </c>
      <c r="G5707" s="12">
        <v>0</v>
      </c>
      <c r="H5707" s="12"/>
      <c r="I5707" s="12"/>
      <c r="J5707" s="12">
        <v>0</v>
      </c>
      <c r="K5707" s="12"/>
      <c r="M5707" s="12">
        <v>0</v>
      </c>
      <c r="Q5707" s="12">
        <v>5.2</v>
      </c>
      <c r="R5707" s="12"/>
      <c r="U5707" s="12"/>
      <c r="X5707" s="12"/>
      <c r="AC5707" s="38">
        <v>1</v>
      </c>
    </row>
    <row r="5708" spans="1:29" x14ac:dyDescent="0.25">
      <c r="A5708" s="22">
        <v>44059</v>
      </c>
      <c r="D5708" s="12"/>
      <c r="F5708" s="12">
        <v>0</v>
      </c>
      <c r="G5708" s="12">
        <v>2.1</v>
      </c>
      <c r="H5708" s="12"/>
      <c r="I5708" s="12"/>
      <c r="J5708" s="12">
        <v>3.5</v>
      </c>
      <c r="K5708" s="12"/>
      <c r="M5708" s="12">
        <v>2.9</v>
      </c>
      <c r="Q5708" s="12">
        <v>17.5</v>
      </c>
      <c r="R5708" s="12"/>
      <c r="U5708" s="12"/>
      <c r="X5708" s="12"/>
      <c r="AC5708" s="38">
        <v>8</v>
      </c>
    </row>
    <row r="5709" spans="1:29" x14ac:dyDescent="0.25">
      <c r="A5709" s="22">
        <v>44060</v>
      </c>
      <c r="D5709" s="12"/>
      <c r="F5709" s="12">
        <v>11.1</v>
      </c>
      <c r="G5709" s="12">
        <v>28.5</v>
      </c>
      <c r="H5709" s="12"/>
      <c r="I5709" s="12"/>
      <c r="J5709" s="12">
        <v>52</v>
      </c>
      <c r="K5709" s="12"/>
      <c r="M5709" s="12">
        <v>29.6</v>
      </c>
      <c r="Q5709" s="12">
        <v>14.6</v>
      </c>
      <c r="R5709" s="12"/>
      <c r="U5709" s="12"/>
      <c r="X5709" s="12"/>
      <c r="AC5709" s="38">
        <v>13</v>
      </c>
    </row>
    <row r="5710" spans="1:29" x14ac:dyDescent="0.25">
      <c r="A5710" s="22">
        <v>44061</v>
      </c>
      <c r="D5710" s="12"/>
      <c r="F5710" s="12">
        <v>7.3</v>
      </c>
      <c r="G5710" s="12">
        <v>5.5</v>
      </c>
      <c r="H5710" s="12"/>
      <c r="I5710" s="12"/>
      <c r="J5710" s="12">
        <v>6.2</v>
      </c>
      <c r="K5710" s="12"/>
      <c r="M5710" s="12">
        <v>9.1999999999999993</v>
      </c>
      <c r="Q5710" s="12">
        <v>11.3</v>
      </c>
      <c r="R5710" s="12"/>
      <c r="U5710" s="12"/>
      <c r="X5710" s="12"/>
      <c r="AC5710" s="38">
        <v>0</v>
      </c>
    </row>
    <row r="5711" spans="1:29" x14ac:dyDescent="0.25">
      <c r="A5711" s="22">
        <v>44062</v>
      </c>
      <c r="D5711" s="12"/>
      <c r="F5711" s="12">
        <v>8.4</v>
      </c>
      <c r="G5711" s="12">
        <v>15.4</v>
      </c>
      <c r="H5711" s="12"/>
      <c r="I5711" s="12"/>
      <c r="J5711" s="12">
        <v>37.200000000000003</v>
      </c>
      <c r="K5711" s="12"/>
      <c r="M5711" s="12">
        <v>15</v>
      </c>
      <c r="Q5711" s="12">
        <v>12.8</v>
      </c>
      <c r="R5711" s="12"/>
      <c r="U5711" s="12"/>
      <c r="X5711" s="12"/>
      <c r="AC5711" s="38">
        <v>2</v>
      </c>
    </row>
    <row r="5712" spans="1:29" x14ac:dyDescent="0.25">
      <c r="A5712" s="22">
        <v>44063</v>
      </c>
      <c r="D5712" s="12"/>
      <c r="F5712" s="12">
        <v>1.2</v>
      </c>
      <c r="G5712" s="12">
        <v>6.5</v>
      </c>
      <c r="H5712" s="12"/>
      <c r="I5712" s="12"/>
      <c r="J5712" s="12">
        <v>8.9</v>
      </c>
      <c r="K5712" s="12"/>
      <c r="M5712" s="12">
        <v>5.7</v>
      </c>
      <c r="Q5712" s="12">
        <v>21.5</v>
      </c>
      <c r="R5712" s="12"/>
      <c r="U5712" s="12"/>
      <c r="X5712" s="12"/>
      <c r="AC5712" s="38">
        <v>0</v>
      </c>
    </row>
    <row r="5713" spans="1:29" x14ac:dyDescent="0.25">
      <c r="A5713" s="22">
        <v>44064</v>
      </c>
      <c r="D5713" s="12"/>
      <c r="F5713" s="12">
        <v>10</v>
      </c>
      <c r="G5713" s="12">
        <v>11.1</v>
      </c>
      <c r="H5713" s="12"/>
      <c r="I5713" s="12"/>
      <c r="J5713" s="12">
        <v>10.9</v>
      </c>
      <c r="K5713" s="12"/>
      <c r="M5713" s="12">
        <v>10.9</v>
      </c>
      <c r="Q5713" s="12">
        <v>6.7</v>
      </c>
      <c r="R5713" s="12"/>
      <c r="U5713" s="12"/>
      <c r="X5713" s="12"/>
      <c r="AC5713" s="38">
        <v>19</v>
      </c>
    </row>
    <row r="5714" spans="1:29" x14ac:dyDescent="0.25">
      <c r="A5714" s="22">
        <v>44065</v>
      </c>
      <c r="D5714" s="12"/>
      <c r="F5714" s="12">
        <v>16.399999999999999</v>
      </c>
      <c r="G5714" s="12">
        <v>11.5</v>
      </c>
      <c r="H5714" s="12"/>
      <c r="I5714" s="12"/>
      <c r="J5714" s="12">
        <v>39</v>
      </c>
      <c r="K5714" s="12"/>
      <c r="M5714" s="12">
        <v>14.3</v>
      </c>
      <c r="Q5714" s="12">
        <v>11.4</v>
      </c>
      <c r="R5714" s="12"/>
      <c r="U5714" s="12"/>
      <c r="X5714" s="12"/>
      <c r="AC5714" s="38">
        <v>0</v>
      </c>
    </row>
    <row r="5715" spans="1:29" x14ac:dyDescent="0.25">
      <c r="A5715" s="22">
        <v>44066</v>
      </c>
      <c r="D5715" s="12"/>
      <c r="F5715" s="12">
        <v>9</v>
      </c>
      <c r="G5715" s="12">
        <v>16.2</v>
      </c>
      <c r="H5715" s="12"/>
      <c r="I5715" s="12"/>
      <c r="J5715" s="12">
        <v>2.7</v>
      </c>
      <c r="K5715" s="12"/>
      <c r="M5715" s="12">
        <v>1.4</v>
      </c>
      <c r="Q5715" s="12">
        <v>3.9</v>
      </c>
      <c r="R5715" s="12"/>
      <c r="U5715" s="12"/>
      <c r="X5715" s="12"/>
      <c r="AC5715" s="38">
        <v>16</v>
      </c>
    </row>
    <row r="5716" spans="1:29" x14ac:dyDescent="0.25">
      <c r="A5716" s="22">
        <v>44067</v>
      </c>
      <c r="D5716" s="12"/>
      <c r="F5716" s="12">
        <v>5.2</v>
      </c>
      <c r="G5716" s="12">
        <v>2.5</v>
      </c>
      <c r="H5716" s="12"/>
      <c r="I5716" s="12"/>
      <c r="J5716" s="12">
        <v>19</v>
      </c>
      <c r="K5716" s="12"/>
      <c r="M5716" s="12">
        <v>10.4</v>
      </c>
      <c r="Q5716" s="12">
        <v>0</v>
      </c>
      <c r="R5716" s="12"/>
      <c r="U5716" s="12"/>
      <c r="X5716" s="12"/>
      <c r="AC5716" s="38">
        <v>0</v>
      </c>
    </row>
    <row r="5717" spans="1:29" x14ac:dyDescent="0.25">
      <c r="A5717" s="22">
        <v>44068</v>
      </c>
      <c r="D5717" s="12"/>
      <c r="F5717" s="12">
        <v>2.8</v>
      </c>
      <c r="G5717" s="12">
        <v>2.6</v>
      </c>
      <c r="H5717" s="12"/>
      <c r="I5717" s="12"/>
      <c r="J5717" s="12">
        <v>6.1</v>
      </c>
      <c r="K5717" s="12"/>
      <c r="M5717" s="12">
        <v>3.2</v>
      </c>
      <c r="Q5717" s="12">
        <v>6.7</v>
      </c>
      <c r="R5717" s="12"/>
      <c r="U5717" s="12"/>
      <c r="X5717" s="12"/>
      <c r="AC5717" s="38">
        <v>0</v>
      </c>
    </row>
    <row r="5718" spans="1:29" x14ac:dyDescent="0.25">
      <c r="A5718" s="22">
        <v>44069</v>
      </c>
      <c r="D5718" s="12"/>
      <c r="F5718" s="12">
        <v>1.4</v>
      </c>
      <c r="G5718" s="12">
        <v>4.3</v>
      </c>
      <c r="H5718" s="12"/>
      <c r="I5718" s="12"/>
      <c r="J5718" s="12">
        <v>10.1</v>
      </c>
      <c r="K5718" s="12"/>
      <c r="M5718" s="12">
        <v>8.5</v>
      </c>
      <c r="Q5718" s="12">
        <v>12.3</v>
      </c>
      <c r="R5718" s="12"/>
      <c r="U5718" s="12"/>
      <c r="X5718" s="12"/>
      <c r="AC5718" s="38">
        <v>1</v>
      </c>
    </row>
    <row r="5719" spans="1:29" x14ac:dyDescent="0.25">
      <c r="A5719" s="22">
        <v>44070</v>
      </c>
      <c r="D5719" s="12"/>
      <c r="F5719" s="12">
        <v>8.9</v>
      </c>
      <c r="G5719" s="12">
        <v>9.1999999999999993</v>
      </c>
      <c r="H5719" s="12"/>
      <c r="I5719" s="12"/>
      <c r="J5719" s="12">
        <v>21.4</v>
      </c>
      <c r="K5719" s="12"/>
      <c r="M5719" s="12">
        <v>12</v>
      </c>
      <c r="Q5719" s="12">
        <v>12.9</v>
      </c>
      <c r="R5719" s="12"/>
      <c r="U5719" s="12"/>
      <c r="X5719" s="12"/>
      <c r="AC5719" s="38">
        <v>11</v>
      </c>
    </row>
    <row r="5720" spans="1:29" x14ac:dyDescent="0.25">
      <c r="A5720" s="22">
        <v>44071</v>
      </c>
      <c r="D5720" s="12"/>
      <c r="F5720" s="12">
        <v>3.8</v>
      </c>
      <c r="G5720" s="12">
        <v>5.8</v>
      </c>
      <c r="H5720" s="12"/>
      <c r="I5720" s="12"/>
      <c r="J5720" s="12">
        <v>5.6</v>
      </c>
      <c r="K5720" s="12"/>
      <c r="M5720" s="12">
        <v>6.3</v>
      </c>
      <c r="Q5720" s="12">
        <v>2.2000000000000002</v>
      </c>
      <c r="R5720" s="12"/>
      <c r="U5720" s="12"/>
      <c r="X5720" s="12"/>
      <c r="AC5720" s="38">
        <v>0</v>
      </c>
    </row>
    <row r="5721" spans="1:29" x14ac:dyDescent="0.25">
      <c r="A5721" s="22">
        <v>44072</v>
      </c>
      <c r="D5721" s="12"/>
      <c r="F5721" s="12">
        <v>0</v>
      </c>
      <c r="G5721" s="12">
        <v>0</v>
      </c>
      <c r="H5721" s="12"/>
      <c r="I5721" s="12"/>
      <c r="J5721" s="12">
        <v>2.6</v>
      </c>
      <c r="K5721" s="12"/>
      <c r="M5721" s="12">
        <v>1.4</v>
      </c>
      <c r="Q5721" s="12">
        <v>88.5</v>
      </c>
      <c r="R5721" s="12"/>
      <c r="U5721" s="12"/>
      <c r="X5721" s="12"/>
      <c r="AC5721" s="38">
        <v>1</v>
      </c>
    </row>
    <row r="5722" spans="1:29" x14ac:dyDescent="0.25">
      <c r="A5722" s="22">
        <v>44073</v>
      </c>
      <c r="D5722" s="12"/>
      <c r="F5722" s="12">
        <v>29</v>
      </c>
      <c r="G5722" s="12">
        <v>27.5</v>
      </c>
      <c r="H5722" s="12"/>
      <c r="I5722" s="12"/>
      <c r="J5722" s="12">
        <v>41.4</v>
      </c>
      <c r="K5722" s="12"/>
      <c r="M5722" s="12">
        <v>19.7</v>
      </c>
      <c r="Q5722" s="12">
        <v>30.1</v>
      </c>
      <c r="R5722" s="12"/>
      <c r="U5722" s="12"/>
      <c r="X5722" s="12"/>
      <c r="AC5722" s="38">
        <v>22</v>
      </c>
    </row>
    <row r="5723" spans="1:29" x14ac:dyDescent="0.25">
      <c r="A5723" s="22">
        <v>44074</v>
      </c>
      <c r="D5723" s="12"/>
      <c r="F5723" s="12">
        <v>37.299999999999997</v>
      </c>
      <c r="G5723" s="12">
        <v>46.1</v>
      </c>
      <c r="H5723" s="12"/>
      <c r="I5723" s="12"/>
      <c r="J5723" s="12">
        <v>55.9</v>
      </c>
      <c r="K5723" s="12"/>
      <c r="M5723" s="12">
        <v>53</v>
      </c>
      <c r="Q5723" s="12">
        <v>1.2</v>
      </c>
      <c r="R5723" s="12"/>
      <c r="U5723" s="12"/>
      <c r="X5723" s="12"/>
      <c r="AC5723" s="38">
        <v>47</v>
      </c>
    </row>
    <row r="5724" spans="1:29" x14ac:dyDescent="0.25">
      <c r="A5724" s="22">
        <v>44075</v>
      </c>
      <c r="D5724" s="12"/>
      <c r="F5724" s="12">
        <v>0.4</v>
      </c>
      <c r="G5724" s="12">
        <v>1.7</v>
      </c>
      <c r="H5724" s="12"/>
      <c r="I5724" s="12"/>
      <c r="J5724" s="12">
        <v>0.6</v>
      </c>
      <c r="K5724" s="12"/>
      <c r="M5724" s="12">
        <v>1.9</v>
      </c>
      <c r="Q5724" s="12">
        <v>0</v>
      </c>
      <c r="R5724" s="12"/>
      <c r="U5724" s="12"/>
      <c r="X5724" s="12"/>
      <c r="AC5724" s="38">
        <v>0</v>
      </c>
    </row>
    <row r="5725" spans="1:29" x14ac:dyDescent="0.25">
      <c r="A5725" s="22">
        <v>44076</v>
      </c>
      <c r="D5725" s="12"/>
      <c r="F5725" s="12">
        <v>0</v>
      </c>
      <c r="G5725" s="12">
        <v>0</v>
      </c>
      <c r="H5725" s="12"/>
      <c r="I5725" s="12"/>
      <c r="J5725" s="12">
        <v>0</v>
      </c>
      <c r="K5725" s="12"/>
      <c r="M5725" s="12">
        <v>0</v>
      </c>
      <c r="Q5725" s="12">
        <v>0</v>
      </c>
      <c r="R5725" s="12"/>
      <c r="U5725" s="12"/>
      <c r="X5725" s="12"/>
      <c r="AC5725" s="38">
        <v>0</v>
      </c>
    </row>
    <row r="5726" spans="1:29" x14ac:dyDescent="0.25">
      <c r="A5726" s="22">
        <v>44077</v>
      </c>
      <c r="D5726" s="12"/>
      <c r="F5726" s="12">
        <v>11.1</v>
      </c>
      <c r="G5726" s="12">
        <v>0.6</v>
      </c>
      <c r="H5726" s="12"/>
      <c r="I5726" s="12"/>
      <c r="J5726" s="12">
        <v>0</v>
      </c>
      <c r="K5726" s="12"/>
      <c r="M5726" s="12">
        <v>10.8</v>
      </c>
      <c r="Q5726" s="12">
        <v>0.7</v>
      </c>
      <c r="R5726" s="12"/>
      <c r="U5726" s="12"/>
      <c r="X5726" s="12"/>
      <c r="AC5726" s="38">
        <v>5</v>
      </c>
    </row>
    <row r="5727" spans="1:29" x14ac:dyDescent="0.25">
      <c r="A5727" s="22">
        <v>44078</v>
      </c>
      <c r="D5727" s="12"/>
      <c r="F5727" s="12">
        <v>15.8</v>
      </c>
      <c r="G5727" s="12">
        <v>0</v>
      </c>
      <c r="H5727" s="12"/>
      <c r="I5727" s="12"/>
      <c r="J5727" s="12">
        <v>82.9</v>
      </c>
      <c r="K5727" s="12"/>
      <c r="M5727" s="12">
        <v>32.4</v>
      </c>
      <c r="Q5727" s="12">
        <v>7.7</v>
      </c>
      <c r="R5727" s="12"/>
      <c r="U5727" s="12"/>
      <c r="X5727" s="12"/>
      <c r="AC5727" s="38">
        <v>0</v>
      </c>
    </row>
    <row r="5728" spans="1:29" x14ac:dyDescent="0.25">
      <c r="A5728" s="22">
        <v>44079</v>
      </c>
      <c r="D5728" s="12"/>
      <c r="F5728" s="12">
        <v>0</v>
      </c>
      <c r="G5728" s="12">
        <v>14.1</v>
      </c>
      <c r="H5728" s="12"/>
      <c r="I5728" s="12"/>
      <c r="J5728" s="12">
        <v>17.899999999999999</v>
      </c>
      <c r="K5728" s="12"/>
      <c r="M5728" s="12">
        <v>6.8</v>
      </c>
      <c r="Q5728" s="12">
        <v>1.6</v>
      </c>
      <c r="R5728" s="12"/>
      <c r="U5728" s="12"/>
      <c r="X5728" s="12"/>
      <c r="AC5728" s="38">
        <v>11</v>
      </c>
    </row>
    <row r="5729" spans="1:29" x14ac:dyDescent="0.25">
      <c r="A5729" s="22">
        <v>44080</v>
      </c>
      <c r="D5729" s="12"/>
      <c r="F5729" s="12">
        <v>4.3</v>
      </c>
      <c r="G5729" s="12">
        <v>10.5</v>
      </c>
      <c r="H5729" s="12"/>
      <c r="I5729" s="12"/>
      <c r="J5729" s="12">
        <v>11.3</v>
      </c>
      <c r="K5729" s="12"/>
      <c r="M5729" s="12">
        <v>12.5</v>
      </c>
      <c r="Q5729" s="12">
        <v>3.7</v>
      </c>
      <c r="R5729" s="12"/>
      <c r="U5729" s="12"/>
      <c r="X5729" s="12"/>
      <c r="AC5729" s="38">
        <v>5</v>
      </c>
    </row>
    <row r="5730" spans="1:29" x14ac:dyDescent="0.25">
      <c r="A5730" s="22">
        <v>44081</v>
      </c>
      <c r="D5730" s="12"/>
      <c r="F5730" s="12">
        <v>1.3</v>
      </c>
      <c r="G5730" s="12">
        <v>3.8</v>
      </c>
      <c r="H5730" s="12"/>
      <c r="I5730" s="12"/>
      <c r="J5730" s="12">
        <v>7.1</v>
      </c>
      <c r="K5730" s="12"/>
      <c r="M5730" s="12">
        <v>4.3</v>
      </c>
      <c r="Q5730" s="12">
        <v>3</v>
      </c>
      <c r="R5730" s="12"/>
      <c r="U5730" s="12"/>
      <c r="X5730" s="12"/>
      <c r="AC5730" s="38">
        <v>1</v>
      </c>
    </row>
    <row r="5731" spans="1:29" x14ac:dyDescent="0.25">
      <c r="A5731" s="22">
        <v>44082</v>
      </c>
      <c r="D5731" s="12"/>
      <c r="F5731" s="12">
        <v>2.5</v>
      </c>
      <c r="G5731" s="12">
        <v>18.7</v>
      </c>
      <c r="H5731" s="12"/>
      <c r="I5731" s="12"/>
      <c r="J5731" s="12">
        <v>30.5</v>
      </c>
      <c r="K5731" s="12"/>
      <c r="M5731" s="12">
        <v>22.1</v>
      </c>
      <c r="Q5731" s="12">
        <v>10.9</v>
      </c>
      <c r="R5731" s="12"/>
      <c r="U5731" s="12"/>
      <c r="X5731" s="12"/>
      <c r="AC5731" s="38">
        <v>0</v>
      </c>
    </row>
    <row r="5732" spans="1:29" x14ac:dyDescent="0.25">
      <c r="A5732" s="22">
        <v>44083</v>
      </c>
      <c r="D5732" s="12"/>
      <c r="F5732" s="12">
        <v>0</v>
      </c>
      <c r="G5732" s="12">
        <v>0</v>
      </c>
      <c r="H5732" s="12"/>
      <c r="I5732" s="12"/>
      <c r="J5732" s="12">
        <v>2.5</v>
      </c>
      <c r="K5732" s="12"/>
      <c r="M5732" s="12">
        <v>1.6</v>
      </c>
      <c r="Q5732" s="12">
        <v>1.3</v>
      </c>
      <c r="R5732" s="12"/>
      <c r="U5732" s="12"/>
      <c r="X5732" s="12"/>
      <c r="AC5732" s="38">
        <v>2</v>
      </c>
    </row>
    <row r="5733" spans="1:29" x14ac:dyDescent="0.25">
      <c r="A5733" s="22">
        <v>44084</v>
      </c>
      <c r="D5733" s="12"/>
      <c r="F5733" s="12">
        <v>1.2</v>
      </c>
      <c r="G5733" s="12">
        <v>0</v>
      </c>
      <c r="H5733" s="12"/>
      <c r="I5733" s="12"/>
      <c r="J5733" s="12">
        <v>1.2</v>
      </c>
      <c r="K5733" s="12"/>
      <c r="M5733" s="12">
        <v>0</v>
      </c>
      <c r="Q5733" s="12">
        <v>8.8000000000000007</v>
      </c>
      <c r="R5733" s="12"/>
      <c r="U5733" s="12"/>
      <c r="X5733" s="12"/>
      <c r="AC5733" s="38">
        <v>0</v>
      </c>
    </row>
    <row r="5734" spans="1:29" x14ac:dyDescent="0.25">
      <c r="A5734" s="22">
        <v>44085</v>
      </c>
      <c r="D5734" s="12"/>
      <c r="F5734" s="12">
        <v>1.2</v>
      </c>
      <c r="G5734" s="12">
        <v>0</v>
      </c>
      <c r="H5734" s="12"/>
      <c r="I5734" s="12"/>
      <c r="J5734" s="12">
        <v>2.1</v>
      </c>
      <c r="K5734" s="12"/>
      <c r="M5734" s="12">
        <v>0</v>
      </c>
      <c r="Q5734" s="12">
        <v>0</v>
      </c>
      <c r="R5734" s="12"/>
      <c r="U5734" s="12"/>
      <c r="X5734" s="12"/>
      <c r="AC5734" s="38">
        <v>0</v>
      </c>
    </row>
    <row r="5735" spans="1:29" x14ac:dyDescent="0.25">
      <c r="A5735" s="22">
        <v>44086</v>
      </c>
      <c r="D5735" s="12"/>
      <c r="F5735" s="12">
        <v>2.2000000000000002</v>
      </c>
      <c r="G5735" s="12">
        <v>0</v>
      </c>
      <c r="H5735" s="12"/>
      <c r="I5735" s="12"/>
      <c r="J5735" s="12">
        <v>0</v>
      </c>
      <c r="K5735" s="12"/>
      <c r="M5735" s="12">
        <v>0</v>
      </c>
      <c r="Q5735" s="12">
        <v>24.3</v>
      </c>
      <c r="R5735" s="12"/>
      <c r="U5735" s="12"/>
      <c r="X5735" s="12"/>
      <c r="AC5735" s="38">
        <v>0</v>
      </c>
    </row>
    <row r="5736" spans="1:29" x14ac:dyDescent="0.25">
      <c r="A5736" s="22">
        <v>44087</v>
      </c>
      <c r="D5736" s="12"/>
      <c r="F5736" s="12">
        <v>2.4</v>
      </c>
      <c r="G5736" s="12">
        <v>7.2</v>
      </c>
      <c r="H5736" s="12"/>
      <c r="I5736" s="12"/>
      <c r="J5736" s="12">
        <v>0</v>
      </c>
      <c r="K5736" s="12"/>
      <c r="M5736" s="12">
        <v>5.6</v>
      </c>
      <c r="Q5736" s="12">
        <v>26.9</v>
      </c>
      <c r="R5736" s="12"/>
      <c r="U5736" s="12"/>
      <c r="X5736" s="12"/>
      <c r="AC5736" s="38">
        <v>0</v>
      </c>
    </row>
    <row r="5737" spans="1:29" x14ac:dyDescent="0.25">
      <c r="A5737" s="22">
        <v>44088</v>
      </c>
      <c r="D5737" s="12"/>
      <c r="F5737" s="12">
        <v>17.7</v>
      </c>
      <c r="G5737" s="12">
        <v>8.1</v>
      </c>
      <c r="H5737" s="12"/>
      <c r="I5737" s="12"/>
      <c r="J5737" s="12">
        <v>15.7</v>
      </c>
      <c r="K5737" s="12"/>
      <c r="M5737" s="12">
        <v>5.3</v>
      </c>
      <c r="Q5737" s="12">
        <v>5</v>
      </c>
      <c r="R5737" s="12"/>
      <c r="U5737" s="12"/>
      <c r="X5737" s="12"/>
      <c r="AC5737" s="38">
        <v>13</v>
      </c>
    </row>
    <row r="5738" spans="1:29" x14ac:dyDescent="0.25">
      <c r="A5738" s="22">
        <v>44089</v>
      </c>
      <c r="D5738" s="12"/>
      <c r="F5738" s="12">
        <v>8.3000000000000007</v>
      </c>
      <c r="G5738" s="12">
        <v>21.4</v>
      </c>
      <c r="H5738" s="12"/>
      <c r="I5738" s="12"/>
      <c r="J5738" s="12">
        <v>6.2</v>
      </c>
      <c r="K5738" s="12"/>
      <c r="M5738" s="12">
        <v>11.8</v>
      </c>
      <c r="Q5738" s="12">
        <v>0.5</v>
      </c>
      <c r="R5738" s="12"/>
      <c r="U5738" s="12"/>
      <c r="X5738" s="12"/>
      <c r="AC5738" s="38">
        <v>0</v>
      </c>
    </row>
    <row r="5739" spans="1:29" x14ac:dyDescent="0.25">
      <c r="A5739" s="22">
        <v>44090</v>
      </c>
      <c r="D5739" s="12"/>
      <c r="F5739" s="12">
        <v>0</v>
      </c>
      <c r="G5739" s="12">
        <v>0</v>
      </c>
      <c r="H5739" s="12"/>
      <c r="I5739" s="12"/>
      <c r="J5739" s="12">
        <v>0</v>
      </c>
      <c r="K5739" s="12"/>
      <c r="M5739" s="12">
        <v>0</v>
      </c>
      <c r="Q5739" s="12">
        <v>0</v>
      </c>
      <c r="R5739" s="12"/>
      <c r="U5739" s="12"/>
      <c r="X5739" s="12"/>
      <c r="AC5739" s="38">
        <v>0</v>
      </c>
    </row>
    <row r="5740" spans="1:29" x14ac:dyDescent="0.25">
      <c r="A5740" s="22">
        <v>44091</v>
      </c>
      <c r="D5740" s="12"/>
      <c r="F5740" s="12">
        <v>0</v>
      </c>
      <c r="G5740" s="12">
        <v>0</v>
      </c>
      <c r="H5740" s="12"/>
      <c r="I5740" s="12"/>
      <c r="J5740" s="12">
        <v>0</v>
      </c>
      <c r="K5740" s="12"/>
      <c r="M5740" s="12">
        <v>0</v>
      </c>
      <c r="Q5740" s="12">
        <v>0</v>
      </c>
      <c r="R5740" s="12"/>
      <c r="U5740" s="12"/>
      <c r="X5740" s="12"/>
      <c r="AC5740" s="38">
        <v>21</v>
      </c>
    </row>
    <row r="5741" spans="1:29" x14ac:dyDescent="0.25">
      <c r="A5741" s="22">
        <v>44092</v>
      </c>
      <c r="D5741" s="12"/>
      <c r="F5741" s="12">
        <v>9.1999999999999993</v>
      </c>
      <c r="G5741" s="12">
        <v>0</v>
      </c>
      <c r="H5741" s="12"/>
      <c r="I5741" s="12"/>
      <c r="J5741" s="12">
        <v>0</v>
      </c>
      <c r="K5741" s="12"/>
      <c r="M5741" s="12">
        <v>0</v>
      </c>
      <c r="Q5741" s="12">
        <v>0</v>
      </c>
      <c r="R5741" s="12"/>
      <c r="U5741" s="12"/>
      <c r="X5741" s="12"/>
      <c r="AC5741" s="38">
        <v>0</v>
      </c>
    </row>
    <row r="5742" spans="1:29" x14ac:dyDescent="0.25">
      <c r="A5742" s="22">
        <v>44093</v>
      </c>
      <c r="D5742" s="12"/>
      <c r="F5742" s="12">
        <v>4.5</v>
      </c>
      <c r="G5742" s="12">
        <v>0</v>
      </c>
      <c r="H5742" s="12"/>
      <c r="I5742" s="12"/>
      <c r="J5742" s="12">
        <v>0</v>
      </c>
      <c r="K5742" s="12"/>
      <c r="M5742" s="12">
        <v>0.4</v>
      </c>
      <c r="Q5742" s="12">
        <v>0</v>
      </c>
      <c r="R5742" s="12"/>
      <c r="U5742" s="12"/>
      <c r="X5742" s="12"/>
      <c r="AC5742" s="38">
        <v>0</v>
      </c>
    </row>
    <row r="5743" spans="1:29" x14ac:dyDescent="0.25">
      <c r="A5743" s="22">
        <v>44094</v>
      </c>
      <c r="D5743" s="12"/>
      <c r="F5743" s="12">
        <v>0</v>
      </c>
      <c r="G5743" s="12">
        <v>8.3000000000000007</v>
      </c>
      <c r="H5743" s="12"/>
      <c r="I5743" s="12"/>
      <c r="J5743" s="12">
        <v>6</v>
      </c>
      <c r="K5743" s="12"/>
      <c r="M5743" s="12">
        <v>0</v>
      </c>
      <c r="Q5743" s="12">
        <v>3.1</v>
      </c>
      <c r="R5743" s="12"/>
      <c r="U5743" s="12"/>
      <c r="X5743" s="12"/>
      <c r="AC5743" s="38">
        <v>0</v>
      </c>
    </row>
    <row r="5744" spans="1:29" x14ac:dyDescent="0.25">
      <c r="A5744" s="22">
        <v>44095</v>
      </c>
      <c r="D5744" s="12"/>
      <c r="F5744" s="12">
        <v>4.3</v>
      </c>
      <c r="G5744" s="12">
        <v>0</v>
      </c>
      <c r="H5744" s="12"/>
      <c r="I5744" s="12"/>
      <c r="J5744" s="12">
        <v>0</v>
      </c>
      <c r="K5744" s="12"/>
      <c r="M5744" s="12">
        <v>3.8</v>
      </c>
      <c r="Q5744" s="12">
        <v>0</v>
      </c>
      <c r="R5744" s="12"/>
      <c r="U5744" s="12"/>
      <c r="X5744" s="12"/>
      <c r="AC5744" s="38">
        <v>1</v>
      </c>
    </row>
    <row r="5745" spans="1:29" x14ac:dyDescent="0.25">
      <c r="A5745" s="22">
        <v>44096</v>
      </c>
      <c r="D5745" s="12"/>
      <c r="F5745" s="12">
        <v>0</v>
      </c>
      <c r="G5745" s="12">
        <v>1.3</v>
      </c>
      <c r="H5745" s="12"/>
      <c r="I5745" s="12"/>
      <c r="J5745" s="12">
        <v>0</v>
      </c>
      <c r="K5745" s="12"/>
      <c r="M5745" s="12">
        <v>2.2000000000000002</v>
      </c>
      <c r="Q5745" s="12">
        <v>0</v>
      </c>
      <c r="R5745" s="12"/>
      <c r="U5745" s="12"/>
      <c r="X5745" s="12"/>
      <c r="AC5745" s="38">
        <v>0</v>
      </c>
    </row>
    <row r="5746" spans="1:29" x14ac:dyDescent="0.25">
      <c r="A5746" s="22">
        <v>44097</v>
      </c>
      <c r="D5746" s="12"/>
      <c r="F5746" s="12">
        <v>0.5</v>
      </c>
      <c r="G5746" s="12">
        <v>0</v>
      </c>
      <c r="H5746" s="12"/>
      <c r="I5746" s="12"/>
      <c r="J5746" s="12">
        <v>0</v>
      </c>
      <c r="K5746" s="12"/>
      <c r="M5746" s="12">
        <v>2.6</v>
      </c>
      <c r="Q5746" s="12">
        <v>8.6999999999999993</v>
      </c>
      <c r="R5746" s="12"/>
      <c r="U5746" s="12"/>
      <c r="X5746" s="12"/>
      <c r="AC5746" s="38">
        <v>12</v>
      </c>
    </row>
    <row r="5747" spans="1:29" x14ac:dyDescent="0.25">
      <c r="A5747" s="22">
        <v>44098</v>
      </c>
      <c r="D5747" s="12"/>
      <c r="F5747" s="12">
        <v>0.8</v>
      </c>
      <c r="G5747" s="12">
        <v>7.4</v>
      </c>
      <c r="H5747" s="12"/>
      <c r="I5747" s="12"/>
      <c r="J5747" s="12">
        <v>14.1</v>
      </c>
      <c r="K5747" s="12"/>
      <c r="M5747" s="12">
        <v>6.1</v>
      </c>
      <c r="Q5747" s="12">
        <v>7.6</v>
      </c>
      <c r="R5747" s="12"/>
      <c r="U5747" s="12"/>
      <c r="X5747" s="12"/>
      <c r="AC5747" s="38">
        <v>3</v>
      </c>
    </row>
    <row r="5748" spans="1:29" x14ac:dyDescent="0.25">
      <c r="A5748" s="22">
        <v>44099</v>
      </c>
      <c r="D5748" s="12"/>
      <c r="F5748" s="12">
        <v>5.0999999999999996</v>
      </c>
      <c r="G5748" s="12">
        <v>0.8</v>
      </c>
      <c r="H5748" s="12"/>
      <c r="I5748" s="12"/>
      <c r="J5748" s="12">
        <v>2.6</v>
      </c>
      <c r="K5748" s="12"/>
      <c r="M5748" s="12">
        <v>0</v>
      </c>
      <c r="Q5748" s="12">
        <v>0</v>
      </c>
      <c r="R5748" s="12"/>
      <c r="U5748" s="12"/>
      <c r="X5748" s="12"/>
      <c r="AC5748" s="38">
        <v>0</v>
      </c>
    </row>
    <row r="5749" spans="1:29" x14ac:dyDescent="0.25">
      <c r="A5749" s="22">
        <v>44100</v>
      </c>
      <c r="D5749" s="12"/>
      <c r="F5749" s="12">
        <v>0.9</v>
      </c>
      <c r="G5749" s="12">
        <v>0.7</v>
      </c>
      <c r="H5749" s="12"/>
      <c r="I5749" s="12"/>
      <c r="J5749" s="12">
        <v>0</v>
      </c>
      <c r="K5749" s="12"/>
      <c r="M5749" s="12">
        <v>0.9</v>
      </c>
      <c r="Q5749" s="12">
        <v>3.3</v>
      </c>
      <c r="R5749" s="12"/>
      <c r="U5749" s="12"/>
      <c r="X5749" s="12"/>
      <c r="AC5749" s="38">
        <v>0</v>
      </c>
    </row>
    <row r="5750" spans="1:29" x14ac:dyDescent="0.25">
      <c r="A5750" s="22">
        <v>44101</v>
      </c>
      <c r="D5750" s="12"/>
      <c r="F5750" s="12">
        <v>0</v>
      </c>
      <c r="G5750" s="12">
        <v>2.1</v>
      </c>
      <c r="H5750" s="12"/>
      <c r="I5750" s="12"/>
      <c r="J5750" s="12">
        <v>6.7</v>
      </c>
      <c r="K5750" s="12"/>
      <c r="M5750" s="12">
        <v>0.7</v>
      </c>
      <c r="Q5750" s="12">
        <v>0</v>
      </c>
      <c r="R5750" s="12"/>
      <c r="U5750" s="12"/>
      <c r="X5750" s="12"/>
      <c r="AC5750" s="38">
        <v>32</v>
      </c>
    </row>
    <row r="5751" spans="1:29" x14ac:dyDescent="0.25">
      <c r="A5751" s="22">
        <v>44102</v>
      </c>
      <c r="D5751" s="12"/>
      <c r="F5751" s="12">
        <v>53.2</v>
      </c>
      <c r="G5751" s="12">
        <v>39.1</v>
      </c>
      <c r="H5751" s="12"/>
      <c r="I5751" s="12"/>
      <c r="J5751" s="12">
        <v>37</v>
      </c>
      <c r="K5751" s="12"/>
      <c r="M5751" s="12">
        <v>35.4</v>
      </c>
      <c r="Q5751" s="12">
        <v>22.2</v>
      </c>
      <c r="R5751" s="12"/>
      <c r="U5751" s="12"/>
      <c r="X5751" s="12"/>
      <c r="AC5751" s="38">
        <v>30</v>
      </c>
    </row>
    <row r="5752" spans="1:29" x14ac:dyDescent="0.25">
      <c r="A5752" s="22">
        <v>44103</v>
      </c>
      <c r="D5752" s="12"/>
      <c r="F5752" s="12">
        <v>5.8</v>
      </c>
      <c r="G5752" s="12">
        <v>10.5</v>
      </c>
      <c r="H5752" s="12"/>
      <c r="I5752" s="12"/>
      <c r="J5752" s="12">
        <v>23.9</v>
      </c>
      <c r="K5752" s="12"/>
      <c r="M5752" s="12">
        <v>13.6</v>
      </c>
      <c r="Q5752" s="12">
        <v>19.600000000000001</v>
      </c>
      <c r="R5752" s="12"/>
      <c r="U5752" s="12"/>
      <c r="X5752" s="12"/>
      <c r="AC5752" s="38">
        <v>2</v>
      </c>
    </row>
    <row r="5753" spans="1:29" x14ac:dyDescent="0.25">
      <c r="A5753" s="22">
        <v>44104</v>
      </c>
      <c r="D5753" s="12"/>
      <c r="F5753" s="12">
        <v>5</v>
      </c>
      <c r="G5753" s="12">
        <v>11.7</v>
      </c>
      <c r="H5753" s="12"/>
      <c r="I5753" s="12"/>
      <c r="J5753" s="12">
        <v>9.8000000000000007</v>
      </c>
      <c r="K5753" s="12"/>
      <c r="M5753" s="12">
        <v>6.5</v>
      </c>
      <c r="Q5753" s="12">
        <v>56.6</v>
      </c>
      <c r="R5753" s="12"/>
      <c r="U5753" s="12"/>
      <c r="X5753" s="12"/>
      <c r="AC5753" s="38">
        <v>10</v>
      </c>
    </row>
    <row r="5754" spans="1:29" x14ac:dyDescent="0.25">
      <c r="A5754" s="22">
        <v>44105</v>
      </c>
      <c r="D5754" s="12"/>
      <c r="F5754" s="12">
        <v>37.1</v>
      </c>
      <c r="G5754" s="12">
        <v>42.2</v>
      </c>
      <c r="H5754" s="12">
        <v>0.1</v>
      </c>
      <c r="I5754" s="12"/>
      <c r="J5754" s="12">
        <v>55.6</v>
      </c>
      <c r="K5754" s="12"/>
      <c r="M5754" s="12"/>
      <c r="Q5754" s="12">
        <v>0.1</v>
      </c>
      <c r="R5754" s="12"/>
      <c r="U5754" s="12"/>
      <c r="X5754" s="12"/>
      <c r="AC5754" s="38">
        <v>8</v>
      </c>
    </row>
    <row r="5755" spans="1:29" x14ac:dyDescent="0.25">
      <c r="A5755" s="22">
        <v>44106</v>
      </c>
      <c r="D5755" s="12"/>
      <c r="F5755" s="12">
        <v>0</v>
      </c>
      <c r="G5755" s="12">
        <v>0.2</v>
      </c>
      <c r="H5755" s="12">
        <v>23.5</v>
      </c>
      <c r="I5755" s="12"/>
      <c r="J5755" s="12">
        <v>0</v>
      </c>
      <c r="K5755" s="12"/>
      <c r="M5755" s="12"/>
      <c r="Q5755" s="12">
        <v>23.5</v>
      </c>
      <c r="R5755" s="12"/>
      <c r="U5755" s="12"/>
      <c r="X5755" s="12"/>
      <c r="AC5755" s="38">
        <v>27</v>
      </c>
    </row>
    <row r="5756" spans="1:29" x14ac:dyDescent="0.25">
      <c r="A5756" s="22">
        <v>44107</v>
      </c>
      <c r="D5756" s="12"/>
      <c r="F5756" s="12">
        <v>22</v>
      </c>
      <c r="G5756" s="12">
        <v>30.5</v>
      </c>
      <c r="H5756" s="12">
        <v>1.3</v>
      </c>
      <c r="I5756" s="12"/>
      <c r="J5756" s="12">
        <v>31.9</v>
      </c>
      <c r="K5756" s="12"/>
      <c r="M5756" s="12"/>
      <c r="Q5756" s="12">
        <v>1.3</v>
      </c>
      <c r="R5756" s="12"/>
      <c r="U5756" s="12"/>
      <c r="X5756" s="12"/>
      <c r="AC5756" s="38">
        <v>1</v>
      </c>
    </row>
    <row r="5757" spans="1:29" x14ac:dyDescent="0.25">
      <c r="A5757" s="22">
        <v>44108</v>
      </c>
      <c r="D5757" s="12"/>
      <c r="F5757" s="12">
        <v>0</v>
      </c>
      <c r="G5757" s="12">
        <v>0.4</v>
      </c>
      <c r="H5757" s="12">
        <v>3.4</v>
      </c>
      <c r="I5757" s="12"/>
      <c r="J5757" s="12">
        <v>0.4</v>
      </c>
      <c r="K5757" s="12"/>
      <c r="M5757" s="12"/>
      <c r="Q5757" s="12">
        <v>3.4</v>
      </c>
      <c r="R5757" s="12"/>
      <c r="U5757" s="12"/>
      <c r="X5757" s="12"/>
      <c r="AC5757" s="38">
        <v>0</v>
      </c>
    </row>
    <row r="5758" spans="1:29" x14ac:dyDescent="0.25">
      <c r="A5758" s="22">
        <v>44109</v>
      </c>
      <c r="D5758" s="12"/>
      <c r="F5758" s="12">
        <v>2</v>
      </c>
      <c r="G5758" s="12">
        <v>0.4</v>
      </c>
      <c r="H5758" s="12">
        <v>0</v>
      </c>
      <c r="I5758" s="12"/>
      <c r="J5758" s="12">
        <v>1.7</v>
      </c>
      <c r="K5758" s="12"/>
      <c r="M5758" s="12"/>
      <c r="Q5758" s="12">
        <v>0</v>
      </c>
      <c r="R5758" s="12"/>
      <c r="U5758" s="12"/>
      <c r="X5758" s="12"/>
      <c r="AC5758" s="38">
        <v>0</v>
      </c>
    </row>
    <row r="5759" spans="1:29" x14ac:dyDescent="0.25">
      <c r="A5759" s="22">
        <v>44110</v>
      </c>
      <c r="D5759" s="12"/>
      <c r="F5759" s="12">
        <v>0.5</v>
      </c>
      <c r="G5759" s="12">
        <v>25.1</v>
      </c>
      <c r="H5759" s="12">
        <v>76.5</v>
      </c>
      <c r="I5759" s="12"/>
      <c r="J5759" s="12">
        <v>4.5</v>
      </c>
      <c r="K5759" s="12"/>
      <c r="M5759" s="12"/>
      <c r="Q5759" s="12">
        <v>76.5</v>
      </c>
      <c r="R5759" s="12"/>
      <c r="U5759" s="12"/>
      <c r="X5759" s="12"/>
      <c r="AC5759" s="38">
        <v>19</v>
      </c>
    </row>
    <row r="5760" spans="1:29" x14ac:dyDescent="0.25">
      <c r="A5760" s="22">
        <v>44111</v>
      </c>
      <c r="D5760" s="12"/>
      <c r="F5760" s="12">
        <v>38.4</v>
      </c>
      <c r="G5760" s="12">
        <v>50.6</v>
      </c>
      <c r="H5760" s="12">
        <v>0</v>
      </c>
      <c r="I5760" s="12"/>
      <c r="J5760" s="12">
        <v>95.5</v>
      </c>
      <c r="K5760" s="12"/>
      <c r="M5760" s="12"/>
      <c r="Q5760" s="12">
        <v>0</v>
      </c>
      <c r="R5760" s="12"/>
      <c r="U5760" s="12"/>
      <c r="X5760" s="12"/>
      <c r="AC5760" s="38">
        <v>0</v>
      </c>
    </row>
    <row r="5761" spans="1:29" x14ac:dyDescent="0.25">
      <c r="A5761" s="22">
        <v>44112</v>
      </c>
      <c r="D5761" s="12"/>
      <c r="F5761" s="12">
        <v>0</v>
      </c>
      <c r="G5761" s="12">
        <v>29.5</v>
      </c>
      <c r="H5761" s="12">
        <v>0</v>
      </c>
      <c r="I5761" s="12"/>
      <c r="J5761" s="12">
        <v>3.5</v>
      </c>
      <c r="K5761" s="12"/>
      <c r="M5761" s="12"/>
      <c r="Q5761" s="12">
        <v>0</v>
      </c>
      <c r="R5761" s="12"/>
      <c r="U5761" s="12"/>
      <c r="X5761" s="12"/>
      <c r="AC5761" s="38">
        <v>8</v>
      </c>
    </row>
    <row r="5762" spans="1:29" x14ac:dyDescent="0.25">
      <c r="A5762" s="22">
        <v>44113</v>
      </c>
      <c r="D5762" s="12"/>
      <c r="F5762" s="12">
        <v>24.5</v>
      </c>
      <c r="G5762" s="12">
        <v>10.8</v>
      </c>
      <c r="H5762" s="12">
        <v>9.8000000000000007</v>
      </c>
      <c r="I5762" s="12"/>
      <c r="J5762" s="12">
        <v>52.3</v>
      </c>
      <c r="K5762" s="12"/>
      <c r="M5762" s="12"/>
      <c r="Q5762" s="12">
        <v>9.8000000000000007</v>
      </c>
      <c r="R5762" s="12"/>
      <c r="U5762" s="12"/>
      <c r="X5762" s="12"/>
      <c r="AC5762" s="38">
        <v>1</v>
      </c>
    </row>
    <row r="5763" spans="1:29" x14ac:dyDescent="0.25">
      <c r="A5763" s="22">
        <v>44114</v>
      </c>
      <c r="D5763" s="12"/>
      <c r="F5763" s="12">
        <v>11.9</v>
      </c>
      <c r="G5763" s="12">
        <v>0</v>
      </c>
      <c r="H5763" s="12">
        <v>0.9</v>
      </c>
      <c r="I5763" s="12"/>
      <c r="J5763" s="12">
        <v>9.6999999999999993</v>
      </c>
      <c r="K5763" s="12"/>
      <c r="M5763" s="12"/>
      <c r="Q5763" s="12">
        <v>0.9</v>
      </c>
      <c r="R5763" s="12"/>
      <c r="U5763" s="12"/>
      <c r="X5763" s="12"/>
      <c r="AC5763" s="38">
        <v>0</v>
      </c>
    </row>
    <row r="5764" spans="1:29" x14ac:dyDescent="0.25">
      <c r="A5764" s="22">
        <v>44115</v>
      </c>
      <c r="D5764" s="12"/>
      <c r="F5764" s="12">
        <v>1.6</v>
      </c>
      <c r="G5764" s="12">
        <v>10.6</v>
      </c>
      <c r="H5764" s="12">
        <v>2.2000000000000002</v>
      </c>
      <c r="I5764" s="12"/>
      <c r="J5764" s="12">
        <v>13.5</v>
      </c>
      <c r="K5764" s="12"/>
      <c r="M5764" s="12"/>
      <c r="Q5764" s="12">
        <v>2.2000000000000002</v>
      </c>
      <c r="R5764" s="12"/>
      <c r="U5764" s="12"/>
      <c r="X5764" s="12"/>
      <c r="AC5764" s="38">
        <v>0</v>
      </c>
    </row>
    <row r="5765" spans="1:29" x14ac:dyDescent="0.25">
      <c r="A5765" s="22">
        <v>44116</v>
      </c>
      <c r="D5765" s="12"/>
      <c r="F5765" s="12">
        <v>1</v>
      </c>
      <c r="G5765" s="12">
        <v>2.4</v>
      </c>
      <c r="H5765" s="12">
        <v>10.5</v>
      </c>
      <c r="I5765" s="12"/>
      <c r="J5765" s="12">
        <v>0</v>
      </c>
      <c r="K5765" s="12"/>
      <c r="M5765" s="12"/>
      <c r="Q5765" s="12">
        <v>10.5</v>
      </c>
      <c r="R5765" s="12"/>
      <c r="U5765" s="12"/>
      <c r="X5765" s="12"/>
      <c r="AC5765" s="38">
        <v>0</v>
      </c>
    </row>
    <row r="5766" spans="1:29" x14ac:dyDescent="0.25">
      <c r="A5766" s="22">
        <v>44117</v>
      </c>
      <c r="D5766" s="12"/>
      <c r="F5766" s="12">
        <v>0</v>
      </c>
      <c r="G5766" s="12">
        <v>5.6</v>
      </c>
      <c r="H5766" s="12">
        <v>15.8</v>
      </c>
      <c r="I5766" s="12"/>
      <c r="J5766" s="12">
        <v>5.2</v>
      </c>
      <c r="K5766" s="12"/>
      <c r="M5766" s="12"/>
      <c r="Q5766" s="12">
        <v>15.8</v>
      </c>
      <c r="R5766" s="12"/>
      <c r="U5766" s="12"/>
      <c r="X5766" s="12"/>
      <c r="AC5766" s="38">
        <v>2</v>
      </c>
    </row>
    <row r="5767" spans="1:29" x14ac:dyDescent="0.25">
      <c r="A5767" s="22">
        <v>44118</v>
      </c>
      <c r="D5767" s="12"/>
      <c r="F5767" s="12">
        <v>0</v>
      </c>
      <c r="G5767" s="12">
        <v>5</v>
      </c>
      <c r="H5767" s="12">
        <v>0</v>
      </c>
      <c r="I5767" s="12"/>
      <c r="J5767" s="12">
        <v>5.0999999999999996</v>
      </c>
      <c r="K5767" s="12"/>
      <c r="M5767" s="12"/>
      <c r="Q5767" s="12">
        <v>0</v>
      </c>
      <c r="R5767" s="12"/>
      <c r="U5767" s="12"/>
      <c r="X5767" s="12"/>
      <c r="AC5767" s="38">
        <v>12</v>
      </c>
    </row>
    <row r="5768" spans="1:29" x14ac:dyDescent="0.25">
      <c r="A5768" s="22">
        <v>44119</v>
      </c>
      <c r="D5768" s="12"/>
      <c r="F5768" s="12">
        <v>0</v>
      </c>
      <c r="G5768" s="12">
        <v>8.8000000000000007</v>
      </c>
      <c r="H5768" s="12">
        <v>0</v>
      </c>
      <c r="I5768" s="12"/>
      <c r="J5768" s="12">
        <v>44.7</v>
      </c>
      <c r="K5768" s="12"/>
      <c r="M5768" s="12"/>
      <c r="Q5768" s="12">
        <v>0</v>
      </c>
      <c r="R5768" s="12"/>
      <c r="U5768" s="12"/>
      <c r="X5768" s="12"/>
      <c r="AC5768" s="38">
        <v>0</v>
      </c>
    </row>
    <row r="5769" spans="1:29" x14ac:dyDescent="0.25">
      <c r="A5769" s="22">
        <v>44120</v>
      </c>
      <c r="D5769" s="12"/>
      <c r="F5769" s="12">
        <v>2.4</v>
      </c>
      <c r="G5769" s="12">
        <v>0.4</v>
      </c>
      <c r="H5769" s="12">
        <v>2.5</v>
      </c>
      <c r="I5769" s="12"/>
      <c r="J5769" s="12">
        <v>0.5</v>
      </c>
      <c r="K5769" s="12"/>
      <c r="M5769" s="12"/>
      <c r="Q5769" s="12">
        <v>2.5</v>
      </c>
      <c r="R5769" s="12"/>
      <c r="U5769" s="12"/>
      <c r="X5769" s="12"/>
      <c r="AC5769" s="38">
        <v>0</v>
      </c>
    </row>
    <row r="5770" spans="1:29" x14ac:dyDescent="0.25">
      <c r="A5770" s="22">
        <v>44121</v>
      </c>
      <c r="D5770" s="12"/>
      <c r="F5770" s="12">
        <v>0</v>
      </c>
      <c r="G5770" s="12">
        <v>0.7</v>
      </c>
      <c r="H5770" s="12">
        <v>1.3</v>
      </c>
      <c r="I5770" s="12"/>
      <c r="J5770" s="12">
        <v>53</v>
      </c>
      <c r="K5770" s="12"/>
      <c r="M5770" s="12"/>
      <c r="Q5770" s="12">
        <v>1.3</v>
      </c>
      <c r="R5770" s="12"/>
      <c r="U5770" s="12"/>
      <c r="X5770" s="12"/>
      <c r="AC5770" s="38">
        <v>2</v>
      </c>
    </row>
    <row r="5771" spans="1:29" x14ac:dyDescent="0.25">
      <c r="A5771" s="22">
        <v>44122</v>
      </c>
      <c r="D5771" s="12"/>
      <c r="F5771" s="12">
        <v>8</v>
      </c>
      <c r="G5771" s="12">
        <v>3.2</v>
      </c>
      <c r="H5771" s="12">
        <v>0</v>
      </c>
      <c r="I5771" s="12"/>
      <c r="J5771" s="12">
        <v>5.4</v>
      </c>
      <c r="K5771" s="12"/>
      <c r="M5771" s="12"/>
      <c r="Q5771" s="12">
        <v>0</v>
      </c>
      <c r="R5771" s="12"/>
      <c r="U5771" s="12"/>
      <c r="X5771" s="12"/>
      <c r="AC5771" s="38">
        <v>0</v>
      </c>
    </row>
    <row r="5772" spans="1:29" x14ac:dyDescent="0.25">
      <c r="A5772" s="22">
        <v>44123</v>
      </c>
      <c r="D5772" s="12"/>
      <c r="F5772" s="12">
        <v>0</v>
      </c>
      <c r="G5772" s="12">
        <v>0</v>
      </c>
      <c r="H5772" s="12">
        <v>0</v>
      </c>
      <c r="I5772" s="12"/>
      <c r="J5772" s="12">
        <v>0</v>
      </c>
      <c r="K5772" s="12"/>
      <c r="M5772" s="12"/>
      <c r="Q5772" s="12">
        <v>0</v>
      </c>
      <c r="R5772" s="12"/>
      <c r="U5772" s="12"/>
      <c r="X5772" s="12"/>
      <c r="AC5772" s="38">
        <v>0</v>
      </c>
    </row>
    <row r="5773" spans="1:29" x14ac:dyDescent="0.25">
      <c r="A5773" s="22">
        <v>44124</v>
      </c>
      <c r="D5773" s="12"/>
      <c r="F5773" s="12">
        <v>0</v>
      </c>
      <c r="G5773" s="12">
        <v>0</v>
      </c>
      <c r="H5773" s="12">
        <v>0</v>
      </c>
      <c r="I5773" s="12"/>
      <c r="J5773" s="12">
        <v>0</v>
      </c>
      <c r="K5773" s="12"/>
      <c r="M5773" s="12"/>
      <c r="Q5773" s="12">
        <v>0</v>
      </c>
      <c r="R5773" s="12"/>
      <c r="U5773" s="12"/>
      <c r="X5773" s="12"/>
      <c r="AC5773" s="38">
        <v>0</v>
      </c>
    </row>
    <row r="5774" spans="1:29" x14ac:dyDescent="0.25">
      <c r="A5774" s="22">
        <v>44125</v>
      </c>
      <c r="D5774" s="12"/>
      <c r="F5774" s="12">
        <v>0</v>
      </c>
      <c r="G5774" s="12">
        <v>0</v>
      </c>
      <c r="H5774" s="12">
        <v>0</v>
      </c>
      <c r="I5774" s="12"/>
      <c r="J5774" s="12">
        <v>0</v>
      </c>
      <c r="K5774" s="12"/>
      <c r="M5774" s="12"/>
      <c r="Q5774" s="12">
        <v>0</v>
      </c>
      <c r="R5774" s="12"/>
      <c r="U5774" s="12"/>
      <c r="X5774" s="12"/>
      <c r="AC5774" s="38">
        <v>0</v>
      </c>
    </row>
    <row r="5775" spans="1:29" x14ac:dyDescent="0.25">
      <c r="A5775" s="22">
        <v>44126</v>
      </c>
      <c r="D5775" s="12"/>
      <c r="F5775" s="12">
        <v>2</v>
      </c>
      <c r="G5775" s="12">
        <v>1.2</v>
      </c>
      <c r="H5775" s="12">
        <v>0.7</v>
      </c>
      <c r="I5775" s="12"/>
      <c r="J5775" s="12">
        <v>2.4</v>
      </c>
      <c r="K5775" s="12"/>
      <c r="M5775" s="12"/>
      <c r="Q5775" s="12">
        <v>0.7</v>
      </c>
      <c r="R5775" s="12"/>
      <c r="U5775" s="12"/>
      <c r="X5775" s="12"/>
      <c r="AC5775" s="38">
        <v>1</v>
      </c>
    </row>
    <row r="5776" spans="1:29" x14ac:dyDescent="0.25">
      <c r="A5776" s="22">
        <v>44127</v>
      </c>
      <c r="D5776" s="12"/>
      <c r="F5776" s="12">
        <v>6</v>
      </c>
      <c r="G5776" s="12">
        <v>7.8</v>
      </c>
      <c r="H5776" s="12">
        <v>4.8</v>
      </c>
      <c r="I5776" s="12"/>
      <c r="J5776" s="12">
        <v>12.1</v>
      </c>
      <c r="K5776" s="12"/>
      <c r="M5776" s="12"/>
      <c r="Q5776" s="12">
        <v>4.8</v>
      </c>
      <c r="R5776" s="12"/>
      <c r="U5776" s="12"/>
      <c r="X5776" s="12"/>
      <c r="AC5776" s="38">
        <v>22</v>
      </c>
    </row>
    <row r="5777" spans="1:29" x14ac:dyDescent="0.25">
      <c r="A5777" s="22">
        <v>44128</v>
      </c>
      <c r="D5777" s="12"/>
      <c r="F5777" s="12">
        <v>47</v>
      </c>
      <c r="G5777" s="12">
        <v>6.4</v>
      </c>
      <c r="H5777" s="12">
        <v>10.8</v>
      </c>
      <c r="I5777" s="12"/>
      <c r="J5777" s="12">
        <v>97.7</v>
      </c>
      <c r="K5777" s="12"/>
      <c r="M5777" s="12"/>
      <c r="Q5777" s="12">
        <v>10.8</v>
      </c>
      <c r="R5777" s="12"/>
      <c r="U5777" s="12"/>
      <c r="X5777" s="12"/>
      <c r="AC5777" s="38">
        <v>8</v>
      </c>
    </row>
    <row r="5778" spans="1:29" x14ac:dyDescent="0.25">
      <c r="A5778" s="22">
        <v>44129</v>
      </c>
      <c r="D5778" s="12"/>
      <c r="F5778" s="12">
        <v>38.9</v>
      </c>
      <c r="G5778" s="12">
        <v>47.3</v>
      </c>
      <c r="H5778" s="12">
        <v>0.8</v>
      </c>
      <c r="I5778" s="12"/>
      <c r="J5778" s="12">
        <v>6.4</v>
      </c>
      <c r="K5778" s="12"/>
      <c r="M5778" s="12"/>
      <c r="Q5778" s="12">
        <v>0.8</v>
      </c>
      <c r="R5778" s="12"/>
      <c r="U5778" s="12"/>
      <c r="X5778" s="12"/>
      <c r="AC5778" s="38">
        <v>20</v>
      </c>
    </row>
    <row r="5779" spans="1:29" x14ac:dyDescent="0.25">
      <c r="A5779" s="22">
        <v>44130</v>
      </c>
      <c r="D5779" s="12"/>
      <c r="F5779" s="12">
        <v>8.1999999999999993</v>
      </c>
      <c r="G5779" s="12">
        <v>17.399999999999999</v>
      </c>
      <c r="H5779" s="12">
        <v>2</v>
      </c>
      <c r="I5779" s="12"/>
      <c r="J5779" s="12">
        <v>8.5</v>
      </c>
      <c r="K5779" s="12"/>
      <c r="M5779" s="12"/>
      <c r="Q5779" s="12">
        <v>2</v>
      </c>
      <c r="R5779" s="12"/>
      <c r="U5779" s="12"/>
      <c r="X5779" s="12"/>
      <c r="AC5779" s="38">
        <v>42</v>
      </c>
    </row>
    <row r="5780" spans="1:29" x14ac:dyDescent="0.25">
      <c r="A5780" s="22">
        <v>44131</v>
      </c>
      <c r="D5780" s="12"/>
      <c r="F5780" s="12">
        <v>1</v>
      </c>
      <c r="G5780" s="12">
        <v>12.1</v>
      </c>
      <c r="H5780" s="12">
        <v>18.600000000000001</v>
      </c>
      <c r="I5780" s="12"/>
      <c r="J5780" s="12">
        <v>11.9</v>
      </c>
      <c r="K5780" s="12"/>
      <c r="M5780" s="12"/>
      <c r="Q5780" s="12">
        <v>18.600000000000001</v>
      </c>
      <c r="R5780" s="12"/>
      <c r="U5780" s="12"/>
      <c r="X5780" s="12"/>
      <c r="AC5780" s="38">
        <v>9</v>
      </c>
    </row>
    <row r="5781" spans="1:29" x14ac:dyDescent="0.25">
      <c r="A5781" s="22">
        <v>44132</v>
      </c>
      <c r="D5781" s="12"/>
      <c r="F5781" s="12">
        <v>11.5</v>
      </c>
      <c r="G5781" s="12">
        <v>13</v>
      </c>
      <c r="H5781" s="12">
        <v>4.8</v>
      </c>
      <c r="I5781" s="12"/>
      <c r="J5781" s="12">
        <v>18.899999999999999</v>
      </c>
      <c r="K5781" s="12"/>
      <c r="M5781" s="12"/>
      <c r="Q5781" s="12">
        <v>4.8</v>
      </c>
      <c r="R5781" s="12"/>
      <c r="U5781" s="12"/>
      <c r="X5781" s="12"/>
      <c r="AC5781" s="38">
        <v>5</v>
      </c>
    </row>
    <row r="5782" spans="1:29" x14ac:dyDescent="0.25">
      <c r="A5782" s="22">
        <v>44133</v>
      </c>
      <c r="D5782" s="12"/>
      <c r="F5782" s="12">
        <v>5.3</v>
      </c>
      <c r="G5782" s="12">
        <v>13.1</v>
      </c>
      <c r="H5782" s="12">
        <v>19.8</v>
      </c>
      <c r="I5782" s="12"/>
      <c r="J5782" s="12">
        <v>36</v>
      </c>
      <c r="K5782" s="12"/>
      <c r="M5782" s="12"/>
      <c r="Q5782" s="12">
        <v>19.8</v>
      </c>
      <c r="R5782" s="12"/>
      <c r="U5782" s="12"/>
      <c r="X5782" s="12"/>
      <c r="AC5782" s="38">
        <v>1</v>
      </c>
    </row>
    <row r="5783" spans="1:29" x14ac:dyDescent="0.25">
      <c r="A5783" s="22">
        <v>44134</v>
      </c>
      <c r="D5783" s="12"/>
      <c r="F5783" s="12">
        <v>6.5</v>
      </c>
      <c r="G5783" s="12">
        <v>5.4</v>
      </c>
      <c r="H5783" s="12">
        <v>10.8</v>
      </c>
      <c r="I5783" s="12"/>
      <c r="J5783" s="12">
        <v>4.5</v>
      </c>
      <c r="K5783" s="12"/>
      <c r="M5783" s="12"/>
      <c r="Q5783" s="12">
        <v>10.8</v>
      </c>
      <c r="R5783" s="12"/>
      <c r="U5783" s="12"/>
      <c r="X5783" s="12"/>
      <c r="AC5783" s="38">
        <v>12</v>
      </c>
    </row>
    <row r="5784" spans="1:29" x14ac:dyDescent="0.25">
      <c r="A5784" s="22">
        <v>44135</v>
      </c>
      <c r="D5784" s="12"/>
      <c r="F5784" s="12">
        <v>14</v>
      </c>
      <c r="G5784" s="12">
        <v>13.2</v>
      </c>
      <c r="H5784" s="12">
        <v>1.9</v>
      </c>
      <c r="I5784" s="12"/>
      <c r="J5784" s="12">
        <v>20.5</v>
      </c>
      <c r="K5784" s="12"/>
      <c r="M5784" s="12"/>
      <c r="Q5784" s="12">
        <v>1.9</v>
      </c>
      <c r="R5784" s="12"/>
      <c r="U5784" s="12"/>
      <c r="X5784" s="12"/>
      <c r="AC5784" s="38">
        <v>20</v>
      </c>
    </row>
    <row r="5785" spans="1:29" x14ac:dyDescent="0.25">
      <c r="A5785" s="22">
        <v>44136</v>
      </c>
      <c r="D5785" s="12"/>
      <c r="F5785" s="12">
        <v>11.4</v>
      </c>
      <c r="G5785" s="12">
        <v>1.2</v>
      </c>
      <c r="H5785" s="12"/>
      <c r="I5785" s="12"/>
      <c r="J5785" s="12">
        <v>8.9</v>
      </c>
      <c r="K5785" s="12"/>
      <c r="M5785" s="12">
        <v>1.3</v>
      </c>
      <c r="Q5785" s="12">
        <v>80</v>
      </c>
      <c r="R5785" s="12"/>
      <c r="U5785" s="12"/>
      <c r="X5785" s="12"/>
      <c r="AC5785" s="38">
        <v>42</v>
      </c>
    </row>
    <row r="5786" spans="1:29" x14ac:dyDescent="0.25">
      <c r="A5786" s="22">
        <v>44137</v>
      </c>
      <c r="D5786" s="12"/>
      <c r="F5786" s="12">
        <v>62.6</v>
      </c>
      <c r="G5786" s="12">
        <v>67.900000000000006</v>
      </c>
      <c r="H5786" s="12"/>
      <c r="I5786" s="12"/>
      <c r="J5786" s="12">
        <v>97</v>
      </c>
      <c r="K5786" s="12"/>
      <c r="M5786" s="12">
        <v>83.4</v>
      </c>
      <c r="Q5786" s="12">
        <v>1.2</v>
      </c>
      <c r="R5786" s="12"/>
      <c r="U5786" s="12"/>
      <c r="X5786" s="12"/>
      <c r="AC5786" s="38">
        <v>25</v>
      </c>
    </row>
    <row r="5787" spans="1:29" x14ac:dyDescent="0.25">
      <c r="A5787" s="22">
        <v>44138</v>
      </c>
      <c r="D5787" s="12"/>
      <c r="F5787" s="12">
        <v>0</v>
      </c>
      <c r="G5787" s="12">
        <v>0</v>
      </c>
      <c r="H5787" s="12"/>
      <c r="I5787" s="12"/>
      <c r="J5787" s="12">
        <v>0</v>
      </c>
      <c r="K5787" s="12"/>
      <c r="M5787" s="12">
        <v>0</v>
      </c>
      <c r="Q5787" s="12">
        <v>7.8</v>
      </c>
      <c r="R5787" s="12"/>
      <c r="U5787" s="12"/>
      <c r="X5787" s="12"/>
      <c r="AC5787" s="38">
        <v>2</v>
      </c>
    </row>
    <row r="5788" spans="1:29" x14ac:dyDescent="0.25">
      <c r="A5788" s="22">
        <v>44139</v>
      </c>
      <c r="D5788" s="12"/>
      <c r="F5788" s="12">
        <v>5.8</v>
      </c>
      <c r="G5788" s="12">
        <v>8.4</v>
      </c>
      <c r="H5788" s="12"/>
      <c r="I5788" s="12"/>
      <c r="J5788" s="12">
        <v>10.5</v>
      </c>
      <c r="K5788" s="12"/>
      <c r="M5788" s="12">
        <v>7.5</v>
      </c>
      <c r="Q5788" s="12">
        <v>3.3</v>
      </c>
      <c r="R5788" s="12"/>
      <c r="U5788" s="12"/>
      <c r="X5788" s="12"/>
      <c r="AC5788" s="38">
        <v>2</v>
      </c>
    </row>
    <row r="5789" spans="1:29" x14ac:dyDescent="0.25">
      <c r="A5789" s="22">
        <v>44140</v>
      </c>
      <c r="D5789" s="12"/>
      <c r="F5789" s="12">
        <v>0</v>
      </c>
      <c r="G5789" s="12">
        <v>0.7</v>
      </c>
      <c r="H5789" s="12"/>
      <c r="I5789" s="12"/>
      <c r="J5789" s="12">
        <v>3.2</v>
      </c>
      <c r="K5789" s="12"/>
      <c r="M5789" s="12">
        <v>0</v>
      </c>
      <c r="Q5789" s="12">
        <v>9.9</v>
      </c>
      <c r="R5789" s="12"/>
      <c r="U5789" s="12"/>
      <c r="X5789" s="12"/>
      <c r="AC5789" s="38">
        <v>0</v>
      </c>
    </row>
    <row r="5790" spans="1:29" x14ac:dyDescent="0.25">
      <c r="A5790" s="22">
        <v>44141</v>
      </c>
      <c r="D5790" s="12"/>
      <c r="F5790" s="12">
        <v>3.1</v>
      </c>
      <c r="G5790" s="12">
        <v>4.4000000000000004</v>
      </c>
      <c r="H5790" s="12"/>
      <c r="I5790" s="12"/>
      <c r="J5790" s="12">
        <v>6.4</v>
      </c>
      <c r="K5790" s="12"/>
      <c r="M5790" s="12">
        <v>7.3</v>
      </c>
      <c r="Q5790" s="12">
        <v>6.1</v>
      </c>
      <c r="R5790" s="12"/>
      <c r="U5790" s="12"/>
      <c r="X5790" s="12"/>
      <c r="AC5790" s="38">
        <v>4</v>
      </c>
    </row>
    <row r="5791" spans="1:29" x14ac:dyDescent="0.25">
      <c r="A5791" s="22">
        <v>44142</v>
      </c>
      <c r="D5791" s="12"/>
      <c r="F5791" s="12">
        <v>8.4</v>
      </c>
      <c r="G5791" s="12">
        <v>9.5</v>
      </c>
      <c r="H5791" s="12"/>
      <c r="I5791" s="12"/>
      <c r="J5791" s="12">
        <v>10.5</v>
      </c>
      <c r="K5791" s="12"/>
      <c r="M5791" s="12">
        <v>7.3</v>
      </c>
      <c r="Q5791" s="12">
        <v>6.5</v>
      </c>
      <c r="R5791" s="12"/>
      <c r="U5791" s="12"/>
      <c r="X5791" s="12"/>
      <c r="AC5791" s="38">
        <v>0</v>
      </c>
    </row>
    <row r="5792" spans="1:29" x14ac:dyDescent="0.25">
      <c r="A5792" s="22">
        <v>44143</v>
      </c>
      <c r="D5792" s="12"/>
      <c r="F5792" s="12">
        <v>4.9000000000000004</v>
      </c>
      <c r="G5792" s="12">
        <v>8.6999999999999993</v>
      </c>
      <c r="H5792" s="12"/>
      <c r="I5792" s="12"/>
      <c r="J5792" s="12">
        <v>21.9</v>
      </c>
      <c r="K5792" s="12"/>
      <c r="M5792" s="12">
        <v>6.6</v>
      </c>
      <c r="Q5792" s="12">
        <v>8.1</v>
      </c>
      <c r="R5792" s="12"/>
      <c r="U5792" s="12"/>
      <c r="X5792" s="12"/>
      <c r="AC5792" s="38">
        <v>1</v>
      </c>
    </row>
    <row r="5793" spans="1:29" x14ac:dyDescent="0.25">
      <c r="A5793" s="22">
        <v>44144</v>
      </c>
      <c r="D5793" s="12"/>
      <c r="F5793" s="12">
        <v>3.6</v>
      </c>
      <c r="G5793" s="12">
        <v>2.2000000000000002</v>
      </c>
      <c r="H5793" s="12"/>
      <c r="I5793" s="12"/>
      <c r="J5793" s="12">
        <v>2</v>
      </c>
      <c r="K5793" s="12"/>
      <c r="M5793" s="12">
        <v>1.3</v>
      </c>
      <c r="Q5793" s="12">
        <v>1.7</v>
      </c>
      <c r="R5793" s="12"/>
      <c r="U5793" s="12"/>
      <c r="X5793" s="12"/>
      <c r="AC5793" s="38">
        <v>0</v>
      </c>
    </row>
    <row r="5794" spans="1:29" x14ac:dyDescent="0.25">
      <c r="A5794" s="22">
        <v>44145</v>
      </c>
      <c r="D5794" s="12"/>
      <c r="F5794" s="12">
        <v>3.5</v>
      </c>
      <c r="G5794" s="12">
        <v>4</v>
      </c>
      <c r="H5794" s="12"/>
      <c r="I5794" s="12"/>
      <c r="J5794" s="12">
        <v>1.6</v>
      </c>
      <c r="K5794" s="12"/>
      <c r="M5794" s="12">
        <v>3.5</v>
      </c>
      <c r="Q5794" s="12">
        <v>0</v>
      </c>
      <c r="R5794" s="12"/>
      <c r="U5794" s="12"/>
      <c r="X5794" s="12"/>
      <c r="AC5794" s="38">
        <v>0</v>
      </c>
    </row>
    <row r="5795" spans="1:29" x14ac:dyDescent="0.25">
      <c r="A5795" s="22">
        <v>44146</v>
      </c>
      <c r="D5795" s="12"/>
      <c r="F5795" s="12">
        <v>0</v>
      </c>
      <c r="G5795" s="12">
        <v>2.2000000000000002</v>
      </c>
      <c r="H5795" s="12"/>
      <c r="I5795" s="12"/>
      <c r="J5795" s="12">
        <v>2.5</v>
      </c>
      <c r="K5795" s="12"/>
      <c r="M5795" s="12">
        <v>2.5</v>
      </c>
      <c r="Q5795" s="12">
        <v>3.2</v>
      </c>
      <c r="R5795" s="12"/>
      <c r="U5795" s="12"/>
      <c r="X5795" s="12"/>
      <c r="AC5795" s="38">
        <v>0</v>
      </c>
    </row>
    <row r="5796" spans="1:29" x14ac:dyDescent="0.25">
      <c r="A5796" s="22">
        <v>44147</v>
      </c>
      <c r="D5796" s="12"/>
      <c r="F5796" s="12">
        <v>5.2</v>
      </c>
      <c r="G5796" s="12">
        <v>11.9</v>
      </c>
      <c r="H5796" s="12"/>
      <c r="I5796" s="12"/>
      <c r="J5796" s="12">
        <v>4.5</v>
      </c>
      <c r="K5796" s="12"/>
      <c r="M5796" s="12">
        <v>9.5</v>
      </c>
      <c r="Q5796" s="12">
        <v>38.5</v>
      </c>
      <c r="R5796" s="12"/>
      <c r="U5796" s="12"/>
      <c r="X5796" s="12"/>
      <c r="AC5796" s="38">
        <v>2</v>
      </c>
    </row>
    <row r="5797" spans="1:29" x14ac:dyDescent="0.25">
      <c r="A5797" s="22">
        <v>44148</v>
      </c>
      <c r="D5797" s="12"/>
      <c r="F5797" s="12">
        <v>16.2</v>
      </c>
      <c r="G5797" s="12">
        <v>12</v>
      </c>
      <c r="H5797" s="12"/>
      <c r="I5797" s="12"/>
      <c r="J5797" s="12">
        <v>27.3</v>
      </c>
      <c r="K5797" s="12"/>
      <c r="M5797" s="12">
        <v>7.5</v>
      </c>
      <c r="Q5797" s="12">
        <v>32.200000000000003</v>
      </c>
      <c r="R5797" s="12"/>
      <c r="U5797" s="12"/>
      <c r="X5797" s="12"/>
      <c r="AC5797" s="38">
        <v>0</v>
      </c>
    </row>
    <row r="5798" spans="1:29" x14ac:dyDescent="0.25">
      <c r="A5798" s="22">
        <v>44149</v>
      </c>
      <c r="D5798" s="12"/>
      <c r="F5798" s="12">
        <v>36.299999999999997</v>
      </c>
      <c r="G5798" s="12">
        <v>46.2</v>
      </c>
      <c r="H5798" s="12"/>
      <c r="I5798" s="12"/>
      <c r="J5798" s="12">
        <v>56.3</v>
      </c>
      <c r="K5798" s="12"/>
      <c r="M5798" s="12">
        <v>46.8</v>
      </c>
      <c r="Q5798" s="12">
        <v>31.6</v>
      </c>
      <c r="R5798" s="12"/>
      <c r="U5798" s="12"/>
      <c r="X5798" s="12"/>
      <c r="AC5798" s="38">
        <v>8</v>
      </c>
    </row>
    <row r="5799" spans="1:29" x14ac:dyDescent="0.25">
      <c r="A5799" s="22">
        <v>44150</v>
      </c>
      <c r="D5799" s="12"/>
      <c r="F5799" s="12">
        <v>17.3</v>
      </c>
      <c r="G5799" s="12">
        <v>15.5</v>
      </c>
      <c r="H5799" s="12"/>
      <c r="I5799" s="12"/>
      <c r="J5799" s="12">
        <v>71.5</v>
      </c>
      <c r="K5799" s="12"/>
      <c r="M5799" s="12">
        <v>18.7</v>
      </c>
      <c r="Q5799" s="12">
        <v>22.4</v>
      </c>
      <c r="R5799" s="12"/>
      <c r="U5799" s="12"/>
      <c r="X5799" s="12"/>
      <c r="AC5799" s="38">
        <v>0</v>
      </c>
    </row>
    <row r="5800" spans="1:29" x14ac:dyDescent="0.25">
      <c r="A5800" s="22">
        <v>44151</v>
      </c>
      <c r="D5800" s="12"/>
      <c r="F5800" s="12">
        <v>21.4</v>
      </c>
      <c r="G5800" s="12">
        <v>23.2</v>
      </c>
      <c r="H5800" s="12"/>
      <c r="I5800" s="12"/>
      <c r="J5800" s="12">
        <v>32.200000000000003</v>
      </c>
      <c r="K5800" s="12"/>
      <c r="M5800" s="12">
        <v>21.9</v>
      </c>
      <c r="Q5800" s="12">
        <v>17.8</v>
      </c>
      <c r="R5800" s="12"/>
      <c r="U5800" s="12"/>
      <c r="X5800" s="12"/>
      <c r="AC5800" s="38">
        <v>27</v>
      </c>
    </row>
    <row r="5801" spans="1:29" x14ac:dyDescent="0.25">
      <c r="A5801" s="22">
        <v>44152</v>
      </c>
      <c r="D5801" s="12"/>
      <c r="F5801" s="12">
        <v>15.9</v>
      </c>
      <c r="G5801" s="12">
        <v>39.1</v>
      </c>
      <c r="H5801" s="12"/>
      <c r="I5801" s="12"/>
      <c r="J5801" s="12">
        <v>43.5</v>
      </c>
      <c r="K5801" s="12"/>
      <c r="M5801" s="12">
        <v>35.799999999999997</v>
      </c>
      <c r="Q5801" s="12">
        <v>22.5</v>
      </c>
      <c r="R5801" s="12"/>
      <c r="U5801" s="12"/>
      <c r="X5801" s="12"/>
      <c r="AC5801" s="38">
        <v>1</v>
      </c>
    </row>
    <row r="5802" spans="1:29" x14ac:dyDescent="0.25">
      <c r="A5802" s="22">
        <v>44153</v>
      </c>
      <c r="D5802" s="12"/>
      <c r="F5802" s="12">
        <v>9.6999999999999993</v>
      </c>
      <c r="G5802" s="12">
        <v>4.5999999999999996</v>
      </c>
      <c r="H5802" s="12"/>
      <c r="I5802" s="12"/>
      <c r="J5802" s="12">
        <v>54</v>
      </c>
      <c r="K5802" s="12"/>
      <c r="M5802" s="12">
        <v>6.3</v>
      </c>
      <c r="Q5802" s="12">
        <v>7.8</v>
      </c>
      <c r="R5802" s="12"/>
      <c r="U5802" s="12"/>
      <c r="X5802" s="12"/>
      <c r="AC5802" s="38">
        <v>4</v>
      </c>
    </row>
    <row r="5803" spans="1:29" x14ac:dyDescent="0.25">
      <c r="A5803" s="22">
        <v>44154</v>
      </c>
      <c r="D5803" s="12"/>
      <c r="F5803" s="12">
        <v>4.0999999999999996</v>
      </c>
      <c r="G5803" s="12">
        <v>4.2</v>
      </c>
      <c r="H5803" s="12"/>
      <c r="I5803" s="12"/>
      <c r="J5803" s="12">
        <v>4.5</v>
      </c>
      <c r="K5803" s="12"/>
      <c r="M5803" s="12">
        <v>4.8</v>
      </c>
      <c r="Q5803" s="12">
        <v>3.9</v>
      </c>
      <c r="R5803" s="12"/>
      <c r="U5803" s="12"/>
      <c r="X5803" s="12"/>
      <c r="AC5803" s="38">
        <v>1</v>
      </c>
    </row>
    <row r="5804" spans="1:29" x14ac:dyDescent="0.25">
      <c r="A5804" s="22">
        <v>44155</v>
      </c>
      <c r="D5804" s="12"/>
      <c r="F5804" s="12">
        <v>0</v>
      </c>
      <c r="G5804" s="12">
        <v>4.7</v>
      </c>
      <c r="H5804" s="12"/>
      <c r="I5804" s="12"/>
      <c r="J5804" s="12">
        <v>8.1</v>
      </c>
      <c r="K5804" s="12"/>
      <c r="M5804" s="12">
        <v>2.5</v>
      </c>
      <c r="Q5804" s="12">
        <v>22.2</v>
      </c>
      <c r="R5804" s="12"/>
      <c r="U5804" s="12"/>
      <c r="X5804" s="12"/>
      <c r="AC5804" s="38">
        <v>4</v>
      </c>
    </row>
    <row r="5805" spans="1:29" x14ac:dyDescent="0.25">
      <c r="A5805" s="22">
        <v>44156</v>
      </c>
      <c r="D5805" s="12"/>
      <c r="F5805" s="12">
        <v>23</v>
      </c>
      <c r="G5805" s="12">
        <v>4.7</v>
      </c>
      <c r="H5805" s="12"/>
      <c r="I5805" s="12"/>
      <c r="J5805" s="12">
        <v>15.1</v>
      </c>
      <c r="K5805" s="12"/>
      <c r="M5805" s="12">
        <v>16.899999999999999</v>
      </c>
      <c r="Q5805" s="12">
        <v>23.6</v>
      </c>
      <c r="R5805" s="12"/>
      <c r="U5805" s="12"/>
      <c r="X5805" s="12"/>
      <c r="AC5805" s="38">
        <v>23</v>
      </c>
    </row>
    <row r="5806" spans="1:29" x14ac:dyDescent="0.25">
      <c r="A5806" s="22">
        <v>44157</v>
      </c>
      <c r="D5806" s="12"/>
      <c r="F5806" s="12">
        <v>8.6</v>
      </c>
      <c r="G5806" s="12">
        <v>14.2</v>
      </c>
      <c r="H5806" s="12"/>
      <c r="I5806" s="12"/>
      <c r="J5806" s="12">
        <v>24.1</v>
      </c>
      <c r="K5806" s="12"/>
      <c r="M5806" s="12">
        <v>11.5</v>
      </c>
      <c r="Q5806" s="12">
        <v>0.4</v>
      </c>
      <c r="R5806" s="12"/>
      <c r="U5806" s="12"/>
      <c r="X5806" s="12"/>
      <c r="AC5806" s="38">
        <v>0</v>
      </c>
    </row>
    <row r="5807" spans="1:29" x14ac:dyDescent="0.25">
      <c r="A5807" s="22">
        <v>44158</v>
      </c>
      <c r="D5807" s="12"/>
      <c r="F5807" s="12">
        <v>0</v>
      </c>
      <c r="G5807" s="12">
        <v>0.9</v>
      </c>
      <c r="H5807" s="12"/>
      <c r="I5807" s="12"/>
      <c r="J5807" s="12">
        <v>1</v>
      </c>
      <c r="K5807" s="12"/>
      <c r="M5807" s="12">
        <v>0.7</v>
      </c>
      <c r="Q5807" s="12">
        <v>17.399999999999999</v>
      </c>
      <c r="R5807" s="12"/>
      <c r="U5807" s="12"/>
      <c r="X5807" s="12"/>
      <c r="AC5807" s="38">
        <v>1</v>
      </c>
    </row>
    <row r="5808" spans="1:29" x14ac:dyDescent="0.25">
      <c r="A5808" s="22">
        <v>44159</v>
      </c>
      <c r="D5808" s="12"/>
      <c r="F5808" s="12">
        <v>0.9</v>
      </c>
      <c r="G5808" s="12">
        <v>2</v>
      </c>
      <c r="H5808" s="12"/>
      <c r="I5808" s="12"/>
      <c r="J5808" s="12">
        <v>0</v>
      </c>
      <c r="K5808" s="12"/>
      <c r="M5808" s="12">
        <v>0.3</v>
      </c>
      <c r="Q5808" s="12">
        <v>6.3</v>
      </c>
      <c r="R5808" s="12"/>
      <c r="U5808" s="12"/>
      <c r="X5808" s="12"/>
      <c r="AC5808" s="38">
        <v>1</v>
      </c>
    </row>
    <row r="5809" spans="1:29" x14ac:dyDescent="0.25">
      <c r="A5809" s="22">
        <v>44160</v>
      </c>
      <c r="D5809" s="12"/>
      <c r="F5809" s="12">
        <v>0.9</v>
      </c>
      <c r="G5809" s="12">
        <v>2.9</v>
      </c>
      <c r="H5809" s="12"/>
      <c r="I5809" s="12"/>
      <c r="J5809" s="12">
        <v>26</v>
      </c>
      <c r="K5809" s="12"/>
      <c r="M5809" s="12">
        <v>6.6</v>
      </c>
      <c r="Q5809" s="12">
        <v>5.5</v>
      </c>
      <c r="R5809" s="12"/>
      <c r="U5809" s="12"/>
      <c r="X5809" s="12"/>
      <c r="AC5809" s="38">
        <v>4</v>
      </c>
    </row>
    <row r="5810" spans="1:29" x14ac:dyDescent="0.25">
      <c r="A5810" s="22">
        <v>44161</v>
      </c>
      <c r="D5810" s="12"/>
      <c r="F5810" s="12">
        <v>3.6</v>
      </c>
      <c r="G5810" s="12">
        <v>16.5</v>
      </c>
      <c r="H5810" s="12"/>
      <c r="I5810" s="12"/>
      <c r="J5810" s="12">
        <v>22.3</v>
      </c>
      <c r="K5810" s="12"/>
      <c r="M5810" s="12">
        <v>12.5</v>
      </c>
      <c r="Q5810" s="12">
        <v>1.1000000000000001</v>
      </c>
      <c r="R5810" s="12"/>
      <c r="U5810" s="12"/>
      <c r="X5810" s="12"/>
      <c r="AC5810" s="38">
        <v>5</v>
      </c>
    </row>
    <row r="5811" spans="1:29" x14ac:dyDescent="0.25">
      <c r="A5811" s="22">
        <v>44162</v>
      </c>
      <c r="D5811" s="12"/>
      <c r="F5811" s="12">
        <v>0.7</v>
      </c>
      <c r="G5811" s="12">
        <v>4.7</v>
      </c>
      <c r="H5811" s="12"/>
      <c r="I5811" s="12"/>
      <c r="J5811" s="12">
        <v>4.7</v>
      </c>
      <c r="K5811" s="12"/>
      <c r="M5811" s="12">
        <v>0.4</v>
      </c>
      <c r="Q5811" s="12">
        <v>2.2000000000000002</v>
      </c>
      <c r="R5811" s="12"/>
      <c r="U5811" s="12"/>
      <c r="X5811" s="12"/>
      <c r="AC5811" s="38">
        <v>0</v>
      </c>
    </row>
    <row r="5812" spans="1:29" x14ac:dyDescent="0.25">
      <c r="A5812" s="22">
        <v>44163</v>
      </c>
      <c r="D5812" s="12"/>
      <c r="F5812" s="12">
        <v>4.5</v>
      </c>
      <c r="G5812" s="12">
        <v>9</v>
      </c>
      <c r="H5812" s="12"/>
      <c r="I5812" s="12"/>
      <c r="J5812" s="12">
        <v>11.7</v>
      </c>
      <c r="K5812" s="12"/>
      <c r="M5812" s="12">
        <v>10.9</v>
      </c>
      <c r="Q5812" s="12">
        <v>10.199999999999999</v>
      </c>
      <c r="R5812" s="12"/>
      <c r="U5812" s="12"/>
      <c r="X5812" s="12"/>
      <c r="AC5812" s="38">
        <v>5</v>
      </c>
    </row>
    <row r="5813" spans="1:29" x14ac:dyDescent="0.25">
      <c r="A5813" s="22">
        <v>44164</v>
      </c>
      <c r="D5813" s="12"/>
      <c r="F5813" s="12">
        <v>1.2</v>
      </c>
      <c r="G5813" s="12">
        <v>1.2</v>
      </c>
      <c r="H5813" s="12"/>
      <c r="I5813" s="12"/>
      <c r="J5813" s="12">
        <v>5.4</v>
      </c>
      <c r="K5813" s="12"/>
      <c r="M5813" s="12">
        <v>0.5</v>
      </c>
      <c r="Q5813" s="12">
        <v>5.2</v>
      </c>
      <c r="R5813" s="12"/>
      <c r="U5813" s="12"/>
      <c r="X5813" s="12"/>
      <c r="AC5813" s="38">
        <v>1</v>
      </c>
    </row>
    <row r="5814" spans="1:29" x14ac:dyDescent="0.25">
      <c r="A5814" s="22">
        <v>44165</v>
      </c>
      <c r="D5814" s="12"/>
      <c r="F5814" s="12">
        <v>12.2</v>
      </c>
      <c r="G5814" s="12">
        <v>19.5</v>
      </c>
      <c r="H5814" s="12"/>
      <c r="I5814" s="12"/>
      <c r="J5814" s="12">
        <v>37</v>
      </c>
      <c r="K5814" s="12"/>
      <c r="M5814" s="12">
        <v>13.3</v>
      </c>
      <c r="Q5814" s="12">
        <v>22.6</v>
      </c>
      <c r="R5814" s="12"/>
      <c r="U5814" s="12"/>
      <c r="X5814" s="12"/>
      <c r="AC5814" s="38">
        <v>21</v>
      </c>
    </row>
    <row r="5815" spans="1:29" x14ac:dyDescent="0.25">
      <c r="A5815" s="22">
        <v>44166</v>
      </c>
      <c r="D5815" s="12"/>
      <c r="F5815" s="12">
        <v>4.8</v>
      </c>
      <c r="G5815" s="12">
        <v>6.8</v>
      </c>
      <c r="H5815" s="12"/>
      <c r="I5815" s="12"/>
      <c r="J5815" s="12">
        <v>5.0999999999999996</v>
      </c>
      <c r="K5815" s="12">
        <v>6.9</v>
      </c>
      <c r="M5815" s="12">
        <v>6</v>
      </c>
      <c r="Q5815" s="12"/>
      <c r="R5815" s="12"/>
      <c r="U5815" s="12"/>
      <c r="X5815" s="12"/>
      <c r="AC5815" s="38">
        <v>0</v>
      </c>
    </row>
    <row r="5816" spans="1:29" x14ac:dyDescent="0.25">
      <c r="A5816" s="22">
        <v>44167</v>
      </c>
      <c r="D5816" s="12"/>
      <c r="F5816" s="12">
        <v>7.4</v>
      </c>
      <c r="G5816" s="12">
        <v>67.900000000000006</v>
      </c>
      <c r="H5816" s="12"/>
      <c r="I5816" s="12"/>
      <c r="J5816" s="12">
        <v>7.4</v>
      </c>
      <c r="K5816" s="12">
        <v>11.3</v>
      </c>
      <c r="M5816" s="12">
        <v>17.3</v>
      </c>
      <c r="Q5816" s="12"/>
      <c r="R5816" s="12"/>
      <c r="U5816" s="12"/>
      <c r="X5816" s="12"/>
      <c r="AC5816" s="38">
        <v>2</v>
      </c>
    </row>
    <row r="5817" spans="1:29" x14ac:dyDescent="0.25">
      <c r="A5817" s="22">
        <v>44168</v>
      </c>
      <c r="D5817" s="12"/>
      <c r="F5817" s="12">
        <v>0</v>
      </c>
      <c r="G5817" s="12">
        <v>0</v>
      </c>
      <c r="H5817" s="12"/>
      <c r="I5817" s="12"/>
      <c r="J5817" s="12">
        <v>3</v>
      </c>
      <c r="K5817" s="12">
        <v>0</v>
      </c>
      <c r="M5817" s="12">
        <v>3.2</v>
      </c>
      <c r="Q5817" s="12"/>
      <c r="R5817" s="12"/>
      <c r="U5817" s="12"/>
      <c r="X5817" s="12"/>
      <c r="AC5817" s="38">
        <v>0</v>
      </c>
    </row>
    <row r="5818" spans="1:29" x14ac:dyDescent="0.25">
      <c r="A5818" s="22">
        <v>44169</v>
      </c>
      <c r="D5818" s="12"/>
      <c r="F5818" s="12">
        <v>1.6</v>
      </c>
      <c r="G5818" s="12">
        <v>8.4</v>
      </c>
      <c r="H5818" s="12"/>
      <c r="I5818" s="12"/>
      <c r="J5818" s="12">
        <v>15.9</v>
      </c>
      <c r="K5818" s="12">
        <v>17.7</v>
      </c>
      <c r="M5818" s="12">
        <v>2.5</v>
      </c>
      <c r="Q5818" s="12"/>
      <c r="R5818" s="12"/>
      <c r="U5818" s="12"/>
      <c r="X5818" s="12"/>
      <c r="AC5818" s="38">
        <v>0</v>
      </c>
    </row>
    <row r="5819" spans="1:29" x14ac:dyDescent="0.25">
      <c r="A5819" s="22">
        <v>44170</v>
      </c>
      <c r="D5819" s="12"/>
      <c r="F5819" s="12">
        <v>3.6</v>
      </c>
      <c r="G5819" s="12">
        <v>0.7</v>
      </c>
      <c r="H5819" s="12"/>
      <c r="I5819" s="12"/>
      <c r="J5819" s="12">
        <v>8</v>
      </c>
      <c r="K5819" s="12">
        <v>7.6</v>
      </c>
      <c r="M5819" s="12">
        <v>1.6</v>
      </c>
      <c r="Q5819" s="12"/>
      <c r="R5819" s="12"/>
      <c r="U5819" s="12"/>
      <c r="X5819" s="12"/>
      <c r="AC5819" s="38">
        <v>2</v>
      </c>
    </row>
    <row r="5820" spans="1:29" x14ac:dyDescent="0.25">
      <c r="A5820" s="22">
        <v>44171</v>
      </c>
      <c r="D5820" s="12"/>
      <c r="F5820" s="12">
        <v>7.6</v>
      </c>
      <c r="G5820" s="12">
        <v>4.4000000000000004</v>
      </c>
      <c r="H5820" s="12"/>
      <c r="I5820" s="12"/>
      <c r="J5820" s="12">
        <v>23.9</v>
      </c>
      <c r="K5820" s="12">
        <v>31</v>
      </c>
      <c r="M5820" s="12">
        <v>6.5</v>
      </c>
      <c r="Q5820" s="12"/>
      <c r="R5820" s="12"/>
      <c r="U5820" s="12"/>
      <c r="X5820" s="12"/>
      <c r="AC5820" s="38">
        <v>20</v>
      </c>
    </row>
    <row r="5821" spans="1:29" x14ac:dyDescent="0.25">
      <c r="A5821" s="22">
        <v>44172</v>
      </c>
      <c r="D5821" s="12"/>
      <c r="F5821" s="12">
        <v>2.8</v>
      </c>
      <c r="G5821" s="12">
        <v>9.5</v>
      </c>
      <c r="H5821" s="12"/>
      <c r="I5821" s="12"/>
      <c r="J5821" s="12">
        <v>20.399999999999999</v>
      </c>
      <c r="K5821" s="12">
        <v>0</v>
      </c>
      <c r="M5821" s="12">
        <v>5.4</v>
      </c>
      <c r="Q5821" s="12"/>
      <c r="R5821" s="12"/>
      <c r="U5821" s="12"/>
      <c r="X5821" s="12"/>
      <c r="AC5821" s="38">
        <v>0</v>
      </c>
    </row>
    <row r="5822" spans="1:29" x14ac:dyDescent="0.25">
      <c r="A5822" s="22">
        <v>44173</v>
      </c>
      <c r="D5822" s="12"/>
      <c r="F5822" s="12">
        <v>1</v>
      </c>
      <c r="G5822" s="12">
        <v>8.6999999999999993</v>
      </c>
      <c r="H5822" s="12"/>
      <c r="I5822" s="12"/>
      <c r="J5822" s="12">
        <v>0</v>
      </c>
      <c r="K5822" s="12">
        <v>0</v>
      </c>
      <c r="M5822" s="12">
        <v>0.6</v>
      </c>
      <c r="Q5822" s="12"/>
      <c r="R5822" s="12"/>
      <c r="U5822" s="12"/>
      <c r="X5822" s="12"/>
      <c r="AC5822" s="38">
        <v>0</v>
      </c>
    </row>
    <row r="5823" spans="1:29" x14ac:dyDescent="0.25">
      <c r="A5823" s="22">
        <v>44174</v>
      </c>
      <c r="D5823" s="12"/>
      <c r="F5823" s="12">
        <v>0</v>
      </c>
      <c r="G5823" s="12">
        <v>2.2000000000000002</v>
      </c>
      <c r="H5823" s="12"/>
      <c r="I5823" s="12"/>
      <c r="J5823" s="12">
        <v>0</v>
      </c>
      <c r="K5823" s="12">
        <v>0</v>
      </c>
      <c r="M5823" s="12">
        <v>0</v>
      </c>
      <c r="Q5823" s="12"/>
      <c r="R5823" s="12"/>
      <c r="U5823" s="12"/>
      <c r="X5823" s="12"/>
      <c r="AC5823" s="38">
        <v>0</v>
      </c>
    </row>
    <row r="5824" spans="1:29" x14ac:dyDescent="0.25">
      <c r="A5824" s="22">
        <v>44175</v>
      </c>
      <c r="D5824" s="12"/>
      <c r="F5824" s="12">
        <v>0</v>
      </c>
      <c r="G5824" s="12">
        <v>4</v>
      </c>
      <c r="H5824" s="12"/>
      <c r="I5824" s="12"/>
      <c r="J5824" s="12">
        <v>12.2</v>
      </c>
      <c r="K5824" s="12">
        <v>0</v>
      </c>
      <c r="M5824" s="12">
        <v>0</v>
      </c>
      <c r="Q5824" s="12"/>
      <c r="R5824" s="12"/>
      <c r="U5824" s="12"/>
      <c r="X5824" s="12"/>
      <c r="AC5824" s="38">
        <v>0</v>
      </c>
    </row>
    <row r="5825" spans="1:29" x14ac:dyDescent="0.25">
      <c r="A5825" s="22">
        <v>44176</v>
      </c>
      <c r="D5825" s="12"/>
      <c r="F5825" s="12">
        <v>2</v>
      </c>
      <c r="G5825" s="12">
        <v>2.2000000000000002</v>
      </c>
      <c r="H5825" s="12"/>
      <c r="I5825" s="12"/>
      <c r="J5825" s="12">
        <v>57.2</v>
      </c>
      <c r="K5825" s="12">
        <v>20.399999999999999</v>
      </c>
      <c r="M5825" s="12">
        <v>0.8</v>
      </c>
      <c r="Q5825" s="12"/>
      <c r="R5825" s="12"/>
      <c r="U5825" s="12"/>
      <c r="X5825" s="12"/>
      <c r="AC5825" s="38">
        <v>17</v>
      </c>
    </row>
    <row r="5826" spans="1:29" x14ac:dyDescent="0.25">
      <c r="A5826" s="22">
        <v>44177</v>
      </c>
      <c r="D5826" s="12"/>
      <c r="F5826" s="12">
        <v>4.0999999999999996</v>
      </c>
      <c r="G5826" s="12">
        <v>11.9</v>
      </c>
      <c r="H5826" s="12"/>
      <c r="I5826" s="12"/>
      <c r="J5826" s="12">
        <v>29</v>
      </c>
      <c r="K5826" s="12">
        <v>60</v>
      </c>
      <c r="M5826" s="12">
        <v>2.2000000000000002</v>
      </c>
      <c r="Q5826" s="12"/>
      <c r="R5826" s="12"/>
      <c r="U5826" s="12"/>
      <c r="X5826" s="12"/>
      <c r="AC5826" s="38">
        <v>7</v>
      </c>
    </row>
    <row r="5827" spans="1:29" x14ac:dyDescent="0.25">
      <c r="A5827" s="22">
        <v>44178</v>
      </c>
      <c r="D5827" s="12"/>
      <c r="F5827" s="12">
        <v>78.2</v>
      </c>
      <c r="G5827" s="12">
        <v>12</v>
      </c>
      <c r="H5827" s="12"/>
      <c r="I5827" s="12"/>
      <c r="J5827" s="12">
        <v>30.2</v>
      </c>
      <c r="K5827" s="12">
        <f>0.44*25.4</f>
        <v>11.176</v>
      </c>
      <c r="M5827" s="12">
        <v>0.7</v>
      </c>
      <c r="Q5827" s="12"/>
      <c r="R5827" s="12"/>
      <c r="U5827" s="12"/>
      <c r="X5827" s="12"/>
      <c r="AC5827" s="38">
        <v>18</v>
      </c>
    </row>
    <row r="5828" spans="1:29" x14ac:dyDescent="0.25">
      <c r="A5828" s="22">
        <v>44179</v>
      </c>
      <c r="D5828" s="12"/>
      <c r="F5828" s="12">
        <v>3.3</v>
      </c>
      <c r="G5828" s="12">
        <v>46.2</v>
      </c>
      <c r="H5828" s="12"/>
      <c r="I5828" s="12"/>
      <c r="J5828" s="12">
        <v>0</v>
      </c>
      <c r="K5828" s="12">
        <v>30.66</v>
      </c>
      <c r="M5828" s="12">
        <v>0.9</v>
      </c>
      <c r="Q5828" s="12"/>
      <c r="R5828" s="12"/>
      <c r="U5828" s="12"/>
      <c r="X5828" s="12"/>
      <c r="AC5828" s="38">
        <v>0</v>
      </c>
    </row>
    <row r="5829" spans="1:29" x14ac:dyDescent="0.25">
      <c r="A5829" s="22">
        <v>44180</v>
      </c>
      <c r="D5829" s="12"/>
      <c r="F5829" s="12">
        <v>4.0999999999999996</v>
      </c>
      <c r="G5829" s="12">
        <v>15.5</v>
      </c>
      <c r="H5829" s="12"/>
      <c r="I5829" s="12"/>
      <c r="J5829" s="12">
        <v>0</v>
      </c>
      <c r="K5829" s="12">
        <v>0.25</v>
      </c>
      <c r="M5829" s="12">
        <v>0</v>
      </c>
      <c r="Q5829" s="12"/>
      <c r="R5829" s="12"/>
      <c r="U5829" s="12"/>
      <c r="X5829" s="12"/>
      <c r="AC5829" s="38">
        <v>0</v>
      </c>
    </row>
    <row r="5830" spans="1:29" x14ac:dyDescent="0.25">
      <c r="A5830" s="22">
        <v>44181</v>
      </c>
      <c r="D5830" s="12"/>
      <c r="F5830" s="12">
        <v>0</v>
      </c>
      <c r="G5830" s="12">
        <v>23.2</v>
      </c>
      <c r="H5830" s="12"/>
      <c r="I5830" s="12"/>
      <c r="J5830" s="12">
        <v>1</v>
      </c>
      <c r="K5830" s="12">
        <v>0</v>
      </c>
      <c r="M5830" s="12">
        <v>0</v>
      </c>
      <c r="Q5830" s="12"/>
      <c r="R5830" s="12"/>
      <c r="U5830" s="12"/>
      <c r="X5830" s="12"/>
      <c r="AC5830" s="38">
        <v>0</v>
      </c>
    </row>
    <row r="5831" spans="1:29" x14ac:dyDescent="0.25">
      <c r="A5831" s="22">
        <v>44182</v>
      </c>
      <c r="D5831" s="12"/>
      <c r="F5831" s="12">
        <v>0</v>
      </c>
      <c r="G5831" s="12">
        <v>39.1</v>
      </c>
      <c r="H5831" s="12"/>
      <c r="I5831" s="12"/>
      <c r="J5831" s="12">
        <v>3.9</v>
      </c>
      <c r="K5831" s="12">
        <v>0.2</v>
      </c>
      <c r="M5831" s="12">
        <v>0</v>
      </c>
      <c r="Q5831" s="12"/>
      <c r="R5831" s="12"/>
      <c r="U5831" s="12"/>
      <c r="X5831" s="12"/>
      <c r="AC5831" s="38">
        <v>0</v>
      </c>
    </row>
    <row r="5832" spans="1:29" x14ac:dyDescent="0.25">
      <c r="A5832" s="22">
        <v>44183</v>
      </c>
      <c r="D5832" s="12"/>
      <c r="F5832" s="12">
        <v>1.3</v>
      </c>
      <c r="G5832" s="12">
        <v>4.5999999999999996</v>
      </c>
      <c r="H5832" s="12"/>
      <c r="I5832" s="12"/>
      <c r="J5832" s="12">
        <v>7.5</v>
      </c>
      <c r="K5832" s="12">
        <v>2.6</v>
      </c>
      <c r="M5832" s="12">
        <v>0.7</v>
      </c>
      <c r="Q5832" s="12"/>
      <c r="R5832" s="12"/>
      <c r="U5832" s="12"/>
      <c r="X5832" s="12"/>
      <c r="AC5832" s="38">
        <v>0</v>
      </c>
    </row>
    <row r="5833" spans="1:29" x14ac:dyDescent="0.25">
      <c r="A5833" s="22">
        <v>44184</v>
      </c>
      <c r="D5833" s="12"/>
      <c r="F5833" s="12">
        <v>0.3</v>
      </c>
      <c r="G5833" s="12">
        <v>4.2</v>
      </c>
      <c r="H5833" s="12"/>
      <c r="I5833" s="12"/>
      <c r="J5833" s="12">
        <v>110.2</v>
      </c>
      <c r="K5833" s="12">
        <v>9.3000000000000007</v>
      </c>
      <c r="M5833" s="12">
        <v>5.08</v>
      </c>
      <c r="Q5833" s="12"/>
      <c r="R5833" s="12"/>
      <c r="U5833" s="12"/>
      <c r="X5833" s="12"/>
      <c r="AC5833" s="38">
        <v>18</v>
      </c>
    </row>
    <row r="5834" spans="1:29" x14ac:dyDescent="0.25">
      <c r="A5834" s="22">
        <v>44185</v>
      </c>
      <c r="D5834" s="12"/>
      <c r="F5834" s="12">
        <v>153.19999999999999</v>
      </c>
      <c r="G5834" s="12">
        <v>4.7</v>
      </c>
      <c r="H5834" s="12"/>
      <c r="I5834" s="12"/>
      <c r="J5834" s="12">
        <v>128.6</v>
      </c>
      <c r="K5834" s="12">
        <v>38.1</v>
      </c>
      <c r="M5834" s="12">
        <v>24.13</v>
      </c>
      <c r="Q5834" s="12"/>
      <c r="R5834" s="12"/>
      <c r="U5834" s="12"/>
      <c r="X5834" s="12"/>
      <c r="AC5834" s="38">
        <v>25</v>
      </c>
    </row>
    <row r="5835" spans="1:29" x14ac:dyDescent="0.25">
      <c r="A5835" s="22">
        <v>44186</v>
      </c>
      <c r="D5835" s="12"/>
      <c r="F5835" s="12">
        <v>4.8</v>
      </c>
      <c r="G5835" s="12">
        <v>4.7</v>
      </c>
      <c r="H5835" s="12"/>
      <c r="I5835" s="12"/>
      <c r="J5835" s="12">
        <v>29.2</v>
      </c>
      <c r="K5835" s="12">
        <v>9.9</v>
      </c>
      <c r="M5835" s="12">
        <v>13.715999999999999</v>
      </c>
      <c r="Q5835" s="12"/>
      <c r="R5835" s="12"/>
      <c r="U5835" s="12"/>
      <c r="X5835" s="12"/>
      <c r="AC5835" s="38">
        <v>10</v>
      </c>
    </row>
    <row r="5836" spans="1:29" x14ac:dyDescent="0.25">
      <c r="A5836" s="22">
        <v>44187</v>
      </c>
      <c r="D5836" s="12"/>
      <c r="F5836" s="12">
        <v>12.2</v>
      </c>
      <c r="G5836" s="12">
        <v>14.2</v>
      </c>
      <c r="H5836" s="12"/>
      <c r="I5836" s="12"/>
      <c r="J5836" s="12">
        <v>60.5</v>
      </c>
      <c r="K5836" s="12">
        <v>12.19</v>
      </c>
      <c r="M5836" s="12">
        <v>12.7</v>
      </c>
      <c r="Q5836" s="12"/>
      <c r="R5836" s="12"/>
      <c r="U5836" s="12"/>
      <c r="X5836" s="12"/>
      <c r="AC5836" s="38">
        <v>12</v>
      </c>
    </row>
    <row r="5837" spans="1:29" x14ac:dyDescent="0.25">
      <c r="A5837" s="22">
        <v>44188</v>
      </c>
      <c r="D5837" s="12"/>
      <c r="F5837" s="12">
        <v>5.6</v>
      </c>
      <c r="G5837" s="12">
        <v>0.9</v>
      </c>
      <c r="H5837" s="12"/>
      <c r="I5837" s="12"/>
      <c r="J5837" s="12">
        <v>26.2</v>
      </c>
      <c r="K5837" s="12">
        <v>86.7</v>
      </c>
      <c r="M5837" s="12">
        <v>12.7</v>
      </c>
      <c r="Q5837" s="12"/>
      <c r="R5837" s="12"/>
      <c r="U5837" s="12"/>
      <c r="X5837" s="12"/>
      <c r="AC5837" s="38">
        <v>5</v>
      </c>
    </row>
    <row r="5838" spans="1:29" x14ac:dyDescent="0.25">
      <c r="A5838" s="22">
        <v>44189</v>
      </c>
      <c r="D5838" s="12"/>
      <c r="F5838" s="12">
        <v>4.5999999999999996</v>
      </c>
      <c r="G5838" s="12">
        <v>2</v>
      </c>
      <c r="H5838" s="12"/>
      <c r="I5838" s="12"/>
      <c r="J5838" s="12">
        <v>31.4</v>
      </c>
      <c r="K5838" s="12">
        <v>6.0960000000000001</v>
      </c>
      <c r="M5838" s="12">
        <v>9.6519999999999992</v>
      </c>
      <c r="Q5838" s="12"/>
      <c r="R5838" s="12"/>
      <c r="U5838" s="12"/>
      <c r="X5838" s="12"/>
      <c r="AC5838" s="38">
        <v>1</v>
      </c>
    </row>
    <row r="5839" spans="1:29" x14ac:dyDescent="0.25">
      <c r="A5839" s="22">
        <v>44190</v>
      </c>
      <c r="D5839" s="12"/>
      <c r="F5839" s="12">
        <v>0.7</v>
      </c>
      <c r="G5839" s="12">
        <v>2.9</v>
      </c>
      <c r="H5839" s="12"/>
      <c r="I5839" s="12"/>
      <c r="J5839" s="12">
        <v>0.8</v>
      </c>
      <c r="K5839" s="12">
        <v>9.1440000000000001</v>
      </c>
      <c r="M5839" s="12">
        <v>5.08</v>
      </c>
      <c r="Q5839" s="12"/>
      <c r="R5839" s="12"/>
      <c r="U5839" s="12"/>
      <c r="X5839" s="12"/>
      <c r="AC5839" s="38">
        <v>0</v>
      </c>
    </row>
    <row r="5840" spans="1:29" x14ac:dyDescent="0.25">
      <c r="A5840" s="22">
        <v>44191</v>
      </c>
      <c r="D5840" s="12"/>
      <c r="F5840" s="12">
        <v>0</v>
      </c>
      <c r="G5840" s="12">
        <v>16.5</v>
      </c>
      <c r="H5840" s="12"/>
      <c r="I5840" s="12"/>
      <c r="J5840" s="12">
        <v>6.1</v>
      </c>
      <c r="K5840" s="12">
        <v>4.3179999999999996</v>
      </c>
      <c r="M5840" s="12">
        <v>12.7</v>
      </c>
      <c r="Q5840" s="12"/>
      <c r="R5840" s="12"/>
      <c r="U5840" s="12"/>
      <c r="X5840" s="12"/>
      <c r="AC5840" s="38">
        <v>0</v>
      </c>
    </row>
    <row r="5841" spans="1:29" x14ac:dyDescent="0.25">
      <c r="A5841" s="22">
        <v>44192</v>
      </c>
      <c r="D5841" s="12"/>
      <c r="F5841" s="12">
        <v>0</v>
      </c>
      <c r="G5841" s="12">
        <v>4.7</v>
      </c>
      <c r="H5841" s="12"/>
      <c r="I5841" s="12"/>
      <c r="J5841" s="12">
        <v>0.5</v>
      </c>
      <c r="K5841" s="12">
        <v>0.8</v>
      </c>
      <c r="M5841" s="12">
        <v>12.7</v>
      </c>
      <c r="Q5841" s="12"/>
      <c r="R5841" s="12"/>
      <c r="U5841" s="12"/>
      <c r="X5841" s="12"/>
      <c r="AC5841" s="38">
        <v>0</v>
      </c>
    </row>
    <row r="5842" spans="1:29" x14ac:dyDescent="0.25">
      <c r="A5842" s="22">
        <v>44193</v>
      </c>
      <c r="D5842" s="12"/>
      <c r="F5842" s="12">
        <v>15.2</v>
      </c>
      <c r="G5842" s="12">
        <v>9</v>
      </c>
      <c r="H5842" s="12"/>
      <c r="I5842" s="12"/>
      <c r="J5842" s="12">
        <v>0</v>
      </c>
      <c r="K5842" s="12">
        <v>2.54</v>
      </c>
      <c r="M5842" s="12">
        <v>2.54</v>
      </c>
      <c r="Q5842" s="12"/>
      <c r="R5842" s="12"/>
      <c r="U5842" s="12"/>
      <c r="X5842" s="12"/>
      <c r="AC5842" s="38">
        <v>1</v>
      </c>
    </row>
    <row r="5843" spans="1:29" x14ac:dyDescent="0.25">
      <c r="A5843" s="22">
        <v>44194</v>
      </c>
      <c r="D5843" s="12"/>
      <c r="F5843" s="12">
        <v>14.7</v>
      </c>
      <c r="G5843" s="12">
        <v>1.2</v>
      </c>
      <c r="H5843" s="12"/>
      <c r="I5843" s="12"/>
      <c r="J5843" s="12">
        <v>0</v>
      </c>
      <c r="K5843" s="12">
        <v>0</v>
      </c>
      <c r="M5843" s="12">
        <v>10.16</v>
      </c>
      <c r="Q5843" s="12"/>
      <c r="R5843" s="12"/>
      <c r="U5843" s="12"/>
      <c r="X5843" s="12"/>
      <c r="AC5843" s="38">
        <v>0</v>
      </c>
    </row>
    <row r="5844" spans="1:29" x14ac:dyDescent="0.25">
      <c r="A5844" s="22">
        <v>44195</v>
      </c>
      <c r="D5844" s="12"/>
      <c r="F5844" s="12">
        <v>0</v>
      </c>
      <c r="G5844" s="12">
        <v>19.5</v>
      </c>
      <c r="H5844" s="12"/>
      <c r="I5844" s="12"/>
      <c r="J5844" s="12">
        <v>0.2</v>
      </c>
      <c r="K5844" s="12">
        <v>20.3</v>
      </c>
      <c r="M5844" s="12">
        <v>12.7</v>
      </c>
      <c r="Q5844" s="12"/>
      <c r="R5844" s="12"/>
      <c r="U5844" s="12"/>
      <c r="X5844" s="12"/>
      <c r="AC5844" s="38">
        <v>39</v>
      </c>
    </row>
    <row r="5845" spans="1:29" x14ac:dyDescent="0.25">
      <c r="A5845" s="22">
        <v>44196</v>
      </c>
      <c r="D5845" s="12"/>
      <c r="F5845" s="12">
        <v>10</v>
      </c>
      <c r="G5845" s="12"/>
      <c r="H5845" s="12"/>
      <c r="I5845" s="12"/>
      <c r="J5845" s="12">
        <v>180</v>
      </c>
      <c r="K5845" s="12">
        <v>65.5</v>
      </c>
      <c r="M5845" s="12">
        <v>96.774000000000001</v>
      </c>
      <c r="Q5845" s="12"/>
      <c r="R5845" s="12"/>
      <c r="U5845" s="12"/>
      <c r="X5845" s="12"/>
      <c r="AC5845" s="38">
        <v>70</v>
      </c>
    </row>
    <row r="5846" spans="1:29" x14ac:dyDescent="0.25">
      <c r="A5846" s="22">
        <v>44197</v>
      </c>
      <c r="B5846" s="1">
        <v>0</v>
      </c>
      <c r="C5846" s="1"/>
      <c r="D5846" s="1"/>
      <c r="E5846" s="38">
        <v>0</v>
      </c>
      <c r="F5846" s="1">
        <v>29</v>
      </c>
      <c r="G5846" s="1"/>
      <c r="H5846" s="1">
        <v>2.5</v>
      </c>
      <c r="I5846" s="1">
        <v>38.099999999999994</v>
      </c>
      <c r="J5846" s="1">
        <v>127.4</v>
      </c>
      <c r="K5846" s="1">
        <v>44.41</v>
      </c>
      <c r="L5846" s="1">
        <v>1.778</v>
      </c>
      <c r="M5846" s="1"/>
      <c r="N5846" s="38">
        <v>9.1999999999999975</v>
      </c>
      <c r="P5846" s="38">
        <v>9.9060000000000006</v>
      </c>
      <c r="Q5846" s="1">
        <v>0.5</v>
      </c>
      <c r="R5846" s="1">
        <v>24.3</v>
      </c>
      <c r="S5846" s="1"/>
      <c r="T5846" s="1"/>
      <c r="U5846" s="1">
        <v>23.367999999999999</v>
      </c>
      <c r="X5846" s="12">
        <v>0</v>
      </c>
      <c r="Y5846" s="1"/>
      <c r="AC5846" s="38">
        <v>1</v>
      </c>
    </row>
    <row r="5847" spans="1:29" x14ac:dyDescent="0.25">
      <c r="A5847" s="22">
        <v>44198</v>
      </c>
      <c r="B5847" s="1">
        <v>0</v>
      </c>
      <c r="C5847" s="1"/>
      <c r="D5847" s="1"/>
      <c r="E5847" s="38">
        <v>1.4</v>
      </c>
      <c r="F5847" s="1">
        <v>0.6</v>
      </c>
      <c r="G5847" s="1"/>
      <c r="H5847" s="1">
        <v>0</v>
      </c>
      <c r="I5847" s="1">
        <v>7.6199999999999992</v>
      </c>
      <c r="J5847" s="1">
        <v>10.1</v>
      </c>
      <c r="K5847" s="1">
        <v>22.8</v>
      </c>
      <c r="L5847" s="1">
        <v>0.7619999999999999</v>
      </c>
      <c r="M5847" s="1"/>
      <c r="N5847" s="38">
        <v>0</v>
      </c>
      <c r="P5847" s="38">
        <v>7.6199999999999992</v>
      </c>
      <c r="Q5847" s="1">
        <v>0</v>
      </c>
      <c r="R5847" s="1">
        <v>6.3</v>
      </c>
      <c r="S5847" s="1"/>
      <c r="T5847" s="1"/>
      <c r="U5847" s="1">
        <v>1.016</v>
      </c>
      <c r="X5847" s="12">
        <v>0</v>
      </c>
      <c r="Y5847" s="1"/>
      <c r="AC5847" s="38">
        <v>0</v>
      </c>
    </row>
    <row r="5848" spans="1:29" x14ac:dyDescent="0.25">
      <c r="A5848" s="22">
        <v>44199</v>
      </c>
      <c r="B5848" s="1">
        <v>0</v>
      </c>
      <c r="C5848" s="1"/>
      <c r="D5848" s="1"/>
      <c r="E5848" s="38">
        <v>8</v>
      </c>
      <c r="F5848" s="1">
        <v>0</v>
      </c>
      <c r="G5848" s="1"/>
      <c r="H5848" s="1">
        <v>0</v>
      </c>
      <c r="I5848" s="1">
        <v>0.7619999999999999</v>
      </c>
      <c r="J5848" s="1">
        <v>0</v>
      </c>
      <c r="K5848" s="1">
        <v>0.2</v>
      </c>
      <c r="L5848" s="1">
        <v>0</v>
      </c>
      <c r="M5848" s="1"/>
      <c r="N5848" s="38">
        <v>0.2</v>
      </c>
      <c r="P5848" s="38">
        <v>0</v>
      </c>
      <c r="Q5848" s="1">
        <v>2</v>
      </c>
      <c r="R5848" s="1">
        <v>0</v>
      </c>
      <c r="S5848" s="1"/>
      <c r="T5848" s="1"/>
      <c r="U5848" s="1">
        <v>0</v>
      </c>
      <c r="X5848" s="12">
        <v>0</v>
      </c>
      <c r="Y5848" s="1"/>
      <c r="AC5848" s="38">
        <v>1</v>
      </c>
    </row>
    <row r="5849" spans="1:29" x14ac:dyDescent="0.25">
      <c r="A5849" s="22">
        <v>44200</v>
      </c>
      <c r="B5849" s="1">
        <v>0</v>
      </c>
      <c r="C5849" s="1"/>
      <c r="D5849" s="1"/>
      <c r="E5849" s="38">
        <v>0</v>
      </c>
      <c r="F5849" s="1">
        <v>5.5</v>
      </c>
      <c r="G5849" s="1"/>
      <c r="H5849" s="1">
        <v>0.4</v>
      </c>
      <c r="I5849" s="1">
        <v>0.50800000000000001</v>
      </c>
      <c r="J5849" s="1">
        <v>0.4</v>
      </c>
      <c r="K5849" s="1">
        <v>0.7</v>
      </c>
      <c r="L5849" s="1">
        <v>5.3339999999999996</v>
      </c>
      <c r="M5849" s="1"/>
      <c r="N5849" s="38">
        <v>1.8</v>
      </c>
      <c r="P5849" s="38">
        <v>7.6199999999999992</v>
      </c>
      <c r="Q5849" s="1">
        <v>2.2000000000000002</v>
      </c>
      <c r="R5849" s="1">
        <v>1</v>
      </c>
      <c r="S5849" s="1"/>
      <c r="T5849" s="1"/>
      <c r="U5849" s="1">
        <v>7.6199999999999992</v>
      </c>
      <c r="X5849" s="12">
        <v>0</v>
      </c>
      <c r="Y5849" s="1"/>
      <c r="AC5849" s="38">
        <v>1</v>
      </c>
    </row>
    <row r="5850" spans="1:29" x14ac:dyDescent="0.25">
      <c r="A5850" s="22">
        <v>44201</v>
      </c>
      <c r="B5850" s="1">
        <v>0.89</v>
      </c>
      <c r="C5850" s="1"/>
      <c r="D5850" s="1"/>
      <c r="E5850" s="38">
        <v>0.2</v>
      </c>
      <c r="F5850" s="1">
        <v>0</v>
      </c>
      <c r="G5850" s="1"/>
      <c r="H5850" s="1">
        <v>0</v>
      </c>
      <c r="I5850" s="1">
        <v>0</v>
      </c>
      <c r="J5850" s="1">
        <v>0</v>
      </c>
      <c r="K5850" s="1">
        <v>0.6</v>
      </c>
      <c r="L5850" s="1">
        <v>0.7619999999999999</v>
      </c>
      <c r="M5850" s="1"/>
      <c r="N5850" s="38">
        <v>1.7999999999999998</v>
      </c>
      <c r="P5850" s="38">
        <v>0</v>
      </c>
      <c r="Q5850" s="1">
        <v>0.2</v>
      </c>
      <c r="R5850" s="1">
        <v>4.7</v>
      </c>
      <c r="S5850" s="1"/>
      <c r="T5850" s="1"/>
      <c r="U5850" s="1">
        <v>10.16</v>
      </c>
      <c r="X5850" s="12">
        <v>0</v>
      </c>
      <c r="Y5850" s="1"/>
      <c r="AC5850" s="38">
        <v>0</v>
      </c>
    </row>
    <row r="5851" spans="1:29" x14ac:dyDescent="0.25">
      <c r="A5851" s="22">
        <v>44202</v>
      </c>
      <c r="B5851" s="1">
        <v>0.18</v>
      </c>
      <c r="C5851" s="1"/>
      <c r="D5851" s="1"/>
      <c r="E5851" s="38">
        <v>2.8</v>
      </c>
      <c r="F5851" s="1">
        <v>0</v>
      </c>
      <c r="G5851" s="1"/>
      <c r="H5851" s="1">
        <v>0</v>
      </c>
      <c r="I5851" s="1">
        <v>2.54</v>
      </c>
      <c r="J5851" s="1">
        <v>0</v>
      </c>
      <c r="K5851" s="1">
        <v>2.1</v>
      </c>
      <c r="L5851" s="1">
        <v>1.016</v>
      </c>
      <c r="M5851" s="1"/>
      <c r="N5851" s="38">
        <v>13.799999999999999</v>
      </c>
      <c r="P5851" s="38">
        <v>0</v>
      </c>
      <c r="Q5851" s="1">
        <v>8.3000000000000007</v>
      </c>
      <c r="R5851" s="1">
        <v>1</v>
      </c>
      <c r="S5851" s="1"/>
      <c r="T5851" s="1"/>
      <c r="U5851" s="1">
        <v>5.08</v>
      </c>
      <c r="X5851" s="12">
        <v>0</v>
      </c>
      <c r="Y5851" s="1"/>
      <c r="AC5851" s="38">
        <v>1</v>
      </c>
    </row>
    <row r="5852" spans="1:29" x14ac:dyDescent="0.25">
      <c r="A5852" s="22">
        <v>44203</v>
      </c>
      <c r="B5852" s="1">
        <v>1</v>
      </c>
      <c r="C5852" s="1"/>
      <c r="D5852" s="1"/>
      <c r="E5852" s="38">
        <v>0.2</v>
      </c>
      <c r="F5852" s="1">
        <v>6.9</v>
      </c>
      <c r="G5852" s="1"/>
      <c r="H5852" s="1">
        <v>0</v>
      </c>
      <c r="I5852" s="1">
        <v>0</v>
      </c>
      <c r="J5852" s="1">
        <v>40.1</v>
      </c>
      <c r="K5852" s="1">
        <v>24.4</v>
      </c>
      <c r="L5852" s="1">
        <v>11.43</v>
      </c>
      <c r="M5852" s="1"/>
      <c r="N5852" s="38">
        <v>12</v>
      </c>
      <c r="P5852" s="38">
        <v>5.5880000000000001</v>
      </c>
      <c r="Q5852" s="1">
        <v>6.5</v>
      </c>
      <c r="R5852" s="1">
        <v>20.2</v>
      </c>
      <c r="S5852" s="1"/>
      <c r="T5852" s="1"/>
      <c r="U5852" s="1">
        <v>4.5719999999999992</v>
      </c>
      <c r="X5852" s="12">
        <v>17.779999999999998</v>
      </c>
      <c r="Y5852" s="1"/>
      <c r="AC5852" s="38">
        <v>1</v>
      </c>
    </row>
    <row r="5853" spans="1:29" x14ac:dyDescent="0.25">
      <c r="A5853" s="22">
        <v>44204</v>
      </c>
      <c r="B5853" s="1">
        <v>0</v>
      </c>
      <c r="C5853" s="1"/>
      <c r="D5853" s="1"/>
      <c r="E5853" s="38">
        <v>2.6</v>
      </c>
      <c r="F5853" s="1">
        <v>3.3</v>
      </c>
      <c r="G5853" s="1"/>
      <c r="H5853" s="1">
        <v>0</v>
      </c>
      <c r="I5853" s="1">
        <v>3.8099999999999996</v>
      </c>
      <c r="J5853" s="1">
        <v>8.3819999999999997</v>
      </c>
      <c r="K5853" s="1">
        <v>17.3</v>
      </c>
      <c r="L5853" s="1">
        <v>12.446</v>
      </c>
      <c r="M5853" s="1"/>
      <c r="N5853" s="38">
        <v>0.4</v>
      </c>
      <c r="P5853" s="38">
        <v>0</v>
      </c>
      <c r="Q5853" s="1">
        <v>2.2000000000000002</v>
      </c>
      <c r="R5853" s="1">
        <v>20</v>
      </c>
      <c r="S5853" s="1"/>
      <c r="T5853" s="1"/>
      <c r="U5853" s="1">
        <v>11.43</v>
      </c>
      <c r="X5853" s="12">
        <v>0</v>
      </c>
      <c r="Y5853" s="1"/>
      <c r="AC5853" s="38">
        <v>0</v>
      </c>
    </row>
    <row r="5854" spans="1:29" x14ac:dyDescent="0.25">
      <c r="A5854" s="22">
        <v>44205</v>
      </c>
      <c r="B5854" s="1">
        <v>0.16</v>
      </c>
      <c r="C5854" s="1"/>
      <c r="D5854" s="1"/>
      <c r="E5854" s="38">
        <v>0</v>
      </c>
      <c r="F5854" s="1">
        <v>0.8</v>
      </c>
      <c r="G5854" s="1"/>
      <c r="H5854" s="1">
        <v>0</v>
      </c>
      <c r="I5854" s="1">
        <v>1.778</v>
      </c>
      <c r="J5854" s="1">
        <v>63.5</v>
      </c>
      <c r="K5854" s="1">
        <v>16.399999999999999</v>
      </c>
      <c r="L5854" s="1">
        <v>0.50800000000000001</v>
      </c>
      <c r="M5854" s="1"/>
      <c r="N5854" s="38">
        <v>17</v>
      </c>
      <c r="P5854" s="38">
        <v>15.747999999999999</v>
      </c>
      <c r="Q5854" s="1">
        <v>5</v>
      </c>
      <c r="R5854" s="1">
        <v>0.6</v>
      </c>
      <c r="S5854" s="1"/>
      <c r="T5854" s="1"/>
      <c r="U5854" s="1">
        <v>0</v>
      </c>
      <c r="X5854" s="12">
        <v>0</v>
      </c>
      <c r="Y5854" s="1"/>
      <c r="AC5854" s="38">
        <v>5</v>
      </c>
    </row>
    <row r="5855" spans="1:29" x14ac:dyDescent="0.25">
      <c r="A5855" s="22">
        <v>44206</v>
      </c>
      <c r="B5855" s="1">
        <v>0</v>
      </c>
      <c r="C5855" s="1"/>
      <c r="D5855" s="1"/>
      <c r="E5855" s="38">
        <v>6.2</v>
      </c>
      <c r="F5855" s="1">
        <v>6.4</v>
      </c>
      <c r="G5855" s="1"/>
      <c r="H5855" s="1">
        <v>0</v>
      </c>
      <c r="I5855" s="1">
        <v>3.556</v>
      </c>
      <c r="J5855" s="1">
        <v>7.6199999999999992</v>
      </c>
      <c r="K5855" s="1">
        <v>11.43</v>
      </c>
      <c r="L5855" s="1">
        <v>2.794</v>
      </c>
      <c r="M5855" s="1"/>
      <c r="N5855" s="38">
        <v>0.2</v>
      </c>
      <c r="P5855" s="38">
        <v>0</v>
      </c>
      <c r="Q5855" s="1">
        <v>0</v>
      </c>
      <c r="R5855" s="1">
        <v>10.9</v>
      </c>
      <c r="S5855" s="1"/>
      <c r="T5855" s="1"/>
      <c r="U5855" s="1">
        <v>0</v>
      </c>
      <c r="X5855" s="12">
        <v>0</v>
      </c>
      <c r="Y5855" s="1"/>
      <c r="AC5855" s="38">
        <v>0</v>
      </c>
    </row>
    <row r="5856" spans="1:29" x14ac:dyDescent="0.25">
      <c r="A5856" s="22">
        <v>44207</v>
      </c>
      <c r="B5856" s="1">
        <v>0</v>
      </c>
      <c r="C5856" s="1"/>
      <c r="D5856" s="1"/>
      <c r="E5856" s="38">
        <v>1.4</v>
      </c>
      <c r="F5856" s="1">
        <v>0</v>
      </c>
      <c r="G5856" s="1"/>
      <c r="H5856" s="1">
        <v>8</v>
      </c>
      <c r="I5856" s="1">
        <v>0</v>
      </c>
      <c r="J5856" s="1">
        <v>0</v>
      </c>
      <c r="K5856" s="1">
        <v>0</v>
      </c>
      <c r="L5856" s="1">
        <v>0.254</v>
      </c>
      <c r="M5856" s="1"/>
      <c r="N5856" s="38">
        <v>1.8</v>
      </c>
      <c r="P5856" s="38">
        <v>0</v>
      </c>
      <c r="Q5856" s="1">
        <v>3.5</v>
      </c>
      <c r="R5856" s="1">
        <v>0</v>
      </c>
      <c r="S5856" s="1"/>
      <c r="T5856" s="1"/>
      <c r="U5856" s="1">
        <v>1.27</v>
      </c>
      <c r="X5856" s="12">
        <v>13.97</v>
      </c>
      <c r="Y5856" s="1"/>
      <c r="AC5856" s="38">
        <v>1</v>
      </c>
    </row>
    <row r="5857" spans="1:29" x14ac:dyDescent="0.25">
      <c r="A5857" s="22">
        <v>44208</v>
      </c>
      <c r="B5857" s="1">
        <v>0.2</v>
      </c>
      <c r="C5857" s="1"/>
      <c r="D5857" s="1"/>
      <c r="E5857" s="38">
        <v>2.6</v>
      </c>
      <c r="F5857" s="1">
        <v>1.4</v>
      </c>
      <c r="G5857" s="1"/>
      <c r="H5857" s="1">
        <v>0</v>
      </c>
      <c r="I5857" s="1">
        <v>0</v>
      </c>
      <c r="J5857" s="1">
        <v>25.4</v>
      </c>
      <c r="K5857" s="1">
        <v>0</v>
      </c>
      <c r="L5857" s="1">
        <v>1.27</v>
      </c>
      <c r="M5857" s="1"/>
      <c r="N5857" s="38">
        <v>0.60000000000000009</v>
      </c>
      <c r="P5857" s="38">
        <v>2.54</v>
      </c>
      <c r="Q5857" s="1">
        <v>0</v>
      </c>
      <c r="R5857" s="1">
        <v>8.1</v>
      </c>
      <c r="S5857" s="1"/>
      <c r="T5857" s="1"/>
      <c r="U5857" s="1">
        <v>0</v>
      </c>
      <c r="X5857" s="12">
        <v>0</v>
      </c>
      <c r="Y5857" s="1"/>
      <c r="AC5857" s="38">
        <v>0</v>
      </c>
    </row>
    <row r="5858" spans="1:29" x14ac:dyDescent="0.25">
      <c r="A5858" s="22">
        <v>44209</v>
      </c>
      <c r="B5858" s="1">
        <v>0.09</v>
      </c>
      <c r="C5858" s="1"/>
      <c r="D5858" s="1"/>
      <c r="E5858" s="38">
        <v>4.4000000000000004</v>
      </c>
      <c r="F5858" s="1">
        <v>0</v>
      </c>
      <c r="G5858" s="1"/>
      <c r="H5858" s="1">
        <v>2.5</v>
      </c>
      <c r="I5858" s="1">
        <v>0</v>
      </c>
      <c r="J5858" s="1">
        <v>0</v>
      </c>
      <c r="K5858" s="1">
        <v>0</v>
      </c>
      <c r="L5858" s="1">
        <v>0</v>
      </c>
      <c r="M5858" s="1"/>
      <c r="N5858" s="38">
        <v>0.4</v>
      </c>
      <c r="P5858" s="38">
        <v>0</v>
      </c>
      <c r="Q5858" s="1">
        <v>4.3</v>
      </c>
      <c r="R5858" s="1">
        <v>0</v>
      </c>
      <c r="S5858" s="1"/>
      <c r="T5858" s="1"/>
      <c r="U5858" s="1">
        <v>5.08</v>
      </c>
      <c r="X5858" s="12">
        <v>0</v>
      </c>
      <c r="Y5858" s="1"/>
      <c r="AC5858" s="38">
        <v>1</v>
      </c>
    </row>
    <row r="5859" spans="1:29" x14ac:dyDescent="0.25">
      <c r="A5859" s="22">
        <v>44210</v>
      </c>
      <c r="B5859" s="1">
        <v>0</v>
      </c>
      <c r="C5859" s="1"/>
      <c r="D5859" s="1"/>
      <c r="E5859" s="38">
        <v>13.4</v>
      </c>
      <c r="F5859" s="1">
        <v>7.5</v>
      </c>
      <c r="G5859" s="1"/>
      <c r="H5859" s="1">
        <v>0</v>
      </c>
      <c r="I5859" s="1">
        <v>4.5719999999999992</v>
      </c>
      <c r="J5859" s="1">
        <v>0.18</v>
      </c>
      <c r="K5859" s="1">
        <v>3.8099999999999996</v>
      </c>
      <c r="L5859" s="1">
        <v>4.0640000000000001</v>
      </c>
      <c r="M5859" s="1"/>
      <c r="N5859" s="38">
        <v>2.2000000000000002</v>
      </c>
      <c r="P5859" s="38">
        <v>0</v>
      </c>
      <c r="Q5859" s="1">
        <v>0</v>
      </c>
      <c r="R5859" s="1">
        <v>6.5</v>
      </c>
      <c r="S5859" s="1"/>
      <c r="T5859" s="1"/>
      <c r="U5859" s="1">
        <v>0.50800000000000001</v>
      </c>
      <c r="X5859" s="12">
        <v>0</v>
      </c>
      <c r="Y5859" s="1"/>
      <c r="AC5859" s="38">
        <v>0</v>
      </c>
    </row>
    <row r="5860" spans="1:29" x14ac:dyDescent="0.25">
      <c r="A5860" s="22">
        <v>44211</v>
      </c>
      <c r="B5860" s="1">
        <v>0.11</v>
      </c>
      <c r="C5860" s="1"/>
      <c r="D5860" s="1"/>
      <c r="E5860" s="38">
        <v>9.1999999999999993</v>
      </c>
      <c r="F5860" s="1">
        <v>0</v>
      </c>
      <c r="G5860" s="1"/>
      <c r="H5860" s="1">
        <v>10.1</v>
      </c>
      <c r="I5860" s="1">
        <v>0</v>
      </c>
      <c r="J5860" s="1">
        <v>0</v>
      </c>
      <c r="K5860" s="1">
        <v>0</v>
      </c>
      <c r="L5860" s="1">
        <v>1.27</v>
      </c>
      <c r="M5860" s="1"/>
      <c r="N5860" s="38">
        <v>4.2</v>
      </c>
      <c r="P5860" s="38">
        <v>0</v>
      </c>
      <c r="Q5860" s="1">
        <v>1.2</v>
      </c>
      <c r="R5860" s="1">
        <v>2.2000000000000002</v>
      </c>
      <c r="S5860" s="1"/>
      <c r="T5860" s="1"/>
      <c r="U5860" s="1">
        <v>0</v>
      </c>
      <c r="X5860" s="12">
        <v>0</v>
      </c>
      <c r="Y5860" s="1"/>
      <c r="AC5860" s="38">
        <v>0</v>
      </c>
    </row>
    <row r="5861" spans="1:29" x14ac:dyDescent="0.25">
      <c r="A5861" s="22">
        <v>44212</v>
      </c>
      <c r="B5861" s="1">
        <v>0</v>
      </c>
      <c r="C5861" s="1"/>
      <c r="D5861" s="1"/>
      <c r="E5861" s="38">
        <v>0.2</v>
      </c>
      <c r="F5861" s="1">
        <v>5.7</v>
      </c>
      <c r="G5861" s="1"/>
      <c r="H5861" s="1">
        <v>0.2</v>
      </c>
      <c r="I5861" s="1">
        <v>1.27</v>
      </c>
      <c r="J5861" s="1">
        <v>25.4</v>
      </c>
      <c r="K5861" s="1">
        <v>3.302</v>
      </c>
      <c r="L5861" s="1">
        <v>0.7619999999999999</v>
      </c>
      <c r="M5861" s="1"/>
      <c r="N5861" s="38">
        <v>6</v>
      </c>
      <c r="P5861" s="38">
        <v>3.556</v>
      </c>
      <c r="Q5861" s="1">
        <v>0</v>
      </c>
      <c r="R5861" s="1">
        <v>0.8</v>
      </c>
      <c r="S5861" s="1"/>
      <c r="T5861" s="1"/>
      <c r="U5861" s="1">
        <v>2.54</v>
      </c>
      <c r="X5861" s="12">
        <v>0</v>
      </c>
      <c r="Y5861" s="1"/>
      <c r="AC5861" s="38">
        <v>0</v>
      </c>
    </row>
    <row r="5862" spans="1:29" x14ac:dyDescent="0.25">
      <c r="A5862" s="22">
        <v>44213</v>
      </c>
      <c r="B5862" s="1">
        <v>0</v>
      </c>
      <c r="C5862" s="1"/>
      <c r="D5862" s="1"/>
      <c r="E5862" s="38">
        <v>15.4</v>
      </c>
      <c r="F5862" s="1">
        <v>1.4</v>
      </c>
      <c r="G5862" s="1"/>
      <c r="H5862" s="1">
        <v>16.399999999999999</v>
      </c>
      <c r="I5862" s="1">
        <v>2.54</v>
      </c>
      <c r="J5862" s="1">
        <v>0.08</v>
      </c>
      <c r="K5862" s="1">
        <v>0</v>
      </c>
      <c r="L5862" s="1">
        <v>1.016</v>
      </c>
      <c r="M5862" s="1"/>
      <c r="N5862" s="38">
        <v>7.2000000000000011</v>
      </c>
      <c r="P5862" s="38">
        <v>0</v>
      </c>
      <c r="Q5862" s="1">
        <v>3.3</v>
      </c>
      <c r="R5862" s="1">
        <v>5.8</v>
      </c>
      <c r="S5862" s="1"/>
      <c r="T5862" s="1"/>
      <c r="U5862" s="1">
        <v>0.7619999999999999</v>
      </c>
      <c r="X5862" s="12">
        <v>0</v>
      </c>
      <c r="Y5862" s="1"/>
      <c r="AC5862" s="38">
        <v>1</v>
      </c>
    </row>
    <row r="5863" spans="1:29" x14ac:dyDescent="0.25">
      <c r="A5863" s="22">
        <v>44214</v>
      </c>
      <c r="B5863" s="1">
        <v>0.35</v>
      </c>
      <c r="C5863" s="1"/>
      <c r="D5863" s="1"/>
      <c r="E5863" s="38">
        <v>0.2</v>
      </c>
      <c r="F5863" s="1">
        <v>2.1</v>
      </c>
      <c r="G5863" s="1"/>
      <c r="H5863" s="1">
        <v>5.9</v>
      </c>
      <c r="I5863" s="1">
        <v>2.794</v>
      </c>
      <c r="J5863" s="1">
        <v>0.02</v>
      </c>
      <c r="K5863" s="1">
        <v>5.3339999999999996</v>
      </c>
      <c r="L5863" s="1">
        <v>0</v>
      </c>
      <c r="M5863" s="1"/>
      <c r="N5863" s="38">
        <v>3.4000000000000004</v>
      </c>
      <c r="P5863" s="38">
        <v>0</v>
      </c>
      <c r="Q5863" s="1">
        <v>0.2</v>
      </c>
      <c r="R5863" s="1">
        <v>0.1</v>
      </c>
      <c r="S5863" s="1"/>
      <c r="T5863" s="1"/>
      <c r="U5863" s="1">
        <v>6.6040000000000001</v>
      </c>
      <c r="X5863" s="12">
        <v>0</v>
      </c>
      <c r="Y5863" s="1"/>
      <c r="AC5863" s="38">
        <v>7</v>
      </c>
    </row>
    <row r="5864" spans="1:29" x14ac:dyDescent="0.25">
      <c r="A5864" s="22">
        <v>44215</v>
      </c>
      <c r="B5864" s="1">
        <v>0.22</v>
      </c>
      <c r="C5864" s="1"/>
      <c r="D5864" s="1"/>
      <c r="E5864" s="38">
        <v>4.8</v>
      </c>
      <c r="F5864" s="1">
        <v>26.3</v>
      </c>
      <c r="G5864" s="1"/>
      <c r="H5864" s="1">
        <v>2</v>
      </c>
      <c r="I5864" s="1">
        <v>13.208</v>
      </c>
      <c r="J5864" s="1">
        <v>0.5</v>
      </c>
      <c r="K5864" s="1">
        <v>7.8739999999999997</v>
      </c>
      <c r="L5864" s="1">
        <v>5.3339999999999996</v>
      </c>
      <c r="M5864" s="1"/>
      <c r="N5864" s="38">
        <v>12.6</v>
      </c>
      <c r="P5864" s="38">
        <v>0</v>
      </c>
      <c r="Q5864" s="1">
        <v>8.1</v>
      </c>
      <c r="R5864" s="1">
        <v>10.1</v>
      </c>
      <c r="S5864" s="1"/>
      <c r="T5864" s="1"/>
      <c r="U5864" s="1">
        <v>10.16</v>
      </c>
      <c r="X5864" s="12">
        <v>8.8899999999999988</v>
      </c>
      <c r="Y5864" s="1"/>
      <c r="AC5864" s="38">
        <v>4</v>
      </c>
    </row>
    <row r="5865" spans="1:29" x14ac:dyDescent="0.25">
      <c r="A5865" s="22">
        <v>44216</v>
      </c>
      <c r="B5865" s="1">
        <v>0.3</v>
      </c>
      <c r="C5865" s="1"/>
      <c r="D5865" s="1"/>
      <c r="E5865" s="38">
        <v>4</v>
      </c>
      <c r="F5865" s="1">
        <v>4.7</v>
      </c>
      <c r="G5865" s="1"/>
      <c r="H5865" s="1">
        <v>0.8</v>
      </c>
      <c r="I5865" s="1">
        <v>3.556</v>
      </c>
      <c r="J5865" s="1">
        <v>0.1</v>
      </c>
      <c r="K5865" s="1">
        <v>2.9</v>
      </c>
      <c r="L5865" s="1">
        <v>7.1120000000000001</v>
      </c>
      <c r="M5865" s="1"/>
      <c r="N5865" s="38">
        <v>8.6</v>
      </c>
      <c r="P5865" s="38">
        <v>0</v>
      </c>
      <c r="Q5865" s="1">
        <v>0.2</v>
      </c>
      <c r="R5865" s="1">
        <v>0.2</v>
      </c>
      <c r="S5865" s="1"/>
      <c r="T5865" s="1"/>
      <c r="U5865" s="1">
        <v>0.50800000000000001</v>
      </c>
      <c r="X5865" s="12">
        <v>0</v>
      </c>
      <c r="Y5865" s="1"/>
      <c r="AC5865" s="38">
        <v>8</v>
      </c>
    </row>
    <row r="5866" spans="1:29" x14ac:dyDescent="0.25">
      <c r="A5866" s="22">
        <v>44217</v>
      </c>
      <c r="B5866" s="1">
        <v>0.02</v>
      </c>
      <c r="C5866" s="1"/>
      <c r="D5866" s="1"/>
      <c r="E5866" s="38">
        <v>0</v>
      </c>
      <c r="F5866" s="1">
        <v>12.5</v>
      </c>
      <c r="G5866" s="1"/>
      <c r="H5866" s="1">
        <v>0</v>
      </c>
      <c r="I5866" s="1">
        <v>6.6040000000000001</v>
      </c>
      <c r="J5866" s="1">
        <v>0.22</v>
      </c>
      <c r="K5866" s="1">
        <v>2</v>
      </c>
      <c r="L5866" s="1">
        <v>0</v>
      </c>
      <c r="M5866" s="1"/>
      <c r="N5866" s="38">
        <v>3</v>
      </c>
      <c r="P5866" s="38">
        <v>10.413999999999998</v>
      </c>
      <c r="Q5866" s="1">
        <v>0</v>
      </c>
      <c r="R5866" s="1">
        <v>0.1</v>
      </c>
      <c r="S5866" s="1"/>
      <c r="T5866" s="1"/>
      <c r="U5866" s="1">
        <v>0</v>
      </c>
      <c r="X5866" s="12">
        <v>0</v>
      </c>
      <c r="Y5866" s="1"/>
      <c r="AC5866" s="38">
        <v>0</v>
      </c>
    </row>
    <row r="5867" spans="1:29" x14ac:dyDescent="0.25">
      <c r="A5867" s="22">
        <v>44218</v>
      </c>
      <c r="B5867" s="1">
        <v>0.11</v>
      </c>
      <c r="C5867" s="1"/>
      <c r="D5867" s="1"/>
      <c r="E5867" s="38">
        <v>4.8</v>
      </c>
      <c r="F5867" s="1">
        <v>0.6</v>
      </c>
      <c r="G5867" s="1"/>
      <c r="H5867" s="1">
        <v>8.4</v>
      </c>
      <c r="I5867" s="1">
        <v>4.0640000000000001</v>
      </c>
      <c r="J5867" s="1">
        <v>0.1</v>
      </c>
      <c r="K5867" s="1">
        <v>13.2</v>
      </c>
      <c r="L5867" s="1">
        <v>0</v>
      </c>
      <c r="M5867" s="1"/>
      <c r="N5867" s="38">
        <v>1.6</v>
      </c>
      <c r="P5867" s="38">
        <v>0</v>
      </c>
      <c r="Q5867" s="1">
        <v>1.5</v>
      </c>
      <c r="R5867" s="1">
        <v>0</v>
      </c>
      <c r="S5867" s="1"/>
      <c r="T5867" s="1"/>
      <c r="U5867" s="1">
        <v>0</v>
      </c>
      <c r="X5867" s="12">
        <v>0</v>
      </c>
      <c r="Y5867" s="1"/>
      <c r="AC5867" s="38">
        <v>3</v>
      </c>
    </row>
    <row r="5868" spans="1:29" x14ac:dyDescent="0.25">
      <c r="A5868" s="22">
        <v>44219</v>
      </c>
      <c r="B5868" s="1">
        <v>0</v>
      </c>
      <c r="C5868" s="1"/>
      <c r="D5868" s="1"/>
      <c r="E5868" s="38">
        <v>0</v>
      </c>
      <c r="F5868" s="1">
        <v>0</v>
      </c>
      <c r="G5868" s="1"/>
      <c r="H5868" s="1">
        <v>1.2</v>
      </c>
      <c r="I5868" s="1">
        <v>0</v>
      </c>
      <c r="J5868" s="1">
        <v>0</v>
      </c>
      <c r="K5868" s="1">
        <v>2.8</v>
      </c>
      <c r="L5868" s="1">
        <v>0</v>
      </c>
      <c r="M5868" s="1"/>
      <c r="N5868" s="38">
        <v>0.8</v>
      </c>
      <c r="P5868" s="38">
        <v>0</v>
      </c>
      <c r="Q5868" s="1">
        <v>0</v>
      </c>
      <c r="R5868" s="1">
        <v>0</v>
      </c>
      <c r="S5868" s="1"/>
      <c r="T5868" s="1"/>
      <c r="U5868" s="1">
        <v>0</v>
      </c>
      <c r="X5868" s="12">
        <v>0</v>
      </c>
      <c r="Y5868" s="1"/>
      <c r="AC5868" s="38">
        <v>0</v>
      </c>
    </row>
    <row r="5869" spans="1:29" x14ac:dyDescent="0.25">
      <c r="A5869" s="22">
        <v>44220</v>
      </c>
      <c r="B5869" s="1">
        <v>0</v>
      </c>
      <c r="C5869" s="1"/>
      <c r="D5869" s="1"/>
      <c r="E5869" s="38">
        <v>6.6</v>
      </c>
      <c r="F5869" s="1">
        <v>0</v>
      </c>
      <c r="G5869" s="1"/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/>
      <c r="N5869" s="38">
        <v>0</v>
      </c>
      <c r="P5869" s="38">
        <v>0</v>
      </c>
      <c r="Q5869" s="1">
        <v>5.5</v>
      </c>
      <c r="R5869" s="1">
        <v>0</v>
      </c>
      <c r="S5869" s="1"/>
      <c r="T5869" s="1"/>
      <c r="U5869" s="1">
        <v>1.778</v>
      </c>
      <c r="X5869" s="12">
        <v>0</v>
      </c>
      <c r="Y5869" s="1"/>
      <c r="AC5869" s="38">
        <v>0</v>
      </c>
    </row>
    <row r="5870" spans="1:29" x14ac:dyDescent="0.25">
      <c r="A5870" s="22">
        <v>44221</v>
      </c>
      <c r="B5870" s="1">
        <v>0</v>
      </c>
      <c r="C5870" s="1"/>
      <c r="D5870" s="1"/>
      <c r="E5870" s="38">
        <v>1</v>
      </c>
      <c r="F5870" s="1">
        <v>1.6</v>
      </c>
      <c r="G5870" s="1"/>
      <c r="H5870" s="1">
        <v>7.2</v>
      </c>
      <c r="I5870" s="1">
        <v>0.50800000000000001</v>
      </c>
      <c r="J5870" s="1">
        <v>0.31</v>
      </c>
      <c r="K5870" s="1">
        <v>18.2</v>
      </c>
      <c r="L5870" s="1">
        <v>0</v>
      </c>
      <c r="M5870" s="1"/>
      <c r="N5870" s="38">
        <v>10.399999999999997</v>
      </c>
      <c r="P5870" s="38">
        <v>0</v>
      </c>
      <c r="Q5870" s="1">
        <v>3.5</v>
      </c>
      <c r="R5870" s="1">
        <v>0</v>
      </c>
      <c r="S5870" s="1"/>
      <c r="T5870" s="1"/>
      <c r="U5870" s="1">
        <v>0.50800000000000001</v>
      </c>
      <c r="X5870" s="12">
        <v>8.3819999999999997</v>
      </c>
      <c r="Y5870" s="1"/>
      <c r="AC5870" s="38">
        <v>1</v>
      </c>
    </row>
    <row r="5871" spans="1:29" x14ac:dyDescent="0.25">
      <c r="A5871" s="22">
        <v>44222</v>
      </c>
      <c r="B5871" s="1">
        <v>0</v>
      </c>
      <c r="C5871" s="1"/>
      <c r="D5871" s="1"/>
      <c r="E5871" s="38">
        <v>3.2</v>
      </c>
      <c r="F5871" s="1">
        <v>19.8</v>
      </c>
      <c r="G5871" s="1"/>
      <c r="H5871" s="1">
        <v>0</v>
      </c>
      <c r="I5871" s="1">
        <v>2.794</v>
      </c>
      <c r="J5871" s="1">
        <v>0.1</v>
      </c>
      <c r="K5871" s="1">
        <v>4.2</v>
      </c>
      <c r="L5871" s="1">
        <v>0</v>
      </c>
      <c r="M5871" s="1"/>
      <c r="N5871" s="38">
        <v>0</v>
      </c>
      <c r="P5871" s="38">
        <v>1.27</v>
      </c>
      <c r="Q5871" s="1">
        <v>0</v>
      </c>
      <c r="R5871" s="1">
        <v>10.199999999999999</v>
      </c>
      <c r="S5871" s="1"/>
      <c r="T5871" s="1"/>
      <c r="U5871" s="1">
        <v>1.016</v>
      </c>
      <c r="X5871" s="12">
        <v>0</v>
      </c>
      <c r="Y5871" s="1"/>
      <c r="AC5871" s="38">
        <v>0</v>
      </c>
    </row>
    <row r="5872" spans="1:29" x14ac:dyDescent="0.25">
      <c r="A5872" s="22">
        <v>44223</v>
      </c>
      <c r="B5872" s="1">
        <v>0</v>
      </c>
      <c r="C5872" s="1"/>
      <c r="D5872" s="1"/>
      <c r="E5872" s="38">
        <v>0.4</v>
      </c>
      <c r="F5872" s="1">
        <v>0.3</v>
      </c>
      <c r="G5872" s="1"/>
      <c r="H5872" s="1">
        <v>6.4</v>
      </c>
      <c r="I5872" s="1">
        <v>0</v>
      </c>
      <c r="J5872" s="1">
        <v>0.1</v>
      </c>
      <c r="K5872" s="1">
        <v>3.5</v>
      </c>
      <c r="L5872" s="1">
        <v>2.032</v>
      </c>
      <c r="M5872" s="1"/>
      <c r="N5872" s="38">
        <v>2.6</v>
      </c>
      <c r="P5872" s="38">
        <v>0</v>
      </c>
      <c r="Q5872" s="1">
        <v>0</v>
      </c>
      <c r="R5872" s="1">
        <v>0</v>
      </c>
      <c r="S5872" s="1"/>
      <c r="T5872" s="1"/>
      <c r="U5872" s="1">
        <v>0</v>
      </c>
      <c r="X5872" s="12">
        <v>0</v>
      </c>
      <c r="Y5872" s="1"/>
      <c r="AC5872" s="38">
        <v>7</v>
      </c>
    </row>
    <row r="5873" spans="1:29" x14ac:dyDescent="0.25">
      <c r="A5873" s="22">
        <v>44224</v>
      </c>
      <c r="B5873" s="1">
        <v>0</v>
      </c>
      <c r="C5873" s="1"/>
      <c r="D5873" s="1"/>
      <c r="E5873" s="38">
        <v>0</v>
      </c>
      <c r="F5873" s="1">
        <v>0</v>
      </c>
      <c r="G5873" s="1"/>
      <c r="H5873" s="1">
        <v>4</v>
      </c>
      <c r="I5873" s="1">
        <v>0</v>
      </c>
      <c r="J5873" s="1">
        <v>0</v>
      </c>
      <c r="K5873" s="1">
        <v>0</v>
      </c>
      <c r="L5873" s="1">
        <v>0</v>
      </c>
      <c r="M5873" s="1"/>
      <c r="N5873" s="38">
        <v>0</v>
      </c>
      <c r="P5873" s="38">
        <v>0</v>
      </c>
      <c r="Q5873" s="1">
        <v>0</v>
      </c>
      <c r="R5873" s="1">
        <v>0</v>
      </c>
      <c r="S5873" s="1"/>
      <c r="T5873" s="1"/>
      <c r="U5873" s="1">
        <v>0</v>
      </c>
      <c r="X5873" s="12">
        <v>0</v>
      </c>
      <c r="Y5873" s="1"/>
      <c r="AC5873" s="38">
        <v>0</v>
      </c>
    </row>
    <row r="5874" spans="1:29" x14ac:dyDescent="0.25">
      <c r="A5874" s="22">
        <v>44225</v>
      </c>
      <c r="B5874" s="1">
        <v>0</v>
      </c>
      <c r="C5874" s="1"/>
      <c r="D5874" s="1"/>
      <c r="E5874" s="38">
        <v>0</v>
      </c>
      <c r="F5874" s="1">
        <v>0</v>
      </c>
      <c r="G5874" s="1"/>
      <c r="H5874" s="1"/>
      <c r="I5874" s="1">
        <v>0</v>
      </c>
      <c r="J5874" s="1">
        <v>0.01</v>
      </c>
      <c r="K5874" s="1">
        <v>0</v>
      </c>
      <c r="L5874" s="1">
        <v>0</v>
      </c>
      <c r="M5874" s="1"/>
      <c r="N5874" s="38">
        <v>0.2</v>
      </c>
      <c r="P5874" s="38">
        <v>0</v>
      </c>
      <c r="Q5874" s="1">
        <v>2.7</v>
      </c>
      <c r="R5874" s="1">
        <v>0.1</v>
      </c>
      <c r="S5874" s="1"/>
      <c r="T5874" s="1"/>
      <c r="U5874" s="1">
        <v>0</v>
      </c>
      <c r="X5874" s="12">
        <v>0</v>
      </c>
      <c r="Y5874" s="1"/>
      <c r="AC5874" s="38">
        <v>0</v>
      </c>
    </row>
    <row r="5875" spans="1:29" x14ac:dyDescent="0.25">
      <c r="A5875" s="22">
        <v>44226</v>
      </c>
      <c r="B5875" s="1">
        <v>0</v>
      </c>
      <c r="C5875" s="1"/>
      <c r="D5875" s="1"/>
      <c r="E5875" s="38">
        <v>0</v>
      </c>
      <c r="F5875" s="1">
        <v>0.2</v>
      </c>
      <c r="G5875" s="1"/>
      <c r="H5875" s="1"/>
      <c r="I5875" s="1">
        <v>0</v>
      </c>
      <c r="J5875" s="1">
        <v>0</v>
      </c>
      <c r="K5875" s="1">
        <v>2.5</v>
      </c>
      <c r="L5875" s="1">
        <v>2.032</v>
      </c>
      <c r="M5875" s="1"/>
      <c r="N5875" s="38">
        <v>2.2000000000000002</v>
      </c>
      <c r="P5875" s="38">
        <v>0</v>
      </c>
      <c r="Q5875" s="1">
        <v>0.7</v>
      </c>
      <c r="R5875" s="1">
        <v>3.2</v>
      </c>
      <c r="S5875" s="1"/>
      <c r="T5875" s="1"/>
      <c r="U5875" s="1">
        <v>0</v>
      </c>
      <c r="X5875" s="12">
        <v>0</v>
      </c>
      <c r="Y5875" s="1"/>
      <c r="AC5875" s="38">
        <v>0</v>
      </c>
    </row>
    <row r="5876" spans="1:29" x14ac:dyDescent="0.25">
      <c r="A5876" s="22">
        <v>44227</v>
      </c>
      <c r="B5876" s="1">
        <v>0.23</v>
      </c>
      <c r="C5876" s="1"/>
      <c r="D5876" s="1"/>
      <c r="E5876" s="38">
        <v>0</v>
      </c>
      <c r="F5876" s="1">
        <v>5.2</v>
      </c>
      <c r="G5876" s="1"/>
      <c r="H5876" s="1"/>
      <c r="I5876" s="1">
        <v>1.778</v>
      </c>
      <c r="J5876" s="1">
        <v>0.18</v>
      </c>
      <c r="K5876" s="1">
        <v>0.3</v>
      </c>
      <c r="L5876" s="1">
        <v>0</v>
      </c>
      <c r="M5876" s="1"/>
      <c r="N5876" s="38">
        <v>5.0000000000000009</v>
      </c>
      <c r="P5876" s="38">
        <v>3.302</v>
      </c>
      <c r="Q5876" s="1">
        <v>0</v>
      </c>
      <c r="R5876" s="1">
        <v>0.2</v>
      </c>
      <c r="S5876" s="1"/>
      <c r="T5876" s="1"/>
      <c r="U5876" s="1">
        <v>0</v>
      </c>
      <c r="X5876" s="12">
        <v>0</v>
      </c>
      <c r="Y5876" s="1"/>
      <c r="AC5876" s="38">
        <v>0</v>
      </c>
    </row>
    <row r="5877" spans="1:29" x14ac:dyDescent="0.25">
      <c r="A5877" s="22">
        <v>44228</v>
      </c>
      <c r="B5877" s="1"/>
      <c r="C5877" s="1"/>
      <c r="D5877" s="1">
        <v>3.8099999999999996</v>
      </c>
      <c r="F5877" s="1">
        <v>6.7</v>
      </c>
      <c r="G5877" s="1"/>
      <c r="H5877" s="1">
        <v>2.5</v>
      </c>
      <c r="I5877" s="1">
        <v>1.27</v>
      </c>
      <c r="J5877" s="1">
        <v>0</v>
      </c>
      <c r="K5877" s="1">
        <v>5.08</v>
      </c>
      <c r="L5877" s="1">
        <v>0.7619999999999999</v>
      </c>
      <c r="M5877" s="1"/>
      <c r="N5877" s="38">
        <v>2.2000000000000002</v>
      </c>
      <c r="P5877" s="38">
        <v>0.7619999999999999</v>
      </c>
      <c r="Q5877" s="1">
        <v>2.2000000000000002</v>
      </c>
      <c r="R5877" s="1">
        <v>0</v>
      </c>
      <c r="S5877" s="1"/>
      <c r="T5877" s="1"/>
      <c r="U5877" s="38">
        <v>3.8099999999999996</v>
      </c>
      <c r="X5877" s="1"/>
      <c r="Y5877" s="1"/>
      <c r="AC5877" s="38">
        <v>1</v>
      </c>
    </row>
    <row r="5878" spans="1:29" x14ac:dyDescent="0.25">
      <c r="A5878" s="22">
        <v>44229</v>
      </c>
      <c r="B5878" s="1"/>
      <c r="C5878" s="1"/>
      <c r="D5878" s="1">
        <v>0</v>
      </c>
      <c r="F5878" s="1">
        <v>0</v>
      </c>
      <c r="G5878" s="1"/>
      <c r="H5878" s="1">
        <v>0</v>
      </c>
      <c r="I5878" s="1">
        <v>3.302</v>
      </c>
      <c r="J5878" s="1">
        <v>0</v>
      </c>
      <c r="K5878" s="1">
        <v>0</v>
      </c>
      <c r="L5878" s="1">
        <v>0</v>
      </c>
      <c r="M5878" s="1"/>
      <c r="N5878" s="38">
        <v>0.4</v>
      </c>
      <c r="P5878" s="38">
        <v>0</v>
      </c>
      <c r="Q5878" s="1">
        <v>5</v>
      </c>
      <c r="R5878" s="1">
        <v>10.199999999999999</v>
      </c>
      <c r="S5878" s="1"/>
      <c r="T5878" s="1"/>
      <c r="U5878" s="38">
        <v>0</v>
      </c>
      <c r="X5878" s="1"/>
      <c r="Y5878" s="1"/>
      <c r="AC5878" s="38">
        <v>0</v>
      </c>
    </row>
    <row r="5879" spans="1:29" x14ac:dyDescent="0.25">
      <c r="A5879" s="22">
        <v>44230</v>
      </c>
      <c r="B5879" s="1"/>
      <c r="C5879" s="1"/>
      <c r="D5879" s="1">
        <v>23.3</v>
      </c>
      <c r="F5879" s="1">
        <v>0</v>
      </c>
      <c r="G5879" s="1"/>
      <c r="H5879" s="1">
        <v>0</v>
      </c>
      <c r="I5879" s="1">
        <v>0</v>
      </c>
      <c r="J5879" s="1">
        <v>0</v>
      </c>
      <c r="K5879" s="1">
        <v>5.08</v>
      </c>
      <c r="L5879" s="1">
        <v>9.9060000000000006</v>
      </c>
      <c r="M5879" s="1"/>
      <c r="N5879" s="38">
        <v>29.4</v>
      </c>
      <c r="P5879" s="38">
        <v>7.8739999999999997</v>
      </c>
      <c r="Q5879" s="1">
        <v>4.8</v>
      </c>
      <c r="R5879" s="1">
        <v>3.2</v>
      </c>
      <c r="S5879" s="1"/>
      <c r="T5879" s="1"/>
      <c r="U5879" s="38">
        <v>2.2859999999999996</v>
      </c>
      <c r="X5879" s="1"/>
      <c r="Y5879" s="1"/>
      <c r="AC5879" s="38">
        <v>7</v>
      </c>
    </row>
    <row r="5880" spans="1:29" x14ac:dyDescent="0.25">
      <c r="A5880" s="22">
        <v>44231</v>
      </c>
      <c r="B5880" s="1"/>
      <c r="C5880" s="1"/>
      <c r="D5880" s="1">
        <v>24.13</v>
      </c>
      <c r="F5880" s="1">
        <v>7.8739999999999997</v>
      </c>
      <c r="G5880" s="1"/>
      <c r="H5880" s="1">
        <v>0.4</v>
      </c>
      <c r="I5880" s="1">
        <v>5.5880000000000001</v>
      </c>
      <c r="J5880" s="1">
        <v>0.61</v>
      </c>
      <c r="K5880" s="1">
        <v>15.239999999999998</v>
      </c>
      <c r="L5880" s="1">
        <v>9.6519999999999992</v>
      </c>
      <c r="M5880" s="1"/>
      <c r="N5880" s="38">
        <v>2.8000000000000003</v>
      </c>
      <c r="P5880" s="38">
        <v>8.1280000000000001</v>
      </c>
      <c r="Q5880" s="1">
        <v>1.5</v>
      </c>
      <c r="R5880" s="1">
        <v>0.7</v>
      </c>
      <c r="S5880" s="1"/>
      <c r="T5880" s="1"/>
      <c r="U5880" s="38">
        <v>13.715999999999999</v>
      </c>
      <c r="X5880" s="1"/>
      <c r="Y5880" s="1"/>
      <c r="AC5880" s="38">
        <v>0</v>
      </c>
    </row>
    <row r="5881" spans="1:29" x14ac:dyDescent="0.25">
      <c r="A5881" s="22">
        <v>44232</v>
      </c>
      <c r="B5881" s="1"/>
      <c r="C5881" s="1"/>
      <c r="D5881" s="1">
        <v>17.779999999999998</v>
      </c>
      <c r="F5881" s="1">
        <v>0</v>
      </c>
      <c r="G5881" s="1"/>
      <c r="H5881" s="1">
        <v>0</v>
      </c>
      <c r="I5881" s="1">
        <v>0</v>
      </c>
      <c r="J5881" s="1">
        <v>1</v>
      </c>
      <c r="K5881" s="1">
        <v>0.50800000000000001</v>
      </c>
      <c r="L5881" s="1">
        <v>0.50800000000000001</v>
      </c>
      <c r="M5881" s="1"/>
      <c r="N5881" s="38">
        <v>1.7999999999999998</v>
      </c>
      <c r="P5881" s="38">
        <v>0</v>
      </c>
      <c r="Q5881" s="1">
        <v>0</v>
      </c>
      <c r="R5881" s="1">
        <v>0.5</v>
      </c>
      <c r="S5881" s="1"/>
      <c r="T5881" s="1"/>
      <c r="U5881" s="38">
        <v>1.27</v>
      </c>
      <c r="X5881" s="1"/>
      <c r="Y5881" s="1"/>
      <c r="AC5881" s="38">
        <v>0</v>
      </c>
    </row>
    <row r="5882" spans="1:29" x14ac:dyDescent="0.25">
      <c r="A5882" s="22">
        <v>44233</v>
      </c>
      <c r="B5882" s="1"/>
      <c r="C5882" s="1"/>
      <c r="D5882" s="1">
        <v>5.08</v>
      </c>
      <c r="F5882" s="1">
        <v>0</v>
      </c>
      <c r="G5882" s="1"/>
      <c r="H5882" s="1">
        <v>0</v>
      </c>
      <c r="I5882" s="1">
        <v>1</v>
      </c>
      <c r="J5882" s="1">
        <v>0</v>
      </c>
      <c r="K5882" s="1">
        <v>0.51</v>
      </c>
      <c r="L5882" s="1">
        <v>0</v>
      </c>
      <c r="M5882" s="1"/>
      <c r="N5882" s="38">
        <v>0.60000000000000009</v>
      </c>
      <c r="P5882" s="38">
        <v>0</v>
      </c>
      <c r="Q5882" s="1">
        <v>0</v>
      </c>
      <c r="R5882" s="1">
        <v>0</v>
      </c>
      <c r="S5882" s="1"/>
      <c r="T5882" s="1"/>
      <c r="U5882" s="38">
        <v>5.08</v>
      </c>
      <c r="X5882" s="1"/>
      <c r="Y5882" s="1"/>
      <c r="AC5882" s="38">
        <v>0</v>
      </c>
    </row>
    <row r="5883" spans="1:29" x14ac:dyDescent="0.25">
      <c r="A5883" s="22">
        <v>44234</v>
      </c>
      <c r="B5883" s="1"/>
      <c r="C5883" s="1"/>
      <c r="D5883" s="1">
        <v>6.0959999999999992</v>
      </c>
      <c r="F5883" s="1">
        <v>0</v>
      </c>
      <c r="G5883" s="1"/>
      <c r="H5883" s="1">
        <v>0</v>
      </c>
      <c r="I5883" s="1">
        <v>0</v>
      </c>
      <c r="J5883" s="1">
        <v>1</v>
      </c>
      <c r="K5883" s="1">
        <v>0</v>
      </c>
      <c r="L5883" s="1">
        <v>0</v>
      </c>
      <c r="M5883" s="1"/>
      <c r="N5883" s="38">
        <v>5.8000000000000007</v>
      </c>
      <c r="P5883" s="38">
        <v>0</v>
      </c>
      <c r="Q5883" s="1">
        <v>3.3</v>
      </c>
      <c r="R5883" s="1">
        <v>0</v>
      </c>
      <c r="S5883" s="1"/>
      <c r="T5883" s="1"/>
      <c r="U5883" s="38">
        <v>0</v>
      </c>
      <c r="X5883" s="1"/>
      <c r="Y5883" s="1"/>
      <c r="AC5883" s="38">
        <v>0</v>
      </c>
    </row>
    <row r="5884" spans="1:29" x14ac:dyDescent="0.25">
      <c r="A5884" s="22">
        <v>44235</v>
      </c>
      <c r="B5884" s="1"/>
      <c r="C5884" s="1"/>
      <c r="D5884" s="1">
        <v>7.3659999999999988</v>
      </c>
      <c r="F5884" s="1">
        <v>0</v>
      </c>
      <c r="G5884" s="1"/>
      <c r="H5884" s="1">
        <v>0</v>
      </c>
      <c r="I5884" s="1">
        <v>2.2000000000000002</v>
      </c>
      <c r="J5884" s="1">
        <v>8</v>
      </c>
      <c r="K5884" s="1">
        <v>11.937999999999999</v>
      </c>
      <c r="L5884" s="1">
        <v>0</v>
      </c>
      <c r="M5884" s="1"/>
      <c r="N5884" s="38">
        <v>5.4000000000000021</v>
      </c>
      <c r="P5884" s="38">
        <v>0</v>
      </c>
      <c r="Q5884" s="1">
        <v>0</v>
      </c>
      <c r="R5884" s="1">
        <v>1</v>
      </c>
      <c r="S5884" s="1"/>
      <c r="T5884" s="1"/>
      <c r="U5884" s="38">
        <v>0.50800000000000001</v>
      </c>
      <c r="X5884" s="1"/>
      <c r="Y5884" s="1"/>
      <c r="AC5884" s="38">
        <v>0</v>
      </c>
    </row>
    <row r="5885" spans="1:29" x14ac:dyDescent="0.25">
      <c r="A5885" s="22">
        <v>44236</v>
      </c>
      <c r="B5885" s="1"/>
      <c r="C5885" s="1"/>
      <c r="D5885" s="1">
        <v>0</v>
      </c>
      <c r="F5885" s="38">
        <v>0</v>
      </c>
      <c r="G5885" s="1"/>
      <c r="H5885" s="1">
        <v>0</v>
      </c>
      <c r="I5885" s="1">
        <v>4</v>
      </c>
      <c r="J5885" s="1">
        <v>0</v>
      </c>
      <c r="K5885" s="1">
        <v>0.7619999999999999</v>
      </c>
      <c r="L5885" s="1">
        <v>0</v>
      </c>
      <c r="M5885" s="1"/>
      <c r="N5885" s="38">
        <v>0</v>
      </c>
      <c r="P5885" s="38">
        <v>1.27</v>
      </c>
      <c r="Q5885" s="1">
        <v>0.7</v>
      </c>
      <c r="R5885" s="1">
        <v>0</v>
      </c>
      <c r="S5885" s="1"/>
      <c r="T5885" s="1"/>
      <c r="U5885" s="38">
        <v>0</v>
      </c>
      <c r="X5885" s="1"/>
      <c r="Y5885" s="1"/>
      <c r="AC5885" s="38">
        <v>0</v>
      </c>
    </row>
    <row r="5886" spans="1:29" x14ac:dyDescent="0.25">
      <c r="A5886" s="22">
        <v>44237</v>
      </c>
      <c r="B5886" s="1"/>
      <c r="C5886" s="1"/>
      <c r="D5886" s="1">
        <v>5.8419999999999996</v>
      </c>
      <c r="F5886" s="1">
        <v>2.6</v>
      </c>
      <c r="G5886" s="1"/>
      <c r="H5886" s="1">
        <v>0</v>
      </c>
      <c r="I5886" s="1">
        <v>1</v>
      </c>
      <c r="J5886" s="1">
        <v>18.399999999999999</v>
      </c>
      <c r="K5886" s="1">
        <v>5.08</v>
      </c>
      <c r="L5886" s="1">
        <v>4.3180000000000005</v>
      </c>
      <c r="M5886" s="1"/>
      <c r="N5886" s="38">
        <v>8.0000000000000018</v>
      </c>
      <c r="P5886" s="38">
        <v>0.7619999999999999</v>
      </c>
      <c r="Q5886" s="1">
        <v>0.6</v>
      </c>
      <c r="R5886" s="1">
        <v>0.6</v>
      </c>
      <c r="S5886" s="1"/>
      <c r="T5886" s="1"/>
      <c r="U5886" s="38">
        <v>4.8259999999999996</v>
      </c>
      <c r="X5886" s="1"/>
      <c r="Y5886" s="1"/>
      <c r="AC5886" s="38">
        <v>2</v>
      </c>
    </row>
    <row r="5887" spans="1:29" x14ac:dyDescent="0.25">
      <c r="A5887" s="22">
        <v>44238</v>
      </c>
      <c r="B5887" s="1"/>
      <c r="C5887" s="1"/>
      <c r="D5887" s="1">
        <v>6.0959999999999992</v>
      </c>
      <c r="F5887" s="1">
        <v>4</v>
      </c>
      <c r="G5887" s="1"/>
      <c r="H5887" s="1">
        <v>8</v>
      </c>
      <c r="I5887" s="1">
        <v>2</v>
      </c>
      <c r="J5887" s="1">
        <v>15.6</v>
      </c>
      <c r="K5887" s="1">
        <v>4.0640000000000001</v>
      </c>
      <c r="L5887" s="1">
        <v>1.27</v>
      </c>
      <c r="M5887" s="1"/>
      <c r="N5887" s="38">
        <v>5.4</v>
      </c>
      <c r="P5887" s="38">
        <v>7.6199999999999992</v>
      </c>
      <c r="Q5887" s="1">
        <v>0.4</v>
      </c>
      <c r="R5887" s="1">
        <v>1</v>
      </c>
      <c r="S5887" s="1"/>
      <c r="T5887" s="1"/>
      <c r="U5887" s="38">
        <v>3.8099999999999996</v>
      </c>
      <c r="X5887" s="1"/>
      <c r="Y5887" s="1"/>
      <c r="AC5887" s="38">
        <v>3</v>
      </c>
    </row>
    <row r="5888" spans="1:29" x14ac:dyDescent="0.25">
      <c r="A5888" s="22">
        <v>44239</v>
      </c>
      <c r="B5888" s="1"/>
      <c r="C5888" s="1"/>
      <c r="D5888" s="1">
        <v>9.9060000000000006</v>
      </c>
      <c r="F5888" s="1">
        <v>0</v>
      </c>
      <c r="G5888" s="1"/>
      <c r="H5888" s="1">
        <v>0</v>
      </c>
      <c r="I5888" s="1">
        <v>3</v>
      </c>
      <c r="J5888" s="1">
        <v>18.100000000000001</v>
      </c>
      <c r="K5888" s="1">
        <v>10.3</v>
      </c>
      <c r="L5888" s="1">
        <v>4.8259999999999996</v>
      </c>
      <c r="M5888" s="1"/>
      <c r="N5888" s="38">
        <v>12.399999999999997</v>
      </c>
      <c r="P5888" s="38">
        <v>4.5719999999999992</v>
      </c>
      <c r="Q5888" s="1">
        <v>1.2</v>
      </c>
      <c r="R5888" s="1">
        <v>0.3</v>
      </c>
      <c r="S5888" s="1"/>
      <c r="T5888" s="1"/>
      <c r="U5888" s="38">
        <v>25.4</v>
      </c>
      <c r="X5888" s="1"/>
      <c r="Y5888" s="1"/>
      <c r="AC5888" s="38">
        <v>2</v>
      </c>
    </row>
    <row r="5889" spans="1:29" x14ac:dyDescent="0.25">
      <c r="A5889" s="22">
        <v>44240</v>
      </c>
      <c r="B5889" s="1"/>
      <c r="C5889" s="1"/>
      <c r="D5889" s="1">
        <v>10.16</v>
      </c>
      <c r="F5889" s="1">
        <v>2.2000000000000002</v>
      </c>
      <c r="G5889" s="1"/>
      <c r="H5889" s="1">
        <v>2.5</v>
      </c>
      <c r="I5889" s="1">
        <v>1</v>
      </c>
      <c r="J5889" s="1">
        <v>10.4</v>
      </c>
      <c r="K5889" s="1">
        <v>0.2</v>
      </c>
      <c r="L5889" s="1">
        <v>1.016</v>
      </c>
      <c r="M5889" s="1"/>
      <c r="N5889" s="38">
        <v>0.2</v>
      </c>
      <c r="P5889" s="38">
        <v>0</v>
      </c>
      <c r="Q5889" s="1">
        <v>0.7</v>
      </c>
      <c r="R5889" s="1">
        <v>0.2</v>
      </c>
      <c r="S5889" s="1"/>
      <c r="T5889" s="1"/>
      <c r="U5889" s="38">
        <v>2.032</v>
      </c>
      <c r="X5889" s="1"/>
      <c r="Y5889" s="1"/>
      <c r="AC5889" s="38">
        <v>0</v>
      </c>
    </row>
    <row r="5890" spans="1:29" x14ac:dyDescent="0.25">
      <c r="A5890" s="22">
        <v>44241</v>
      </c>
      <c r="B5890" s="1"/>
      <c r="C5890" s="1"/>
      <c r="D5890" s="1">
        <v>7.1120000000000001</v>
      </c>
      <c r="F5890" s="1">
        <v>0.8</v>
      </c>
      <c r="G5890" s="1"/>
      <c r="H5890" s="1">
        <v>0</v>
      </c>
      <c r="I5890" s="1">
        <v>3.2</v>
      </c>
      <c r="J5890" s="1">
        <v>16.5</v>
      </c>
      <c r="K5890" s="1">
        <v>6.2</v>
      </c>
      <c r="L5890" s="1">
        <v>0.50800000000000001</v>
      </c>
      <c r="M5890" s="1"/>
      <c r="N5890" s="38">
        <v>13.2</v>
      </c>
      <c r="P5890" s="38">
        <v>0.50800000000000001</v>
      </c>
      <c r="Q5890" s="1">
        <v>9.1</v>
      </c>
      <c r="R5890" s="1">
        <v>0.1</v>
      </c>
      <c r="S5890" s="1"/>
      <c r="T5890" s="1"/>
      <c r="U5890" s="38">
        <v>5.08</v>
      </c>
      <c r="X5890" s="1"/>
      <c r="Y5890" s="1"/>
      <c r="AC5890" s="38">
        <v>1</v>
      </c>
    </row>
    <row r="5891" spans="1:29" x14ac:dyDescent="0.25">
      <c r="A5891" s="22">
        <v>44242</v>
      </c>
      <c r="B5891" s="1"/>
      <c r="C5891" s="1"/>
      <c r="D5891" s="1">
        <v>40.64</v>
      </c>
      <c r="F5891" s="1">
        <v>6.4</v>
      </c>
      <c r="G5891" s="1"/>
      <c r="H5891" s="1">
        <v>10.1</v>
      </c>
      <c r="I5891" s="1">
        <v>12.9</v>
      </c>
      <c r="J5891" s="1">
        <v>50.4</v>
      </c>
      <c r="K5891" s="1">
        <v>27</v>
      </c>
      <c r="L5891" s="1">
        <v>19.303999999999998</v>
      </c>
      <c r="M5891" s="1"/>
      <c r="N5891" s="38">
        <v>19</v>
      </c>
      <c r="P5891" s="38">
        <v>19.049999999999997</v>
      </c>
      <c r="Q5891" s="1">
        <v>0.2</v>
      </c>
      <c r="R5891" s="1">
        <v>2.1</v>
      </c>
      <c r="S5891" s="1"/>
      <c r="T5891" s="1"/>
      <c r="U5891" s="38">
        <v>16.509999999999998</v>
      </c>
      <c r="X5891" s="1"/>
      <c r="Y5891" s="1"/>
      <c r="AC5891" s="38">
        <v>27</v>
      </c>
    </row>
    <row r="5892" spans="1:29" x14ac:dyDescent="0.25">
      <c r="A5892" s="22">
        <v>44243</v>
      </c>
      <c r="B5892" s="1"/>
      <c r="C5892" s="1"/>
      <c r="D5892" s="1">
        <v>4.5719999999999992</v>
      </c>
      <c r="F5892" s="1">
        <v>0.8</v>
      </c>
      <c r="G5892" s="1"/>
      <c r="H5892" s="1">
        <v>0.2</v>
      </c>
      <c r="I5892" s="1">
        <v>6</v>
      </c>
      <c r="J5892" s="1">
        <v>0.8</v>
      </c>
      <c r="K5892" s="1">
        <v>2.1</v>
      </c>
      <c r="L5892" s="1">
        <v>1.778</v>
      </c>
      <c r="M5892" s="1"/>
      <c r="N5892" s="38">
        <v>1.8</v>
      </c>
      <c r="P5892" s="38">
        <v>1.27</v>
      </c>
      <c r="Q5892" s="1">
        <v>9.3000000000000007</v>
      </c>
      <c r="R5892" s="1">
        <v>0.1</v>
      </c>
      <c r="S5892" s="1"/>
      <c r="T5892" s="1"/>
      <c r="U5892" s="38">
        <v>0</v>
      </c>
      <c r="X5892" s="1"/>
      <c r="Y5892" s="1"/>
      <c r="AC5892" s="38">
        <v>1</v>
      </c>
    </row>
    <row r="5893" spans="1:29" x14ac:dyDescent="0.25">
      <c r="A5893" s="22">
        <v>44244</v>
      </c>
      <c r="B5893" s="1"/>
      <c r="C5893" s="1"/>
      <c r="D5893" s="1">
        <v>20.574000000000002</v>
      </c>
      <c r="F5893" s="1">
        <v>14.4</v>
      </c>
      <c r="G5893" s="1"/>
      <c r="H5893" s="1">
        <v>16.399999999999999</v>
      </c>
      <c r="I5893" s="1">
        <v>6.1</v>
      </c>
      <c r="J5893" s="1">
        <v>57.2</v>
      </c>
      <c r="K5893" s="1">
        <v>18</v>
      </c>
      <c r="L5893" s="1">
        <v>10.667999999999999</v>
      </c>
      <c r="M5893" s="1"/>
      <c r="N5893" s="38">
        <v>42.599999999999994</v>
      </c>
      <c r="P5893" s="38">
        <v>10.921999999999999</v>
      </c>
      <c r="Q5893" s="1">
        <v>3.5</v>
      </c>
      <c r="R5893" s="1">
        <v>30.6</v>
      </c>
      <c r="S5893" s="1"/>
      <c r="T5893" s="1"/>
      <c r="U5893" s="38">
        <v>77.215999999999994</v>
      </c>
      <c r="X5893" s="1"/>
      <c r="Y5893" s="1"/>
      <c r="AC5893" s="38">
        <v>22</v>
      </c>
    </row>
    <row r="5894" spans="1:29" x14ac:dyDescent="0.25">
      <c r="A5894" s="22">
        <v>44245</v>
      </c>
      <c r="B5894" s="1"/>
      <c r="C5894" s="1"/>
      <c r="D5894" s="1">
        <v>9.6519999999999992</v>
      </c>
      <c r="F5894" s="1">
        <v>4.8</v>
      </c>
      <c r="G5894" s="1"/>
      <c r="H5894" s="1">
        <v>5.9</v>
      </c>
      <c r="I5894" s="1">
        <v>15</v>
      </c>
      <c r="J5894" s="1">
        <v>58.4</v>
      </c>
      <c r="K5894" s="1">
        <v>21</v>
      </c>
      <c r="L5894" s="1">
        <v>1.016</v>
      </c>
      <c r="M5894" s="1"/>
      <c r="N5894" s="38">
        <v>0.4</v>
      </c>
      <c r="P5894" s="38">
        <v>0</v>
      </c>
      <c r="Q5894" s="1">
        <v>1</v>
      </c>
      <c r="R5894" s="1">
        <v>0.5</v>
      </c>
      <c r="S5894" s="1"/>
      <c r="T5894" s="1"/>
      <c r="U5894" s="38">
        <v>19.812000000000001</v>
      </c>
      <c r="X5894" s="1"/>
      <c r="Y5894" s="1"/>
      <c r="AC5894" s="38">
        <v>0</v>
      </c>
    </row>
    <row r="5895" spans="1:29" x14ac:dyDescent="0.25">
      <c r="A5895" s="22">
        <v>44246</v>
      </c>
      <c r="B5895" s="1"/>
      <c r="C5895" s="1"/>
      <c r="D5895" s="1">
        <v>8.8000000000000007</v>
      </c>
      <c r="F5895" s="1">
        <v>4.3</v>
      </c>
      <c r="G5895" s="1"/>
      <c r="H5895" s="1">
        <v>2</v>
      </c>
      <c r="I5895" s="1">
        <v>5</v>
      </c>
      <c r="J5895" s="1">
        <v>0.8</v>
      </c>
      <c r="K5895" s="1">
        <v>15</v>
      </c>
      <c r="L5895" s="1">
        <v>2.2859999999999996</v>
      </c>
      <c r="M5895" s="1"/>
      <c r="N5895" s="38">
        <v>15.6</v>
      </c>
      <c r="P5895" s="38">
        <v>1.27</v>
      </c>
      <c r="Q5895" s="1">
        <v>4</v>
      </c>
      <c r="R5895" s="1">
        <v>0.1</v>
      </c>
      <c r="S5895" s="1"/>
      <c r="T5895" s="1"/>
      <c r="U5895" s="38">
        <v>10.16</v>
      </c>
      <c r="X5895" s="1"/>
      <c r="Y5895" s="1"/>
      <c r="AC5895" s="38">
        <v>12</v>
      </c>
    </row>
    <row r="5896" spans="1:29" x14ac:dyDescent="0.25">
      <c r="A5896" s="22">
        <v>44247</v>
      </c>
      <c r="B5896" s="1"/>
      <c r="C5896" s="1"/>
      <c r="D5896" s="1">
        <v>8.4</v>
      </c>
      <c r="F5896" s="1">
        <v>2.2000000000000002</v>
      </c>
      <c r="G5896" s="1"/>
      <c r="H5896" s="1">
        <v>0.8</v>
      </c>
      <c r="I5896" s="1">
        <v>2.2000000000000002</v>
      </c>
      <c r="J5896" s="1">
        <v>50.4</v>
      </c>
      <c r="K5896" s="1">
        <v>8</v>
      </c>
      <c r="L5896" s="1">
        <v>0</v>
      </c>
      <c r="M5896" s="1"/>
      <c r="N5896" s="38">
        <v>5.4000000000000012</v>
      </c>
      <c r="P5896" s="38">
        <v>0</v>
      </c>
      <c r="Q5896" s="1">
        <v>0</v>
      </c>
      <c r="R5896" s="1">
        <v>10.5</v>
      </c>
      <c r="S5896" s="1"/>
      <c r="T5896" s="1"/>
      <c r="U5896" s="38">
        <v>5.08</v>
      </c>
      <c r="X5896" s="1"/>
      <c r="Y5896" s="1"/>
      <c r="AC5896" s="38">
        <v>1</v>
      </c>
    </row>
    <row r="5897" spans="1:29" x14ac:dyDescent="0.25">
      <c r="A5897" s="22">
        <v>44248</v>
      </c>
      <c r="B5897" s="1"/>
      <c r="C5897" s="1"/>
      <c r="D5897" s="1">
        <v>0</v>
      </c>
      <c r="F5897" s="1">
        <v>0</v>
      </c>
      <c r="G5897" s="1"/>
      <c r="H5897" s="1">
        <v>0</v>
      </c>
      <c r="I5897" s="1">
        <v>0</v>
      </c>
      <c r="J5897" s="1">
        <v>7.1</v>
      </c>
      <c r="K5897" s="1">
        <v>4.5</v>
      </c>
      <c r="L5897" s="1">
        <v>1.5239999999999998</v>
      </c>
      <c r="M5897" s="1"/>
      <c r="N5897" s="38">
        <v>0</v>
      </c>
      <c r="P5897" s="38">
        <v>7.1120000000000001</v>
      </c>
      <c r="Q5897" s="1">
        <v>20.065999999999999</v>
      </c>
      <c r="R5897" s="1">
        <v>0</v>
      </c>
      <c r="S5897" s="1"/>
      <c r="T5897" s="1"/>
      <c r="U5897" s="38">
        <v>0</v>
      </c>
      <c r="X5897" s="1"/>
      <c r="Y5897" s="1"/>
      <c r="AC5897" s="38">
        <v>0</v>
      </c>
    </row>
    <row r="5898" spans="1:29" x14ac:dyDescent="0.25">
      <c r="A5898" s="22">
        <v>44249</v>
      </c>
      <c r="B5898" s="1"/>
      <c r="C5898" s="1"/>
      <c r="D5898" s="1">
        <v>10.8</v>
      </c>
      <c r="F5898" s="1">
        <v>12.9</v>
      </c>
      <c r="G5898" s="1"/>
      <c r="H5898" s="1">
        <v>8.4</v>
      </c>
      <c r="I5898" s="1">
        <v>2.5</v>
      </c>
      <c r="J5898" s="1">
        <v>0.3</v>
      </c>
      <c r="K5898" s="1">
        <v>6.2</v>
      </c>
      <c r="L5898" s="1">
        <v>11.937999999999999</v>
      </c>
      <c r="M5898" s="1"/>
      <c r="N5898" s="38">
        <v>14.799999999999999</v>
      </c>
      <c r="P5898" s="38">
        <v>8.8899999999999988</v>
      </c>
      <c r="Q5898" s="1">
        <v>3.8099999999999996</v>
      </c>
      <c r="R5898" s="1">
        <v>5.2</v>
      </c>
      <c r="S5898" s="1"/>
      <c r="T5898" s="1"/>
      <c r="U5898" s="38">
        <v>10.667999999999999</v>
      </c>
      <c r="X5898" s="1"/>
      <c r="Y5898" s="1"/>
      <c r="AC5898" s="38">
        <v>1</v>
      </c>
    </row>
    <row r="5899" spans="1:29" x14ac:dyDescent="0.25">
      <c r="A5899" s="22">
        <v>44250</v>
      </c>
      <c r="B5899" s="1"/>
      <c r="C5899" s="1"/>
      <c r="D5899" s="1">
        <v>10</v>
      </c>
      <c r="F5899" s="1">
        <v>0</v>
      </c>
      <c r="G5899" s="1"/>
      <c r="H5899" s="1">
        <v>1.2</v>
      </c>
      <c r="I5899" s="1">
        <v>7.1</v>
      </c>
      <c r="J5899" s="1">
        <v>60.2</v>
      </c>
      <c r="K5899" s="1">
        <v>2.7</v>
      </c>
      <c r="L5899" s="1">
        <v>0</v>
      </c>
      <c r="M5899" s="1"/>
      <c r="N5899" s="38">
        <v>0</v>
      </c>
      <c r="P5899" s="38">
        <v>0.254</v>
      </c>
      <c r="Q5899" s="1">
        <v>10.413999999999998</v>
      </c>
      <c r="R5899" s="1">
        <v>0</v>
      </c>
      <c r="S5899" s="1"/>
      <c r="T5899" s="1"/>
      <c r="U5899" s="38">
        <v>0</v>
      </c>
      <c r="X5899" s="1"/>
      <c r="Y5899" s="1"/>
      <c r="AC5899" s="38">
        <v>0</v>
      </c>
    </row>
    <row r="5900" spans="1:29" x14ac:dyDescent="0.25">
      <c r="A5900" s="22">
        <v>44251</v>
      </c>
      <c r="B5900" s="1"/>
      <c r="C5900" s="1"/>
      <c r="D5900" s="1">
        <v>4</v>
      </c>
      <c r="F5900" s="1">
        <v>0</v>
      </c>
      <c r="G5900" s="1"/>
      <c r="H5900" s="1">
        <v>0</v>
      </c>
      <c r="I5900" s="1">
        <v>1.5</v>
      </c>
      <c r="J5900" s="1">
        <v>0.7</v>
      </c>
      <c r="K5900" s="1">
        <v>0</v>
      </c>
      <c r="L5900" s="1">
        <v>1.016</v>
      </c>
      <c r="M5900" s="1"/>
      <c r="N5900" s="38">
        <v>4.8000000000000007</v>
      </c>
      <c r="P5900" s="38">
        <v>0</v>
      </c>
      <c r="Q5900" s="1">
        <v>7.6199999999999992</v>
      </c>
      <c r="R5900" s="1">
        <v>1.1000000000000001</v>
      </c>
      <c r="S5900" s="1"/>
      <c r="T5900" s="1"/>
      <c r="U5900" s="38">
        <v>1.016</v>
      </c>
      <c r="X5900" s="1"/>
      <c r="Y5900" s="1"/>
      <c r="AC5900" s="38">
        <v>2</v>
      </c>
    </row>
    <row r="5901" spans="1:29" x14ac:dyDescent="0.25">
      <c r="A5901" s="22">
        <v>44252</v>
      </c>
      <c r="B5901" s="1"/>
      <c r="C5901" s="1"/>
      <c r="D5901" s="1">
        <v>18</v>
      </c>
      <c r="F5901" s="1">
        <v>6.2</v>
      </c>
      <c r="G5901" s="1"/>
      <c r="H5901" s="1">
        <v>7.2</v>
      </c>
      <c r="I5901" s="1">
        <v>4.2</v>
      </c>
      <c r="J5901" s="1">
        <v>57.8</v>
      </c>
      <c r="K5901" s="1">
        <v>12</v>
      </c>
      <c r="L5901" s="1">
        <v>4.8259999999999996</v>
      </c>
      <c r="M5901" s="1"/>
      <c r="N5901" s="38">
        <v>15.2</v>
      </c>
      <c r="P5901" s="38">
        <v>5.5880000000000001</v>
      </c>
      <c r="Q5901" s="1">
        <v>20.32</v>
      </c>
      <c r="R5901" s="1">
        <v>3.1</v>
      </c>
      <c r="S5901" s="1"/>
      <c r="T5901" s="1"/>
      <c r="U5901" s="38">
        <v>13.97</v>
      </c>
      <c r="X5901" s="1"/>
      <c r="Y5901" s="1"/>
      <c r="AC5901" s="38">
        <v>3</v>
      </c>
    </row>
    <row r="5902" spans="1:29" x14ac:dyDescent="0.25">
      <c r="A5902" s="22">
        <v>44253</v>
      </c>
      <c r="B5902" s="1"/>
      <c r="C5902" s="1"/>
      <c r="D5902" s="1">
        <v>1</v>
      </c>
      <c r="F5902" s="1">
        <v>0</v>
      </c>
      <c r="G5902" s="1"/>
      <c r="H5902" s="1">
        <v>0</v>
      </c>
      <c r="I5902" s="1">
        <v>0</v>
      </c>
      <c r="J5902" s="1">
        <v>8.5</v>
      </c>
      <c r="K5902" s="1">
        <v>12.3</v>
      </c>
      <c r="L5902" s="1">
        <v>0</v>
      </c>
      <c r="M5902" s="1"/>
      <c r="N5902" s="38">
        <v>6.2</v>
      </c>
      <c r="P5902" s="38">
        <v>0</v>
      </c>
      <c r="Q5902" s="1">
        <v>0</v>
      </c>
      <c r="R5902" s="1">
        <v>0</v>
      </c>
      <c r="S5902" s="1"/>
      <c r="T5902" s="1"/>
      <c r="U5902" s="38">
        <v>0</v>
      </c>
      <c r="X5902" s="1"/>
      <c r="Y5902" s="1"/>
      <c r="AC5902" s="38">
        <v>0</v>
      </c>
    </row>
    <row r="5903" spans="1:29" x14ac:dyDescent="0.25">
      <c r="A5903" s="22">
        <v>44254</v>
      </c>
      <c r="B5903" s="1"/>
      <c r="C5903" s="1"/>
      <c r="D5903" s="1">
        <v>3.5</v>
      </c>
      <c r="F5903" s="1">
        <v>5</v>
      </c>
      <c r="G5903" s="1"/>
      <c r="H5903" s="1">
        <v>6.4</v>
      </c>
      <c r="I5903" s="1">
        <v>12.2</v>
      </c>
      <c r="J5903" s="1">
        <v>30.8</v>
      </c>
      <c r="K5903" s="1">
        <v>4.2</v>
      </c>
      <c r="L5903" s="1">
        <v>8.636000000000001</v>
      </c>
      <c r="M5903" s="1"/>
      <c r="N5903" s="38">
        <v>16.599999999999998</v>
      </c>
      <c r="P5903" s="38">
        <v>8.3819999999999997</v>
      </c>
      <c r="Q5903" s="1">
        <v>0</v>
      </c>
      <c r="R5903" s="1">
        <v>1.1000000000000001</v>
      </c>
      <c r="S5903" s="1"/>
      <c r="T5903" s="1"/>
      <c r="U5903" s="38">
        <v>2.032</v>
      </c>
      <c r="X5903" s="1"/>
      <c r="Y5903" s="1"/>
      <c r="AC5903" s="38">
        <v>4</v>
      </c>
    </row>
    <row r="5904" spans="1:29" x14ac:dyDescent="0.25">
      <c r="A5904" s="22">
        <v>44255</v>
      </c>
      <c r="B5904" s="1"/>
      <c r="C5904" s="1"/>
      <c r="D5904" s="1">
        <v>8.5</v>
      </c>
      <c r="F5904" s="1">
        <v>0.8</v>
      </c>
      <c r="G5904" s="1"/>
      <c r="H5904" s="1">
        <v>4</v>
      </c>
      <c r="I5904" s="1">
        <v>4.2</v>
      </c>
      <c r="J5904" s="1">
        <v>15.4</v>
      </c>
      <c r="K5904" s="1">
        <v>9.5</v>
      </c>
      <c r="L5904" s="1">
        <v>0</v>
      </c>
      <c r="M5904" s="1"/>
      <c r="N5904" s="38">
        <v>4</v>
      </c>
      <c r="P5904" s="38">
        <v>0</v>
      </c>
      <c r="Q5904" s="1">
        <v>17.779999999999998</v>
      </c>
      <c r="R5904" s="1">
        <v>0</v>
      </c>
      <c r="S5904" s="1"/>
      <c r="T5904" s="1"/>
      <c r="U5904" s="38">
        <v>10.16</v>
      </c>
      <c r="X5904" s="1"/>
      <c r="Y5904" s="1"/>
      <c r="AC5904" s="38">
        <v>0</v>
      </c>
    </row>
    <row r="5905" spans="1:29" x14ac:dyDescent="0.25">
      <c r="A5905" s="22">
        <v>44256</v>
      </c>
      <c r="B5905" s="1"/>
      <c r="C5905" s="1"/>
      <c r="D5905" s="1">
        <v>0.2</v>
      </c>
      <c r="F5905" s="1">
        <v>0</v>
      </c>
      <c r="G5905" s="1"/>
      <c r="H5905" s="1">
        <v>0</v>
      </c>
      <c r="I5905" s="1"/>
      <c r="J5905" s="1">
        <v>0.5</v>
      </c>
      <c r="K5905" s="1">
        <v>2</v>
      </c>
      <c r="L5905" s="1">
        <v>0</v>
      </c>
      <c r="M5905" s="1"/>
      <c r="N5905" s="38">
        <v>2.2000000000000002</v>
      </c>
      <c r="P5905" s="38">
        <v>0</v>
      </c>
      <c r="Q5905" s="1">
        <v>0.7</v>
      </c>
      <c r="R5905" s="1">
        <v>0</v>
      </c>
      <c r="S5905" s="1"/>
      <c r="T5905" s="1"/>
      <c r="X5905" s="1"/>
      <c r="Y5905" s="1"/>
      <c r="AC5905" s="38">
        <v>0</v>
      </c>
    </row>
    <row r="5906" spans="1:29" x14ac:dyDescent="0.25">
      <c r="A5906" s="22">
        <v>44257</v>
      </c>
      <c r="B5906" s="1"/>
      <c r="C5906" s="1"/>
      <c r="D5906" s="1">
        <v>1.8</v>
      </c>
      <c r="F5906" s="1">
        <v>0</v>
      </c>
      <c r="G5906" s="1"/>
      <c r="H5906" s="1">
        <v>0</v>
      </c>
      <c r="I5906" s="1"/>
      <c r="J5906" s="1">
        <v>0.6</v>
      </c>
      <c r="K5906" s="1">
        <v>3</v>
      </c>
      <c r="L5906" s="1">
        <v>0</v>
      </c>
      <c r="M5906" s="1"/>
      <c r="N5906" s="38">
        <v>4</v>
      </c>
      <c r="P5906" s="38">
        <v>0</v>
      </c>
      <c r="Q5906" s="1">
        <v>0.2</v>
      </c>
      <c r="R5906" s="1">
        <v>0</v>
      </c>
      <c r="S5906" s="1"/>
      <c r="T5906" s="1"/>
      <c r="U5906" s="1"/>
      <c r="X5906" s="1"/>
      <c r="Y5906" s="1"/>
      <c r="AC5906" s="38">
        <v>0</v>
      </c>
    </row>
    <row r="5907" spans="1:29" x14ac:dyDescent="0.25">
      <c r="A5907" s="22">
        <v>44258</v>
      </c>
      <c r="B5907" s="1"/>
      <c r="C5907" s="1"/>
      <c r="D5907" s="1">
        <v>0</v>
      </c>
      <c r="F5907" s="1">
        <v>0</v>
      </c>
      <c r="G5907" s="1"/>
      <c r="H5907" s="1">
        <v>0</v>
      </c>
      <c r="I5907" s="1"/>
      <c r="J5907" s="1">
        <v>4.5</v>
      </c>
      <c r="K5907" s="1">
        <v>15.2</v>
      </c>
      <c r="L5907" s="1">
        <v>0.7619999999999999</v>
      </c>
      <c r="M5907" s="1"/>
      <c r="N5907" s="38">
        <v>2.2000000000000002</v>
      </c>
      <c r="P5907" s="38">
        <v>0</v>
      </c>
      <c r="Q5907" s="1">
        <v>21.3</v>
      </c>
      <c r="R5907" s="1">
        <v>0</v>
      </c>
      <c r="S5907" s="1"/>
      <c r="T5907" s="1"/>
      <c r="U5907" s="1"/>
      <c r="X5907" s="1"/>
      <c r="Y5907" s="1"/>
      <c r="AC5907" s="38">
        <v>0</v>
      </c>
    </row>
    <row r="5908" spans="1:29" x14ac:dyDescent="0.25">
      <c r="A5908" s="22">
        <v>44259</v>
      </c>
      <c r="B5908" s="1"/>
      <c r="C5908" s="1"/>
      <c r="D5908" s="1">
        <v>43</v>
      </c>
      <c r="F5908" s="1">
        <v>19.100000000000001</v>
      </c>
      <c r="G5908" s="1"/>
      <c r="H5908" s="1">
        <v>17.399999999999999</v>
      </c>
      <c r="I5908" s="1"/>
      <c r="J5908" s="1">
        <v>83.2</v>
      </c>
      <c r="K5908" s="1">
        <v>28</v>
      </c>
      <c r="L5908" s="1">
        <v>34.29</v>
      </c>
      <c r="M5908" s="1"/>
      <c r="N5908" s="38">
        <v>54.200000000000024</v>
      </c>
      <c r="Q5908" s="1">
        <v>74.400000000000006</v>
      </c>
      <c r="R5908" s="1"/>
      <c r="S5908" s="1"/>
      <c r="T5908" s="1"/>
      <c r="U5908" s="1"/>
      <c r="X5908" s="1"/>
      <c r="Y5908" s="1"/>
      <c r="AC5908" s="38">
        <v>6</v>
      </c>
    </row>
    <row r="5909" spans="1:29" x14ac:dyDescent="0.25">
      <c r="A5909" s="22">
        <v>44260</v>
      </c>
      <c r="B5909" s="1"/>
      <c r="C5909" s="1"/>
      <c r="D5909" s="1">
        <v>52.8</v>
      </c>
      <c r="F5909" s="1">
        <v>33.700000000000003</v>
      </c>
      <c r="G5909" s="1"/>
      <c r="H5909" s="1">
        <v>34.5</v>
      </c>
      <c r="I5909" s="1"/>
      <c r="J5909" s="1">
        <v>130</v>
      </c>
      <c r="K5909" s="1">
        <v>72</v>
      </c>
      <c r="L5909" s="1">
        <v>44.449999999999996</v>
      </c>
      <c r="M5909" s="1"/>
      <c r="N5909" s="38">
        <v>37.400000000000013</v>
      </c>
      <c r="Q5909" s="1">
        <v>0</v>
      </c>
      <c r="R5909" s="1"/>
      <c r="S5909" s="1"/>
      <c r="T5909" s="1"/>
      <c r="U5909" s="1"/>
      <c r="X5909" s="1"/>
      <c r="Y5909" s="1"/>
      <c r="AC5909" s="38">
        <v>38</v>
      </c>
    </row>
    <row r="5910" spans="1:29" x14ac:dyDescent="0.25">
      <c r="A5910" s="22">
        <v>44261</v>
      </c>
      <c r="B5910" s="1"/>
      <c r="C5910" s="1"/>
      <c r="D5910" s="1">
        <v>0.2</v>
      </c>
      <c r="F5910" s="1">
        <v>0</v>
      </c>
      <c r="G5910" s="1"/>
      <c r="H5910" s="1">
        <v>0</v>
      </c>
      <c r="I5910" s="1"/>
      <c r="J5910" s="1">
        <v>0</v>
      </c>
      <c r="K5910" s="1">
        <v>0</v>
      </c>
      <c r="L5910" s="1">
        <v>0</v>
      </c>
      <c r="M5910" s="1"/>
      <c r="N5910" s="38">
        <v>0.8</v>
      </c>
      <c r="Q5910" s="1">
        <v>0</v>
      </c>
      <c r="R5910" s="1"/>
      <c r="S5910" s="1"/>
      <c r="T5910" s="1"/>
      <c r="U5910" s="1"/>
      <c r="X5910" s="1"/>
      <c r="Y5910" s="1"/>
      <c r="AC5910" s="38">
        <v>0</v>
      </c>
    </row>
    <row r="5911" spans="1:29" x14ac:dyDescent="0.25">
      <c r="A5911" s="22">
        <v>44262</v>
      </c>
      <c r="B5911" s="1"/>
      <c r="C5911" s="1"/>
      <c r="D5911" s="1">
        <v>2</v>
      </c>
      <c r="F5911" s="1">
        <v>0</v>
      </c>
      <c r="G5911" s="1"/>
      <c r="H5911" s="1">
        <v>0.9</v>
      </c>
      <c r="I5911" s="1"/>
      <c r="J5911" s="1">
        <v>7.8</v>
      </c>
      <c r="K5911" s="1">
        <v>3</v>
      </c>
      <c r="L5911" s="1">
        <v>0.50800000000000001</v>
      </c>
      <c r="M5911" s="1"/>
      <c r="N5911" s="38">
        <v>3</v>
      </c>
      <c r="Q5911" s="1">
        <v>0.5</v>
      </c>
      <c r="R5911" s="1"/>
      <c r="S5911" s="1"/>
      <c r="T5911" s="1"/>
      <c r="U5911" s="1"/>
      <c r="X5911" s="1"/>
      <c r="Y5911" s="1"/>
      <c r="AC5911" s="38">
        <v>0</v>
      </c>
    </row>
    <row r="5912" spans="1:29" x14ac:dyDescent="0.25">
      <c r="A5912" s="22">
        <v>44263</v>
      </c>
      <c r="B5912" s="1"/>
      <c r="C5912" s="1"/>
      <c r="D5912" s="1">
        <v>3</v>
      </c>
      <c r="F5912" s="1">
        <v>1</v>
      </c>
      <c r="G5912" s="1"/>
      <c r="H5912" s="1">
        <v>0</v>
      </c>
      <c r="I5912" s="1"/>
      <c r="J5912" s="1">
        <v>0.3</v>
      </c>
      <c r="K5912" s="1">
        <v>0.1</v>
      </c>
      <c r="L5912" s="1">
        <v>2.2859999999999996</v>
      </c>
      <c r="M5912" s="1"/>
      <c r="N5912" s="38">
        <v>0.4</v>
      </c>
      <c r="Q5912" s="1">
        <v>0.1</v>
      </c>
      <c r="R5912" s="1"/>
      <c r="S5912" s="1"/>
      <c r="T5912" s="1"/>
      <c r="U5912" s="1"/>
      <c r="X5912" s="1"/>
      <c r="Y5912" s="1"/>
      <c r="AC5912" s="38">
        <v>0</v>
      </c>
    </row>
    <row r="5913" spans="1:29" x14ac:dyDescent="0.25">
      <c r="A5913" s="22">
        <v>44264</v>
      </c>
      <c r="B5913" s="1"/>
      <c r="C5913" s="1"/>
      <c r="D5913" s="1">
        <v>0.4</v>
      </c>
      <c r="F5913" s="1">
        <v>0</v>
      </c>
      <c r="G5913" s="1"/>
      <c r="H5913" s="1">
        <v>0</v>
      </c>
      <c r="I5913" s="1"/>
      <c r="J5913" s="1">
        <v>0</v>
      </c>
      <c r="K5913" s="1">
        <v>1.1000000000000001</v>
      </c>
      <c r="L5913" s="1">
        <v>0</v>
      </c>
      <c r="M5913" s="1"/>
      <c r="N5913" s="38">
        <v>0</v>
      </c>
      <c r="Q5913" s="1">
        <v>0</v>
      </c>
      <c r="R5913" s="1"/>
      <c r="S5913" s="1"/>
      <c r="T5913" s="1"/>
      <c r="U5913" s="1"/>
      <c r="X5913" s="1"/>
      <c r="Y5913" s="1"/>
      <c r="AC5913" s="38">
        <v>0</v>
      </c>
    </row>
    <row r="5914" spans="1:29" x14ac:dyDescent="0.25">
      <c r="A5914" s="22">
        <v>44265</v>
      </c>
      <c r="B5914" s="1"/>
      <c r="C5914" s="1"/>
      <c r="D5914" s="1">
        <v>2</v>
      </c>
      <c r="F5914" s="1">
        <v>4</v>
      </c>
      <c r="G5914" s="1"/>
      <c r="H5914" s="1">
        <v>2.4</v>
      </c>
      <c r="I5914" s="1"/>
      <c r="J5914" s="1">
        <v>24.9</v>
      </c>
      <c r="K5914" s="1">
        <v>10</v>
      </c>
      <c r="L5914" s="1">
        <v>3.302</v>
      </c>
      <c r="M5914" s="1"/>
      <c r="N5914" s="38">
        <v>12.200000000000001</v>
      </c>
      <c r="Q5914" s="1">
        <v>0</v>
      </c>
      <c r="R5914" s="1"/>
      <c r="S5914" s="1"/>
      <c r="T5914" s="1"/>
      <c r="U5914" s="1"/>
      <c r="X5914" s="1"/>
      <c r="Y5914" s="1"/>
      <c r="AC5914" s="38">
        <v>0</v>
      </c>
    </row>
    <row r="5915" spans="1:29" x14ac:dyDescent="0.25">
      <c r="A5915" s="22">
        <v>44266</v>
      </c>
      <c r="B5915" s="1"/>
      <c r="C5915" s="1"/>
      <c r="D5915" s="1">
        <v>0.2</v>
      </c>
      <c r="F5915" s="1">
        <v>2</v>
      </c>
      <c r="G5915" s="1"/>
      <c r="H5915" s="1">
        <v>0</v>
      </c>
      <c r="I5915" s="1"/>
      <c r="J5915" s="1">
        <v>20.2</v>
      </c>
      <c r="K5915" s="1">
        <v>1.9</v>
      </c>
      <c r="L5915" s="1">
        <v>5.8419999999999996</v>
      </c>
      <c r="M5915" s="1"/>
      <c r="N5915" s="38">
        <v>7</v>
      </c>
      <c r="Q5915" s="1">
        <v>0</v>
      </c>
      <c r="R5915" s="1"/>
      <c r="S5915" s="1"/>
      <c r="T5915" s="1"/>
      <c r="U5915" s="1"/>
      <c r="X5915" s="1"/>
      <c r="Y5915" s="1"/>
      <c r="AC5915" s="38">
        <v>0</v>
      </c>
    </row>
    <row r="5916" spans="1:29" x14ac:dyDescent="0.25">
      <c r="A5916" s="22">
        <v>44267</v>
      </c>
      <c r="B5916" s="1"/>
      <c r="C5916" s="1"/>
      <c r="D5916" s="1">
        <v>0</v>
      </c>
      <c r="F5916" s="1">
        <v>2.7</v>
      </c>
      <c r="G5916" s="1"/>
      <c r="H5916" s="1">
        <v>0.4</v>
      </c>
      <c r="I5916" s="1"/>
      <c r="J5916" s="1">
        <v>93.4</v>
      </c>
      <c r="K5916" s="1">
        <v>14</v>
      </c>
      <c r="L5916" s="1">
        <v>0</v>
      </c>
      <c r="M5916" s="1"/>
      <c r="N5916" s="38">
        <v>4.6000000000000005</v>
      </c>
      <c r="Q5916" s="1">
        <v>0</v>
      </c>
      <c r="R5916" s="1"/>
      <c r="S5916" s="1"/>
      <c r="T5916" s="1"/>
      <c r="U5916" s="1"/>
      <c r="X5916" s="1"/>
      <c r="Y5916" s="1"/>
      <c r="AC5916" s="38">
        <v>0</v>
      </c>
    </row>
    <row r="5917" spans="1:29" x14ac:dyDescent="0.25">
      <c r="A5917" s="22">
        <v>44268</v>
      </c>
      <c r="B5917" s="1"/>
      <c r="C5917" s="1"/>
      <c r="D5917" s="1">
        <v>6</v>
      </c>
      <c r="F5917" s="1">
        <v>0</v>
      </c>
      <c r="G5917" s="1"/>
      <c r="H5917" s="1">
        <v>0</v>
      </c>
      <c r="I5917" s="1"/>
      <c r="J5917" s="1">
        <v>10.5</v>
      </c>
      <c r="K5917" s="1">
        <v>2.2000000000000002</v>
      </c>
      <c r="L5917" s="1">
        <v>0</v>
      </c>
      <c r="M5917" s="1"/>
      <c r="N5917" s="38">
        <v>6.4000000000000021</v>
      </c>
      <c r="Q5917" s="1">
        <v>0</v>
      </c>
      <c r="R5917" s="1"/>
      <c r="S5917" s="1"/>
      <c r="T5917" s="1"/>
      <c r="U5917" s="1"/>
      <c r="X5917" s="1"/>
      <c r="Y5917" s="1"/>
      <c r="AC5917" s="38">
        <v>3</v>
      </c>
    </row>
    <row r="5918" spans="1:29" x14ac:dyDescent="0.25">
      <c r="A5918" s="22">
        <v>44269</v>
      </c>
      <c r="B5918" s="1"/>
      <c r="C5918" s="1"/>
      <c r="D5918" s="1">
        <v>3</v>
      </c>
      <c r="F5918" s="1">
        <v>6</v>
      </c>
      <c r="G5918" s="1"/>
      <c r="H5918" s="1">
        <v>8.9</v>
      </c>
      <c r="I5918" s="1"/>
      <c r="J5918" s="1">
        <v>18.600000000000001</v>
      </c>
      <c r="K5918" s="1">
        <v>5.5</v>
      </c>
      <c r="L5918" s="1">
        <v>0.7619999999999999</v>
      </c>
      <c r="M5918" s="1"/>
      <c r="N5918" s="38">
        <v>4.4000000000000012</v>
      </c>
      <c r="Q5918" s="1">
        <v>3.8</v>
      </c>
      <c r="R5918" s="1"/>
      <c r="S5918" s="1"/>
      <c r="T5918" s="1"/>
      <c r="U5918" s="1"/>
      <c r="X5918" s="1"/>
      <c r="Y5918" s="1"/>
      <c r="AC5918" s="38">
        <v>8</v>
      </c>
    </row>
    <row r="5919" spans="1:29" x14ac:dyDescent="0.25">
      <c r="A5919" s="22">
        <v>44270</v>
      </c>
      <c r="B5919" s="1"/>
      <c r="C5919" s="1"/>
      <c r="D5919" s="1">
        <v>10</v>
      </c>
      <c r="F5919" s="1">
        <v>4.0999999999999996</v>
      </c>
      <c r="G5919" s="1"/>
      <c r="H5919" s="1">
        <v>5</v>
      </c>
      <c r="I5919" s="1"/>
      <c r="J5919" s="1">
        <v>10.199999999999999</v>
      </c>
      <c r="K5919" s="1">
        <v>9</v>
      </c>
      <c r="L5919" s="1">
        <v>4.3180000000000005</v>
      </c>
      <c r="M5919" s="1"/>
      <c r="N5919" s="38">
        <v>0</v>
      </c>
      <c r="Q5919" s="1">
        <v>1.7</v>
      </c>
      <c r="R5919" s="1"/>
      <c r="S5919" s="1"/>
      <c r="T5919" s="1"/>
      <c r="U5919" s="1"/>
      <c r="X5919" s="1"/>
      <c r="Y5919" s="1"/>
      <c r="AC5919" s="38">
        <v>0</v>
      </c>
    </row>
    <row r="5920" spans="1:29" x14ac:dyDescent="0.25">
      <c r="A5920" s="22">
        <v>44271</v>
      </c>
      <c r="B5920" s="1"/>
      <c r="C5920" s="1"/>
      <c r="D5920" s="1">
        <v>3</v>
      </c>
      <c r="F5920" s="1">
        <v>0</v>
      </c>
      <c r="G5920" s="1"/>
      <c r="H5920" s="1">
        <v>0</v>
      </c>
      <c r="I5920" s="1"/>
      <c r="J5920" s="1">
        <v>0.4</v>
      </c>
      <c r="K5920" s="1">
        <v>1.2</v>
      </c>
      <c r="L5920" s="1">
        <v>1.016</v>
      </c>
      <c r="M5920" s="1"/>
      <c r="N5920" s="38">
        <v>12.799999999999997</v>
      </c>
      <c r="Q5920" s="1">
        <v>0.2</v>
      </c>
      <c r="R5920" s="1"/>
      <c r="S5920" s="1"/>
      <c r="T5920" s="1"/>
      <c r="U5920" s="1"/>
      <c r="X5920" s="1"/>
      <c r="Y5920" s="1"/>
      <c r="AC5920" s="38">
        <v>4</v>
      </c>
    </row>
    <row r="5921" spans="1:29" x14ac:dyDescent="0.25">
      <c r="A5921" s="22">
        <v>44272</v>
      </c>
      <c r="B5921" s="1"/>
      <c r="C5921" s="1"/>
      <c r="D5921" s="1">
        <v>3.4</v>
      </c>
      <c r="F5921" s="1">
        <v>13.2</v>
      </c>
      <c r="G5921" s="1"/>
      <c r="H5921" s="1">
        <v>17.7</v>
      </c>
      <c r="I5921" s="1"/>
      <c r="J5921" s="1">
        <v>44.7</v>
      </c>
      <c r="K5921" s="1">
        <v>14.6</v>
      </c>
      <c r="L5921" s="1">
        <v>0</v>
      </c>
      <c r="M5921" s="1"/>
      <c r="N5921" s="38">
        <v>7.0000000000000009</v>
      </c>
      <c r="Q5921" s="1">
        <v>0.2</v>
      </c>
      <c r="R5921" s="1"/>
      <c r="S5921" s="1"/>
      <c r="T5921" s="1"/>
      <c r="U5921" s="1"/>
      <c r="X5921" s="1"/>
      <c r="Y5921" s="1"/>
      <c r="AC5921" s="38">
        <v>2</v>
      </c>
    </row>
    <row r="5922" spans="1:29" x14ac:dyDescent="0.25">
      <c r="A5922" s="22">
        <v>44273</v>
      </c>
      <c r="B5922" s="1"/>
      <c r="C5922" s="1"/>
      <c r="D5922" s="1">
        <v>0</v>
      </c>
      <c r="F5922" s="1">
        <v>0</v>
      </c>
      <c r="G5922" s="1"/>
      <c r="H5922" s="1">
        <v>0</v>
      </c>
      <c r="I5922" s="1"/>
      <c r="J5922" s="1">
        <v>0.3</v>
      </c>
      <c r="K5922" s="1">
        <v>1.2</v>
      </c>
      <c r="L5922" s="1">
        <v>20.32</v>
      </c>
      <c r="M5922" s="1"/>
      <c r="N5922" s="38">
        <v>0.8</v>
      </c>
      <c r="Q5922" s="1">
        <v>2</v>
      </c>
      <c r="R5922" s="1"/>
      <c r="S5922" s="1"/>
      <c r="T5922" s="1"/>
      <c r="U5922" s="1"/>
      <c r="X5922" s="1"/>
      <c r="Y5922" s="1"/>
      <c r="AC5922" s="38">
        <v>0</v>
      </c>
    </row>
    <row r="5923" spans="1:29" x14ac:dyDescent="0.25">
      <c r="A5923" s="22">
        <v>44274</v>
      </c>
      <c r="B5923" s="1"/>
      <c r="C5923" s="1"/>
      <c r="D5923" s="1">
        <v>3.8</v>
      </c>
      <c r="F5923" s="1">
        <v>2.4</v>
      </c>
      <c r="G5923" s="1"/>
      <c r="H5923" s="1">
        <v>5.3</v>
      </c>
      <c r="I5923" s="1"/>
      <c r="J5923" s="1">
        <v>2</v>
      </c>
      <c r="K5923" s="1">
        <v>2</v>
      </c>
      <c r="L5923" s="1">
        <v>0</v>
      </c>
      <c r="M5923" s="1"/>
      <c r="N5923" s="38">
        <v>2.5999999999999996</v>
      </c>
      <c r="Q5923" s="1">
        <v>4</v>
      </c>
      <c r="R5923" s="1"/>
      <c r="S5923" s="1"/>
      <c r="T5923" s="1"/>
      <c r="U5923" s="1"/>
      <c r="X5923" s="1"/>
      <c r="Y5923" s="1"/>
      <c r="AC5923" s="38">
        <v>0</v>
      </c>
    </row>
    <row r="5924" spans="1:29" x14ac:dyDescent="0.25">
      <c r="A5924" s="22">
        <v>44275</v>
      </c>
      <c r="B5924" s="1"/>
      <c r="C5924" s="1"/>
      <c r="D5924" s="1">
        <v>2</v>
      </c>
      <c r="F5924" s="1">
        <v>0</v>
      </c>
      <c r="G5924" s="1"/>
      <c r="H5924" s="1">
        <v>0</v>
      </c>
      <c r="I5924" s="1"/>
      <c r="J5924" s="1">
        <v>0.2</v>
      </c>
      <c r="K5924" s="1">
        <v>1</v>
      </c>
      <c r="L5924" s="1">
        <v>2.794</v>
      </c>
      <c r="M5924" s="1"/>
      <c r="N5924" s="38">
        <v>0.4</v>
      </c>
      <c r="Q5924" s="1">
        <v>0</v>
      </c>
      <c r="R5924" s="1"/>
      <c r="S5924" s="1"/>
      <c r="T5924" s="1"/>
      <c r="U5924" s="1"/>
      <c r="X5924" s="1"/>
      <c r="Y5924" s="1"/>
      <c r="AC5924" s="38">
        <v>1</v>
      </c>
    </row>
    <row r="5925" spans="1:29" x14ac:dyDescent="0.25">
      <c r="A5925" s="22">
        <v>44276</v>
      </c>
      <c r="B5925" s="1"/>
      <c r="C5925" s="1"/>
      <c r="D5925" s="1">
        <v>0</v>
      </c>
      <c r="F5925" s="1">
        <v>2.2999999999999998</v>
      </c>
      <c r="G5925" s="1"/>
      <c r="H5925" s="1">
        <v>5.2</v>
      </c>
      <c r="I5925" s="1"/>
      <c r="J5925" s="1">
        <v>9.5</v>
      </c>
      <c r="K5925" s="1">
        <v>2</v>
      </c>
      <c r="L5925" s="1">
        <v>0</v>
      </c>
      <c r="M5925" s="1"/>
      <c r="N5925" s="38">
        <v>0.2</v>
      </c>
      <c r="Q5925" s="1">
        <v>0</v>
      </c>
      <c r="R5925" s="1"/>
      <c r="S5925" s="1"/>
      <c r="T5925" s="1"/>
      <c r="U5925" s="1"/>
      <c r="X5925" s="1"/>
      <c r="Y5925" s="1"/>
      <c r="AC5925" s="38">
        <v>0</v>
      </c>
    </row>
    <row r="5926" spans="1:29" x14ac:dyDescent="0.25">
      <c r="A5926" s="22">
        <v>44277</v>
      </c>
      <c r="B5926" s="1"/>
      <c r="C5926" s="1"/>
      <c r="D5926" s="1">
        <v>1.8</v>
      </c>
      <c r="F5926" s="1">
        <v>0</v>
      </c>
      <c r="G5926" s="1"/>
      <c r="H5926" s="1">
        <v>0.1</v>
      </c>
      <c r="I5926" s="1"/>
      <c r="J5926" s="1">
        <v>1</v>
      </c>
      <c r="K5926" s="1">
        <v>1</v>
      </c>
      <c r="L5926" s="1">
        <v>0</v>
      </c>
      <c r="M5926" s="1"/>
      <c r="N5926" s="38">
        <v>3.8000000000000003</v>
      </c>
      <c r="Q5926" s="1">
        <v>0</v>
      </c>
      <c r="R5926" s="1"/>
      <c r="S5926" s="1"/>
      <c r="T5926" s="1"/>
      <c r="U5926" s="1"/>
      <c r="X5926" s="1"/>
      <c r="Y5926" s="1"/>
      <c r="AC5926" s="38">
        <v>0</v>
      </c>
    </row>
    <row r="5927" spans="1:29" x14ac:dyDescent="0.25">
      <c r="A5927" s="22">
        <v>44278</v>
      </c>
      <c r="B5927" s="1"/>
      <c r="C5927" s="1"/>
      <c r="D5927" s="1">
        <v>12</v>
      </c>
      <c r="F5927" s="1">
        <v>1.2</v>
      </c>
      <c r="G5927" s="1"/>
      <c r="H5927" s="1">
        <v>2.1</v>
      </c>
      <c r="I5927" s="1"/>
      <c r="J5927" s="1">
        <v>8.4</v>
      </c>
      <c r="K5927" s="1">
        <v>6</v>
      </c>
      <c r="L5927" s="1">
        <v>0</v>
      </c>
      <c r="M5927" s="1"/>
      <c r="N5927" s="38">
        <v>1.2</v>
      </c>
      <c r="Q5927" s="1">
        <v>0</v>
      </c>
      <c r="R5927" s="1"/>
      <c r="S5927" s="1"/>
      <c r="T5927" s="1"/>
      <c r="U5927" s="1"/>
      <c r="X5927" s="1"/>
      <c r="Y5927" s="1"/>
      <c r="AC5927" s="38">
        <v>0</v>
      </c>
    </row>
    <row r="5928" spans="1:29" x14ac:dyDescent="0.25">
      <c r="A5928" s="22">
        <v>44279</v>
      </c>
      <c r="B5928" s="1"/>
      <c r="C5928" s="1"/>
      <c r="D5928" s="1">
        <v>0.4</v>
      </c>
      <c r="F5928" s="1">
        <v>0</v>
      </c>
      <c r="G5928" s="1"/>
      <c r="H5928" s="1">
        <v>0</v>
      </c>
      <c r="I5928" s="1"/>
      <c r="J5928" s="1">
        <v>1.6</v>
      </c>
      <c r="K5928" s="1">
        <v>1.2</v>
      </c>
      <c r="L5928" s="1">
        <v>0</v>
      </c>
      <c r="M5928" s="1"/>
      <c r="N5928" s="38">
        <v>0</v>
      </c>
      <c r="Q5928" s="1">
        <v>0</v>
      </c>
      <c r="R5928" s="1"/>
      <c r="S5928" s="1"/>
      <c r="T5928" s="1"/>
      <c r="U5928" s="1"/>
      <c r="X5928" s="1"/>
      <c r="Y5928" s="1"/>
      <c r="AC5928" s="38">
        <v>0</v>
      </c>
    </row>
    <row r="5929" spans="1:29" x14ac:dyDescent="0.25">
      <c r="A5929" s="22">
        <v>44280</v>
      </c>
      <c r="B5929" s="1"/>
      <c r="C5929" s="1"/>
      <c r="D5929" s="1">
        <v>6</v>
      </c>
      <c r="F5929" s="1">
        <v>0</v>
      </c>
      <c r="G5929" s="1"/>
      <c r="H5929" s="1">
        <v>0</v>
      </c>
      <c r="I5929" s="1"/>
      <c r="J5929" s="1">
        <v>3</v>
      </c>
      <c r="K5929" s="1">
        <v>1.8</v>
      </c>
      <c r="L5929" s="1">
        <v>0</v>
      </c>
      <c r="M5929" s="1"/>
      <c r="N5929" s="38">
        <v>6.8000000000000007</v>
      </c>
      <c r="Q5929" s="1">
        <v>2.2000000000000002</v>
      </c>
      <c r="R5929" s="1"/>
      <c r="S5929" s="1"/>
      <c r="T5929" s="1"/>
      <c r="U5929" s="1"/>
      <c r="X5929" s="1"/>
      <c r="Y5929" s="1"/>
      <c r="AC5929" s="38">
        <v>0</v>
      </c>
    </row>
    <row r="5930" spans="1:29" x14ac:dyDescent="0.25">
      <c r="A5930" s="22">
        <v>44281</v>
      </c>
      <c r="B5930" s="1"/>
      <c r="C5930" s="1"/>
      <c r="D5930" s="1">
        <v>10.5</v>
      </c>
      <c r="F5930" s="1">
        <v>0</v>
      </c>
      <c r="G5930" s="1"/>
      <c r="H5930" s="1">
        <v>0</v>
      </c>
      <c r="I5930" s="1"/>
      <c r="J5930" s="1">
        <v>7.9</v>
      </c>
      <c r="K5930" s="1">
        <v>4.5</v>
      </c>
      <c r="L5930" s="1">
        <v>0</v>
      </c>
      <c r="M5930" s="1"/>
      <c r="N5930" s="38">
        <v>1.2</v>
      </c>
      <c r="Q5930" s="1">
        <v>0</v>
      </c>
      <c r="R5930" s="1"/>
      <c r="S5930" s="1"/>
      <c r="T5930" s="1"/>
      <c r="U5930" s="1"/>
      <c r="X5930" s="1"/>
      <c r="Y5930" s="1"/>
      <c r="AC5930" s="38">
        <v>1</v>
      </c>
    </row>
    <row r="5931" spans="1:29" x14ac:dyDescent="0.25">
      <c r="A5931" s="22">
        <v>44282</v>
      </c>
      <c r="B5931" s="1"/>
      <c r="C5931" s="1"/>
      <c r="D5931" s="1">
        <v>1</v>
      </c>
      <c r="F5931" s="1">
        <v>2.2000000000000002</v>
      </c>
      <c r="G5931" s="1"/>
      <c r="H5931" s="1">
        <v>1.9</v>
      </c>
      <c r="I5931" s="1"/>
      <c r="J5931" s="1">
        <v>2.8</v>
      </c>
      <c r="K5931" s="1">
        <v>7</v>
      </c>
      <c r="L5931" s="1">
        <v>0</v>
      </c>
      <c r="M5931" s="1"/>
      <c r="N5931" s="38">
        <v>2.0000000000000004</v>
      </c>
      <c r="Q5931" s="1">
        <v>0</v>
      </c>
      <c r="R5931" s="1"/>
      <c r="S5931" s="1"/>
      <c r="T5931" s="1"/>
      <c r="U5931" s="1"/>
      <c r="X5931" s="1"/>
      <c r="Y5931" s="1"/>
      <c r="AC5931" s="38">
        <v>0</v>
      </c>
    </row>
    <row r="5932" spans="1:29" x14ac:dyDescent="0.25">
      <c r="A5932" s="22">
        <v>44283</v>
      </c>
      <c r="B5932" s="1"/>
      <c r="C5932" s="1"/>
      <c r="D5932" s="1">
        <v>1.8</v>
      </c>
      <c r="F5932" s="1">
        <v>0</v>
      </c>
      <c r="G5932" s="1"/>
      <c r="H5932" s="1">
        <v>0</v>
      </c>
      <c r="I5932" s="1"/>
      <c r="J5932" s="1">
        <v>1.5</v>
      </c>
      <c r="K5932" s="1">
        <v>1.5</v>
      </c>
      <c r="L5932" s="1">
        <v>0</v>
      </c>
      <c r="M5932" s="1"/>
      <c r="N5932" s="38">
        <v>4.4000000000000004</v>
      </c>
      <c r="Q5932" s="1">
        <v>7.6</v>
      </c>
      <c r="R5932" s="1"/>
      <c r="S5932" s="1"/>
      <c r="T5932" s="1"/>
      <c r="U5932" s="1"/>
      <c r="X5932" s="1"/>
      <c r="Y5932" s="1"/>
      <c r="AC5932" s="38">
        <v>6</v>
      </c>
    </row>
    <row r="5933" spans="1:29" x14ac:dyDescent="0.25">
      <c r="A5933" s="22">
        <v>44284</v>
      </c>
      <c r="B5933" s="1"/>
      <c r="C5933" s="1"/>
      <c r="D5933" s="1">
        <v>10</v>
      </c>
      <c r="F5933" s="1">
        <v>2</v>
      </c>
      <c r="G5933" s="1"/>
      <c r="H5933" s="1">
        <v>5</v>
      </c>
      <c r="I5933" s="1"/>
      <c r="J5933" s="1">
        <v>6.2</v>
      </c>
      <c r="K5933" s="1">
        <v>4.3</v>
      </c>
      <c r="L5933" s="1">
        <v>0</v>
      </c>
      <c r="M5933" s="1"/>
      <c r="N5933" s="38">
        <v>15.799999999999997</v>
      </c>
      <c r="Q5933" s="1">
        <v>3</v>
      </c>
      <c r="R5933" s="1"/>
      <c r="S5933" s="1"/>
      <c r="T5933" s="1"/>
      <c r="U5933" s="1"/>
      <c r="X5933" s="1"/>
      <c r="Y5933" s="1"/>
      <c r="AC5933" s="38">
        <v>5</v>
      </c>
    </row>
    <row r="5934" spans="1:29" x14ac:dyDescent="0.25">
      <c r="A5934" s="22">
        <v>44285</v>
      </c>
      <c r="B5934" s="1"/>
      <c r="C5934" s="1"/>
      <c r="D5934" s="1">
        <v>8.4</v>
      </c>
      <c r="F5934" s="1">
        <v>18.2</v>
      </c>
      <c r="G5934" s="1"/>
      <c r="H5934" s="1">
        <v>11.3</v>
      </c>
      <c r="I5934" s="1"/>
      <c r="J5934" s="1">
        <v>24.2</v>
      </c>
      <c r="K5934" s="1">
        <v>26.6</v>
      </c>
      <c r="L5934" s="1">
        <v>22.86</v>
      </c>
      <c r="M5934" s="1"/>
      <c r="N5934" s="38">
        <v>9.7999999999999972</v>
      </c>
      <c r="Q5934" s="1">
        <v>0.7</v>
      </c>
      <c r="R5934" s="1"/>
      <c r="S5934" s="1"/>
      <c r="T5934" s="1"/>
      <c r="U5934" s="1"/>
      <c r="X5934" s="1"/>
      <c r="Y5934" s="1"/>
      <c r="AC5934" s="38">
        <v>1</v>
      </c>
    </row>
    <row r="5935" spans="1:29" x14ac:dyDescent="0.25">
      <c r="A5935" s="22">
        <v>44286</v>
      </c>
      <c r="B5935" s="1"/>
      <c r="C5935" s="1"/>
      <c r="D5935" s="1">
        <v>3</v>
      </c>
      <c r="F5935" s="1">
        <v>29.2</v>
      </c>
      <c r="G5935" s="1"/>
      <c r="H5935" s="1">
        <v>14.9</v>
      </c>
      <c r="I5935" s="1"/>
      <c r="J5935" s="1">
        <v>10.199999999999999</v>
      </c>
      <c r="K5935" s="1">
        <v>4.2</v>
      </c>
      <c r="L5935" s="1">
        <v>2.2859999999999996</v>
      </c>
      <c r="M5935" s="1"/>
      <c r="N5935" s="38">
        <v>9.5999999999999979</v>
      </c>
      <c r="Q5935" s="1">
        <v>5.8</v>
      </c>
      <c r="R5935" s="1"/>
      <c r="S5935" s="1"/>
      <c r="T5935" s="1"/>
      <c r="U5935" s="1"/>
      <c r="X5935" s="1"/>
      <c r="Y5935" s="1"/>
      <c r="AC5935" s="38">
        <v>3</v>
      </c>
    </row>
    <row r="5936" spans="1:29" x14ac:dyDescent="0.25">
      <c r="A5936" s="22">
        <v>44287</v>
      </c>
      <c r="B5936" s="1">
        <v>3</v>
      </c>
      <c r="C5936" s="1"/>
      <c r="D5936" s="1">
        <v>8.4</v>
      </c>
      <c r="F5936" s="1">
        <v>6</v>
      </c>
      <c r="G5936" s="1">
        <v>10.8</v>
      </c>
      <c r="H5936" s="1">
        <v>9.1999999999999993</v>
      </c>
      <c r="I5936" s="1">
        <v>7.8</v>
      </c>
      <c r="J5936" s="1">
        <v>13.8</v>
      </c>
      <c r="K5936" s="1">
        <v>10.4</v>
      </c>
      <c r="L5936" s="1">
        <v>3.0479999999999996</v>
      </c>
      <c r="M5936" s="1">
        <v>11.6</v>
      </c>
      <c r="N5936" s="38">
        <v>1.7999999999999998</v>
      </c>
      <c r="P5936" s="38">
        <v>12.953999999999999</v>
      </c>
      <c r="Q5936" s="1">
        <v>0.5</v>
      </c>
      <c r="R5936" s="1">
        <v>0</v>
      </c>
      <c r="S5936" s="1"/>
      <c r="T5936" s="1"/>
      <c r="U5936" s="1">
        <v>5</v>
      </c>
      <c r="X5936" s="1"/>
      <c r="Y5936" s="1"/>
      <c r="AC5936" s="38">
        <v>1</v>
      </c>
    </row>
    <row r="5937" spans="1:29" x14ac:dyDescent="0.25">
      <c r="A5937" s="22">
        <v>44288</v>
      </c>
      <c r="B5937" s="1">
        <v>0</v>
      </c>
      <c r="C5937" s="1"/>
      <c r="D5937" s="1">
        <v>1.2</v>
      </c>
      <c r="F5937" s="1">
        <v>0</v>
      </c>
      <c r="G5937" s="1">
        <v>0.2</v>
      </c>
      <c r="H5937" s="1">
        <v>0</v>
      </c>
      <c r="I5937" s="1">
        <v>1</v>
      </c>
      <c r="J5937" s="1">
        <v>1.7</v>
      </c>
      <c r="K5937" s="1">
        <v>1.5</v>
      </c>
      <c r="L5937" s="1">
        <v>0</v>
      </c>
      <c r="M5937" s="1">
        <v>0</v>
      </c>
      <c r="N5937" s="38">
        <v>0</v>
      </c>
      <c r="P5937" s="38">
        <v>0</v>
      </c>
      <c r="Q5937" s="1">
        <v>0</v>
      </c>
      <c r="R5937" s="1">
        <v>0</v>
      </c>
      <c r="S5937" s="1"/>
      <c r="T5937" s="1"/>
      <c r="U5937" s="1">
        <v>0</v>
      </c>
      <c r="X5937" s="1"/>
      <c r="Y5937" s="1"/>
      <c r="AC5937" s="38">
        <v>0</v>
      </c>
    </row>
    <row r="5938" spans="1:29" x14ac:dyDescent="0.25">
      <c r="A5938" s="22">
        <v>44289</v>
      </c>
      <c r="B5938" s="1">
        <v>0</v>
      </c>
      <c r="C5938" s="1"/>
      <c r="D5938" s="1">
        <v>1</v>
      </c>
      <c r="F5938" s="1">
        <v>0.2</v>
      </c>
      <c r="G5938" s="1">
        <v>0</v>
      </c>
      <c r="H5938" s="1">
        <v>0</v>
      </c>
      <c r="I5938" s="1">
        <v>0.2</v>
      </c>
      <c r="J5938" s="1">
        <v>0</v>
      </c>
      <c r="K5938" s="1">
        <v>0</v>
      </c>
      <c r="L5938" s="1">
        <v>0</v>
      </c>
      <c r="M5938" s="1">
        <v>0.2</v>
      </c>
      <c r="N5938" s="38">
        <v>1.4</v>
      </c>
      <c r="P5938" s="38">
        <v>0</v>
      </c>
      <c r="Q5938" s="1">
        <v>0</v>
      </c>
      <c r="R5938" s="1">
        <v>0</v>
      </c>
      <c r="S5938" s="1"/>
      <c r="T5938" s="1"/>
      <c r="U5938" s="1">
        <v>1</v>
      </c>
      <c r="X5938" s="1"/>
      <c r="Y5938" s="1"/>
      <c r="AC5938" s="38">
        <v>0</v>
      </c>
    </row>
    <row r="5939" spans="1:29" x14ac:dyDescent="0.25">
      <c r="A5939" s="22">
        <v>44290</v>
      </c>
      <c r="B5939" s="1">
        <v>0</v>
      </c>
      <c r="C5939" s="1"/>
      <c r="D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1</v>
      </c>
      <c r="K5939" s="1">
        <v>0</v>
      </c>
      <c r="L5939" s="1">
        <v>0</v>
      </c>
      <c r="M5939" s="1">
        <v>0.2</v>
      </c>
      <c r="N5939" s="38">
        <v>0</v>
      </c>
      <c r="P5939" s="38">
        <v>0</v>
      </c>
      <c r="Q5939" s="1">
        <v>0</v>
      </c>
      <c r="R5939" s="1">
        <v>0</v>
      </c>
      <c r="S5939" s="1"/>
      <c r="T5939" s="1"/>
      <c r="U5939" s="1">
        <v>0</v>
      </c>
      <c r="X5939" s="1"/>
      <c r="Y5939" s="1"/>
      <c r="AC5939" s="38">
        <v>0</v>
      </c>
    </row>
    <row r="5940" spans="1:29" x14ac:dyDescent="0.25">
      <c r="A5940" s="22">
        <v>44291</v>
      </c>
      <c r="B5940" s="1">
        <v>0</v>
      </c>
      <c r="C5940" s="1"/>
      <c r="D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38">
        <v>0</v>
      </c>
      <c r="P5940" s="38">
        <v>0</v>
      </c>
      <c r="Q5940" s="1">
        <v>0</v>
      </c>
      <c r="R5940" s="1">
        <v>0</v>
      </c>
      <c r="S5940" s="1"/>
      <c r="T5940" s="1"/>
      <c r="U5940" s="1">
        <v>0</v>
      </c>
      <c r="X5940" s="1"/>
      <c r="Y5940" s="1"/>
      <c r="AC5940" s="38">
        <v>0</v>
      </c>
    </row>
    <row r="5941" spans="1:29" x14ac:dyDescent="0.25">
      <c r="A5941" s="22">
        <v>44292</v>
      </c>
      <c r="B5941" s="1">
        <v>0</v>
      </c>
      <c r="C5941" s="1"/>
      <c r="D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38">
        <v>0</v>
      </c>
      <c r="P5941" s="38">
        <v>0</v>
      </c>
      <c r="Q5941" s="1">
        <v>0</v>
      </c>
      <c r="R5941" s="1">
        <v>0</v>
      </c>
      <c r="S5941" s="1"/>
      <c r="T5941" s="1"/>
      <c r="U5941" s="1">
        <v>0</v>
      </c>
      <c r="X5941" s="1"/>
      <c r="Y5941" s="1"/>
      <c r="AC5941" s="38">
        <v>0</v>
      </c>
    </row>
    <row r="5942" spans="1:29" x14ac:dyDescent="0.25">
      <c r="A5942" s="22">
        <v>44293</v>
      </c>
      <c r="B5942" s="1">
        <v>0</v>
      </c>
      <c r="C5942" s="1"/>
      <c r="D5942" s="1">
        <v>0</v>
      </c>
      <c r="F5942" s="1">
        <v>0</v>
      </c>
      <c r="G5942" s="1">
        <v>0</v>
      </c>
      <c r="H5942" s="1">
        <v>0</v>
      </c>
      <c r="I5942" s="1">
        <v>0.9</v>
      </c>
      <c r="J5942" s="1">
        <v>0</v>
      </c>
      <c r="K5942" s="1">
        <v>1</v>
      </c>
      <c r="L5942" s="1">
        <v>0</v>
      </c>
      <c r="M5942" s="1">
        <v>0</v>
      </c>
      <c r="N5942" s="38">
        <v>11.599999999999998</v>
      </c>
      <c r="P5942" s="38">
        <v>0</v>
      </c>
      <c r="Q5942" s="1">
        <v>7.3</v>
      </c>
      <c r="R5942" s="1">
        <v>0</v>
      </c>
      <c r="S5942" s="1"/>
      <c r="T5942" s="1"/>
      <c r="U5942" s="1">
        <v>1</v>
      </c>
      <c r="X5942" s="1"/>
      <c r="Y5942" s="1"/>
      <c r="AC5942" s="38">
        <v>1</v>
      </c>
    </row>
    <row r="5943" spans="1:29" x14ac:dyDescent="0.25">
      <c r="A5943" s="22">
        <v>44294</v>
      </c>
      <c r="B5943" s="1">
        <v>0</v>
      </c>
      <c r="C5943" s="1"/>
      <c r="D5943" s="1">
        <v>2.4</v>
      </c>
      <c r="F5943" s="1">
        <v>4</v>
      </c>
      <c r="G5943" s="1">
        <v>12.2</v>
      </c>
      <c r="H5943" s="1">
        <v>7.2</v>
      </c>
      <c r="I5943" s="1">
        <v>6.4</v>
      </c>
      <c r="J5943" s="1">
        <v>5.5</v>
      </c>
      <c r="K5943" s="1">
        <v>6.6</v>
      </c>
      <c r="L5943" s="1">
        <v>7.8739999999999997</v>
      </c>
      <c r="M5943" s="1">
        <v>10.1</v>
      </c>
      <c r="N5943" s="38">
        <v>0</v>
      </c>
      <c r="P5943" s="38">
        <v>4.0640000000000001</v>
      </c>
      <c r="Q5943" s="1">
        <v>0</v>
      </c>
      <c r="R5943" s="1">
        <v>30.479999999999997</v>
      </c>
      <c r="S5943" s="1"/>
      <c r="T5943" s="1"/>
      <c r="U5943" s="1">
        <v>5</v>
      </c>
      <c r="X5943" s="1"/>
      <c r="Y5943" s="1"/>
      <c r="AC5943" s="38">
        <v>0</v>
      </c>
    </row>
    <row r="5944" spans="1:29" x14ac:dyDescent="0.25">
      <c r="A5944" s="22">
        <v>44295</v>
      </c>
      <c r="B5944" s="1">
        <v>0</v>
      </c>
      <c r="C5944" s="1"/>
      <c r="D5944" s="1">
        <v>0</v>
      </c>
      <c r="F5944" s="1">
        <v>0</v>
      </c>
      <c r="G5944" s="1">
        <v>0</v>
      </c>
      <c r="H5944" s="1">
        <v>0</v>
      </c>
      <c r="I5944" s="1">
        <v>0.1</v>
      </c>
      <c r="J5944" s="1">
        <v>0</v>
      </c>
      <c r="K5944" s="1">
        <v>1</v>
      </c>
      <c r="L5944" s="1">
        <v>0</v>
      </c>
      <c r="M5944" s="1">
        <v>0.2</v>
      </c>
      <c r="N5944" s="38">
        <v>0.4</v>
      </c>
      <c r="P5944" s="38">
        <v>0</v>
      </c>
      <c r="Q5944" s="1">
        <v>0</v>
      </c>
      <c r="R5944" s="1">
        <v>0</v>
      </c>
      <c r="S5944" s="1"/>
      <c r="T5944" s="1"/>
      <c r="U5944" s="1">
        <v>1</v>
      </c>
      <c r="X5944" s="1"/>
      <c r="Y5944" s="1"/>
      <c r="AC5944" s="38">
        <v>0</v>
      </c>
    </row>
    <row r="5945" spans="1:29" x14ac:dyDescent="0.25">
      <c r="A5945" s="22">
        <v>44296</v>
      </c>
      <c r="B5945" s="1">
        <v>0</v>
      </c>
      <c r="C5945" s="1"/>
      <c r="D5945" s="1">
        <v>0</v>
      </c>
      <c r="F5945" s="1">
        <v>0.2</v>
      </c>
      <c r="G5945" s="1">
        <v>6.2</v>
      </c>
      <c r="H5945" s="1">
        <v>0</v>
      </c>
      <c r="I5945" s="1">
        <v>2</v>
      </c>
      <c r="J5945" s="1">
        <v>2.1</v>
      </c>
      <c r="K5945" s="1">
        <v>4</v>
      </c>
      <c r="L5945" s="1">
        <v>0</v>
      </c>
      <c r="M5945" s="1">
        <v>4.5999999999999996</v>
      </c>
      <c r="N5945" s="38">
        <v>3.6000000000000005</v>
      </c>
      <c r="P5945" s="38">
        <v>0</v>
      </c>
      <c r="Q5945" s="1">
        <v>0</v>
      </c>
      <c r="R5945" s="1">
        <v>0</v>
      </c>
      <c r="S5945" s="1"/>
      <c r="T5945" s="1"/>
      <c r="U5945" s="1">
        <v>1</v>
      </c>
      <c r="X5945" s="1"/>
      <c r="Y5945" s="1"/>
      <c r="AC5945" s="38">
        <v>0</v>
      </c>
    </row>
    <row r="5946" spans="1:29" x14ac:dyDescent="0.25">
      <c r="A5946" s="22">
        <v>44297</v>
      </c>
      <c r="B5946" s="1">
        <v>0</v>
      </c>
      <c r="C5946" s="1"/>
      <c r="D5946" s="1">
        <v>4</v>
      </c>
      <c r="F5946" s="1">
        <v>1</v>
      </c>
      <c r="G5946" s="1">
        <v>0.2</v>
      </c>
      <c r="H5946" s="1">
        <v>0</v>
      </c>
      <c r="I5946" s="1">
        <v>0.2</v>
      </c>
      <c r="J5946" s="1">
        <v>1.8</v>
      </c>
      <c r="K5946" s="1">
        <v>0</v>
      </c>
      <c r="L5946" s="1">
        <v>0</v>
      </c>
      <c r="M5946" s="1">
        <v>4.2</v>
      </c>
      <c r="N5946" s="38">
        <v>3.4000000000000004</v>
      </c>
      <c r="P5946" s="38">
        <v>0</v>
      </c>
      <c r="Q5946" s="1">
        <v>0.5</v>
      </c>
      <c r="R5946" s="1">
        <v>0</v>
      </c>
      <c r="S5946" s="1"/>
      <c r="T5946" s="1"/>
      <c r="U5946" s="1">
        <v>1</v>
      </c>
      <c r="X5946" s="1"/>
      <c r="Y5946" s="1"/>
      <c r="AC5946" s="38">
        <v>0</v>
      </c>
    </row>
    <row r="5947" spans="1:29" x14ac:dyDescent="0.25">
      <c r="A5947" s="22">
        <v>44298</v>
      </c>
      <c r="B5947" s="1">
        <v>10</v>
      </c>
      <c r="C5947" s="1"/>
      <c r="D5947" s="1">
        <v>0</v>
      </c>
      <c r="F5947" s="1">
        <v>0</v>
      </c>
      <c r="G5947" s="1">
        <v>0</v>
      </c>
      <c r="H5947" s="1">
        <v>0</v>
      </c>
      <c r="I5947" s="1">
        <v>0.1</v>
      </c>
      <c r="J5947" s="1">
        <v>1.8</v>
      </c>
      <c r="K5947" s="1">
        <v>1.2</v>
      </c>
      <c r="L5947" s="1">
        <v>7.3659999999999988</v>
      </c>
      <c r="M5947" s="1">
        <v>0</v>
      </c>
      <c r="N5947" s="38">
        <v>0.60000000000000009</v>
      </c>
      <c r="P5947" s="38">
        <v>0</v>
      </c>
      <c r="Q5947" s="1">
        <v>12.1</v>
      </c>
      <c r="R5947" s="1">
        <v>0</v>
      </c>
      <c r="S5947" s="1"/>
      <c r="T5947" s="1"/>
      <c r="U5947" s="1">
        <v>0</v>
      </c>
      <c r="X5947" s="1"/>
      <c r="Y5947" s="1"/>
      <c r="AC5947" s="38">
        <v>0</v>
      </c>
    </row>
    <row r="5948" spans="1:29" x14ac:dyDescent="0.25">
      <c r="A5948" s="22">
        <v>44299</v>
      </c>
      <c r="B5948" s="1">
        <v>0</v>
      </c>
      <c r="C5948" s="1"/>
      <c r="D5948" s="1">
        <v>1.2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1.1000000000000001</v>
      </c>
      <c r="L5948" s="1">
        <v>0</v>
      </c>
      <c r="M5948" s="1">
        <v>0.2</v>
      </c>
      <c r="N5948" s="38">
        <v>0.4</v>
      </c>
      <c r="P5948" s="38">
        <v>0</v>
      </c>
      <c r="Q5948" s="1">
        <v>0</v>
      </c>
      <c r="R5948" s="1">
        <v>0</v>
      </c>
      <c r="S5948" s="1"/>
      <c r="T5948" s="1"/>
      <c r="U5948" s="1">
        <v>1</v>
      </c>
      <c r="X5948" s="1"/>
      <c r="Y5948" s="1"/>
      <c r="AC5948" s="38">
        <v>0</v>
      </c>
    </row>
    <row r="5949" spans="1:29" x14ac:dyDescent="0.25">
      <c r="A5949" s="22">
        <v>44300</v>
      </c>
      <c r="B5949" s="1">
        <v>1.5</v>
      </c>
      <c r="C5949" s="1"/>
      <c r="D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38">
        <v>0</v>
      </c>
      <c r="P5949" s="38">
        <v>0</v>
      </c>
      <c r="Q5949" s="1">
        <v>0</v>
      </c>
      <c r="R5949" s="1">
        <v>0</v>
      </c>
      <c r="S5949" s="1"/>
      <c r="T5949" s="1"/>
      <c r="U5949" s="1">
        <v>0</v>
      </c>
      <c r="X5949" s="1"/>
      <c r="Y5949" s="1"/>
      <c r="AC5949" s="38">
        <v>0</v>
      </c>
    </row>
    <row r="5950" spans="1:29" x14ac:dyDescent="0.25">
      <c r="A5950" s="22">
        <v>44301</v>
      </c>
      <c r="B5950" s="1">
        <v>0</v>
      </c>
      <c r="C5950" s="1"/>
      <c r="D5950" s="1">
        <v>0</v>
      </c>
      <c r="F5950" s="1">
        <v>0</v>
      </c>
      <c r="G5950" s="1">
        <v>0</v>
      </c>
      <c r="H5950" s="1">
        <v>3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  <c r="N5950" s="38">
        <v>0</v>
      </c>
      <c r="P5950" s="38">
        <v>0</v>
      </c>
      <c r="Q5950" s="1">
        <v>0.5</v>
      </c>
      <c r="R5950" s="1">
        <v>0</v>
      </c>
      <c r="S5950" s="1"/>
      <c r="T5950" s="1"/>
      <c r="U5950" s="1">
        <v>0</v>
      </c>
      <c r="X5950" s="1"/>
      <c r="Y5950" s="1"/>
      <c r="AC5950" s="38">
        <v>0</v>
      </c>
    </row>
    <row r="5951" spans="1:29" x14ac:dyDescent="0.25">
      <c r="A5951" s="22">
        <v>44302</v>
      </c>
      <c r="B5951" s="1">
        <v>0</v>
      </c>
      <c r="C5951" s="1"/>
      <c r="D5951" s="1">
        <v>1</v>
      </c>
      <c r="F5951" s="1">
        <v>4</v>
      </c>
      <c r="G5951" s="1">
        <v>2.6</v>
      </c>
      <c r="H5951" s="1">
        <v>0</v>
      </c>
      <c r="I5951" s="1">
        <v>2</v>
      </c>
      <c r="J5951" s="1">
        <v>1.8</v>
      </c>
      <c r="K5951" s="1">
        <v>1.4</v>
      </c>
      <c r="L5951" s="1">
        <v>0</v>
      </c>
      <c r="M5951" s="1">
        <v>3.6</v>
      </c>
      <c r="N5951" s="38">
        <v>1.9999999999999998</v>
      </c>
      <c r="P5951" s="38">
        <v>0</v>
      </c>
      <c r="Q5951" s="1">
        <v>0</v>
      </c>
      <c r="R5951" s="1">
        <v>0</v>
      </c>
      <c r="S5951" s="1"/>
      <c r="T5951" s="1"/>
      <c r="U5951" s="1">
        <v>0</v>
      </c>
      <c r="X5951" s="1"/>
      <c r="Y5951" s="1"/>
      <c r="AC5951" s="38">
        <v>0</v>
      </c>
    </row>
    <row r="5952" spans="1:29" x14ac:dyDescent="0.25">
      <c r="A5952" s="22">
        <v>44303</v>
      </c>
      <c r="B5952" s="1">
        <v>0</v>
      </c>
      <c r="C5952" s="1"/>
      <c r="D5952" s="1">
        <v>0</v>
      </c>
      <c r="F5952" s="1">
        <v>0</v>
      </c>
      <c r="G5952" s="1">
        <v>0.3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0.4</v>
      </c>
      <c r="N5952" s="38">
        <v>0</v>
      </c>
      <c r="P5952" s="38">
        <v>26.669999999999998</v>
      </c>
      <c r="Q5952" s="1">
        <v>0</v>
      </c>
      <c r="R5952" s="1">
        <v>0</v>
      </c>
      <c r="S5952" s="1"/>
      <c r="T5952" s="1"/>
      <c r="U5952" s="1">
        <v>0</v>
      </c>
      <c r="X5952" s="1"/>
      <c r="Y5952" s="1"/>
      <c r="AC5952" s="38">
        <v>0</v>
      </c>
    </row>
    <row r="5953" spans="1:29" x14ac:dyDescent="0.25">
      <c r="A5953" s="22">
        <v>44304</v>
      </c>
      <c r="B5953" s="1">
        <v>0</v>
      </c>
      <c r="C5953" s="1"/>
      <c r="D5953" s="1">
        <v>0</v>
      </c>
      <c r="F5953" s="1">
        <v>0</v>
      </c>
      <c r="G5953" s="1">
        <v>0</v>
      </c>
      <c r="H5953" s="1">
        <v>0</v>
      </c>
      <c r="I5953" s="1">
        <v>0.2</v>
      </c>
      <c r="J5953" s="1">
        <v>1</v>
      </c>
      <c r="K5953" s="1">
        <v>0.25</v>
      </c>
      <c r="L5953" s="1">
        <v>0</v>
      </c>
      <c r="M5953" s="1">
        <v>0.2</v>
      </c>
      <c r="N5953" s="38">
        <v>0</v>
      </c>
      <c r="P5953" s="38">
        <v>0</v>
      </c>
      <c r="Q5953" s="1">
        <v>0</v>
      </c>
      <c r="R5953" s="1">
        <v>0</v>
      </c>
      <c r="S5953" s="1"/>
      <c r="T5953" s="1"/>
      <c r="U5953" s="1">
        <v>0</v>
      </c>
      <c r="X5953" s="1"/>
      <c r="Y5953" s="1"/>
      <c r="AC5953" s="38">
        <v>0</v>
      </c>
    </row>
    <row r="5954" spans="1:29" x14ac:dyDescent="0.25">
      <c r="A5954" s="22">
        <v>44305</v>
      </c>
      <c r="B5954" s="1">
        <v>0</v>
      </c>
      <c r="C5954" s="1"/>
      <c r="D5954" s="1">
        <v>0</v>
      </c>
      <c r="F5954" s="1">
        <v>0</v>
      </c>
      <c r="G5954" s="1">
        <v>0</v>
      </c>
      <c r="H5954" s="1">
        <v>0</v>
      </c>
      <c r="I5954" s="1">
        <v>0.1</v>
      </c>
      <c r="J5954" s="1">
        <v>1</v>
      </c>
      <c r="K5954" s="1">
        <v>1</v>
      </c>
      <c r="L5954" s="1">
        <v>0</v>
      </c>
      <c r="M5954" s="1">
        <v>0</v>
      </c>
      <c r="N5954" s="38">
        <v>0.2</v>
      </c>
      <c r="P5954" s="38">
        <v>0</v>
      </c>
      <c r="Q5954" s="1">
        <v>0.5</v>
      </c>
      <c r="R5954" s="1">
        <v>0</v>
      </c>
      <c r="S5954" s="1"/>
      <c r="T5954" s="1"/>
      <c r="U5954" s="1">
        <v>1</v>
      </c>
      <c r="X5954" s="1"/>
      <c r="Y5954" s="1"/>
      <c r="AC5954" s="38">
        <v>0</v>
      </c>
    </row>
    <row r="5955" spans="1:29" x14ac:dyDescent="0.25">
      <c r="A5955" s="22">
        <v>44306</v>
      </c>
      <c r="B5955" s="1">
        <v>0</v>
      </c>
      <c r="C5955" s="1"/>
      <c r="D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0.7619999999999999</v>
      </c>
      <c r="M5955" s="1">
        <v>0</v>
      </c>
      <c r="N5955" s="38">
        <v>0</v>
      </c>
      <c r="P5955" s="38">
        <v>0</v>
      </c>
      <c r="Q5955" s="1">
        <v>7.7</v>
      </c>
      <c r="R5955" s="1">
        <v>0</v>
      </c>
      <c r="S5955" s="1"/>
      <c r="T5955" s="1"/>
      <c r="U5955" s="1">
        <v>0</v>
      </c>
      <c r="X5955" s="1"/>
      <c r="Y5955" s="1"/>
      <c r="AC5955" s="38">
        <v>0</v>
      </c>
    </row>
    <row r="5956" spans="1:29" x14ac:dyDescent="0.25">
      <c r="A5956" s="22">
        <v>44307</v>
      </c>
      <c r="B5956" s="1">
        <v>0</v>
      </c>
      <c r="C5956" s="1"/>
      <c r="D5956" s="1">
        <v>0</v>
      </c>
      <c r="F5956" s="1">
        <v>0</v>
      </c>
      <c r="G5956" s="1">
        <v>0</v>
      </c>
      <c r="H5956" s="1">
        <v>6.2</v>
      </c>
      <c r="I5956" s="1">
        <v>0.1</v>
      </c>
      <c r="J5956" s="1">
        <v>0</v>
      </c>
      <c r="K5956" s="1">
        <v>1.2</v>
      </c>
      <c r="L5956" s="1">
        <v>0</v>
      </c>
      <c r="M5956" s="1">
        <v>0</v>
      </c>
      <c r="N5956" s="38">
        <v>0</v>
      </c>
      <c r="P5956" s="38">
        <v>0</v>
      </c>
      <c r="Q5956" s="1">
        <v>16.2</v>
      </c>
      <c r="R5956" s="1">
        <v>8.1280000000000001</v>
      </c>
      <c r="S5956" s="1"/>
      <c r="T5956" s="1"/>
      <c r="U5956" s="1">
        <v>0</v>
      </c>
      <c r="X5956" s="1"/>
      <c r="Y5956" s="1"/>
      <c r="AC5956" s="38">
        <v>0</v>
      </c>
    </row>
    <row r="5957" spans="1:29" x14ac:dyDescent="0.25">
      <c r="A5957" s="22">
        <v>44308</v>
      </c>
      <c r="B5957" s="1">
        <v>10</v>
      </c>
      <c r="C5957" s="1"/>
      <c r="D5957" s="1">
        <v>16</v>
      </c>
      <c r="F5957" s="1">
        <v>2</v>
      </c>
      <c r="G5957" s="38">
        <v>8.1999999999999993</v>
      </c>
      <c r="H5957" s="1">
        <v>0</v>
      </c>
      <c r="I5957" s="1">
        <v>1.1000000000000001</v>
      </c>
      <c r="J5957" s="1">
        <v>16</v>
      </c>
      <c r="K5957" s="1">
        <v>14.6</v>
      </c>
      <c r="L5957" s="1">
        <v>0</v>
      </c>
      <c r="M5957" s="1">
        <v>6.6</v>
      </c>
      <c r="N5957" s="38">
        <v>5.8</v>
      </c>
      <c r="P5957" s="38">
        <v>1.5239999999999998</v>
      </c>
      <c r="Q5957" s="1">
        <v>0</v>
      </c>
      <c r="R5957" s="1">
        <v>0</v>
      </c>
      <c r="S5957" s="1"/>
      <c r="T5957" s="1"/>
      <c r="U5957" s="1">
        <v>11</v>
      </c>
      <c r="X5957" s="1"/>
      <c r="Y5957" s="1"/>
      <c r="AC5957" s="38">
        <v>2</v>
      </c>
    </row>
    <row r="5958" spans="1:29" x14ac:dyDescent="0.25">
      <c r="A5958" s="22">
        <v>44309</v>
      </c>
      <c r="B5958" s="1">
        <v>0</v>
      </c>
      <c r="C5958" s="1"/>
      <c r="D5958" s="1">
        <v>2</v>
      </c>
      <c r="F5958" s="1">
        <v>0</v>
      </c>
      <c r="G5958" s="38">
        <v>0</v>
      </c>
      <c r="H5958" s="1">
        <v>0</v>
      </c>
      <c r="I5958" s="1">
        <v>0</v>
      </c>
      <c r="J5958" s="1">
        <v>0</v>
      </c>
      <c r="K5958" s="1">
        <v>0.25</v>
      </c>
      <c r="L5958" s="1">
        <v>7.1120000000000001</v>
      </c>
      <c r="M5958" s="1">
        <v>0</v>
      </c>
      <c r="N5958" s="38">
        <v>0</v>
      </c>
      <c r="P5958" s="38">
        <v>0</v>
      </c>
      <c r="Q5958" s="1">
        <v>0</v>
      </c>
      <c r="R5958" s="1">
        <v>0</v>
      </c>
      <c r="S5958" s="1"/>
      <c r="T5958" s="1"/>
      <c r="U5958" s="1">
        <v>1</v>
      </c>
      <c r="X5958" s="1"/>
      <c r="Y5958" s="1"/>
      <c r="AC5958" s="38">
        <v>0</v>
      </c>
    </row>
    <row r="5959" spans="1:29" x14ac:dyDescent="0.25">
      <c r="A5959" s="22">
        <v>44310</v>
      </c>
      <c r="B5959" s="1">
        <v>0</v>
      </c>
      <c r="C5959" s="1"/>
      <c r="D5959" s="1">
        <v>1</v>
      </c>
      <c r="F5959" s="1">
        <v>0</v>
      </c>
      <c r="G5959" s="38">
        <v>0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38">
        <v>0</v>
      </c>
      <c r="P5959" s="38">
        <v>0</v>
      </c>
      <c r="Q5959" s="1">
        <v>0</v>
      </c>
      <c r="R5959" s="1">
        <v>0</v>
      </c>
      <c r="S5959" s="1"/>
      <c r="T5959" s="1"/>
      <c r="U5959" s="1">
        <v>0</v>
      </c>
      <c r="X5959" s="1"/>
      <c r="Y5959" s="1"/>
      <c r="AC5959" s="38">
        <v>0</v>
      </c>
    </row>
    <row r="5960" spans="1:29" x14ac:dyDescent="0.25">
      <c r="A5960" s="22">
        <v>44311</v>
      </c>
      <c r="B5960" s="1">
        <v>0</v>
      </c>
      <c r="C5960" s="1"/>
      <c r="D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38">
        <v>0</v>
      </c>
      <c r="P5960" s="38">
        <v>0</v>
      </c>
      <c r="Q5960" s="1">
        <v>0</v>
      </c>
      <c r="R5960" s="1">
        <v>0</v>
      </c>
      <c r="S5960" s="1"/>
      <c r="T5960" s="1"/>
      <c r="U5960" s="1">
        <v>1</v>
      </c>
      <c r="X5960" s="1"/>
      <c r="Y5960" s="1"/>
      <c r="AC5960" s="38">
        <v>0</v>
      </c>
    </row>
    <row r="5961" spans="1:29" x14ac:dyDescent="0.25">
      <c r="A5961" s="22">
        <v>44312</v>
      </c>
      <c r="B5961" s="1">
        <v>0</v>
      </c>
      <c r="C5961" s="1"/>
      <c r="D5961" s="1">
        <v>1</v>
      </c>
      <c r="F5961" s="1">
        <v>0</v>
      </c>
      <c r="G5961" s="38">
        <v>0</v>
      </c>
      <c r="H5961" s="1">
        <v>8</v>
      </c>
      <c r="I5961" s="1">
        <v>0</v>
      </c>
      <c r="J5961" s="1">
        <v>4</v>
      </c>
      <c r="K5961" s="1">
        <v>0.25</v>
      </c>
      <c r="L5961" s="1">
        <v>0</v>
      </c>
      <c r="M5961" s="1">
        <v>0</v>
      </c>
      <c r="N5961" s="38">
        <v>10.399999999999999</v>
      </c>
      <c r="P5961" s="38">
        <v>0</v>
      </c>
      <c r="Q5961" s="1">
        <v>4</v>
      </c>
      <c r="R5961" s="1">
        <v>0</v>
      </c>
      <c r="S5961" s="1"/>
      <c r="T5961" s="1"/>
      <c r="U5961" s="1">
        <v>51</v>
      </c>
      <c r="X5961" s="1"/>
      <c r="Y5961" s="1"/>
      <c r="AC5961" s="38">
        <v>0</v>
      </c>
    </row>
    <row r="5962" spans="1:29" x14ac:dyDescent="0.25">
      <c r="A5962" s="22">
        <v>44313</v>
      </c>
      <c r="B5962" s="1">
        <v>7</v>
      </c>
      <c r="C5962" s="1"/>
      <c r="D5962" s="1">
        <v>61.2</v>
      </c>
      <c r="F5962" s="1">
        <v>6.3</v>
      </c>
      <c r="G5962" s="1">
        <v>34.299999999999997</v>
      </c>
      <c r="H5962" s="1">
        <v>0</v>
      </c>
      <c r="I5962" s="1">
        <v>22.8</v>
      </c>
      <c r="J5962" s="1">
        <v>42</v>
      </c>
      <c r="K5962" s="1">
        <v>48.5</v>
      </c>
      <c r="L5962" s="1">
        <v>0</v>
      </c>
      <c r="M5962" s="1">
        <v>26.4</v>
      </c>
      <c r="N5962" s="38">
        <v>38.800000000000004</v>
      </c>
      <c r="P5962" s="38">
        <v>0</v>
      </c>
      <c r="Q5962" s="1">
        <v>0</v>
      </c>
      <c r="R5962" s="1">
        <v>7.6199999999999992</v>
      </c>
      <c r="S5962" s="1"/>
      <c r="T5962" s="1"/>
      <c r="U5962" s="1">
        <v>1</v>
      </c>
      <c r="X5962" s="1"/>
      <c r="Y5962" s="1"/>
      <c r="AC5962" s="38">
        <v>10</v>
      </c>
    </row>
    <row r="5963" spans="1:29" x14ac:dyDescent="0.25">
      <c r="A5963" s="22">
        <v>44314</v>
      </c>
      <c r="B5963" s="1">
        <v>0</v>
      </c>
      <c r="C5963" s="1"/>
      <c r="D5963" s="1">
        <v>5</v>
      </c>
      <c r="F5963" s="1">
        <v>0</v>
      </c>
      <c r="G5963" s="1">
        <v>3.4</v>
      </c>
      <c r="H5963" s="1">
        <v>21.2</v>
      </c>
      <c r="I5963" s="1">
        <v>3.6</v>
      </c>
      <c r="J5963" s="1">
        <v>42.6</v>
      </c>
      <c r="K5963" s="1">
        <v>38.4</v>
      </c>
      <c r="L5963" s="1">
        <v>0</v>
      </c>
      <c r="M5963" s="1">
        <v>3.7</v>
      </c>
      <c r="N5963" s="38">
        <v>7.8</v>
      </c>
      <c r="P5963" s="38">
        <v>0.7619999999999999</v>
      </c>
      <c r="Q5963" s="1">
        <v>101.6</v>
      </c>
      <c r="R5963" s="1">
        <v>189.23</v>
      </c>
      <c r="S5963" s="1"/>
      <c r="T5963" s="1"/>
      <c r="U5963" s="1">
        <v>154</v>
      </c>
      <c r="X5963" s="1"/>
      <c r="Y5963" s="1"/>
      <c r="AC5963" s="38">
        <v>0</v>
      </c>
    </row>
    <row r="5964" spans="1:29" x14ac:dyDescent="0.25">
      <c r="A5964" s="22">
        <v>44315</v>
      </c>
      <c r="B5964" s="1">
        <v>121</v>
      </c>
      <c r="C5964" s="1"/>
      <c r="D5964" s="1">
        <v>34</v>
      </c>
      <c r="F5964" s="1">
        <v>20.399999999999999</v>
      </c>
      <c r="G5964" s="1">
        <v>13.2</v>
      </c>
      <c r="H5964" s="1">
        <v>13</v>
      </c>
      <c r="I5964" s="1">
        <v>17.600000000000001</v>
      </c>
      <c r="J5964" s="1">
        <v>55.2</v>
      </c>
      <c r="K5964" s="1">
        <v>91</v>
      </c>
      <c r="L5964" s="1">
        <v>160.27399999999997</v>
      </c>
      <c r="M5964" s="1">
        <v>32.299999999999997</v>
      </c>
      <c r="N5964" s="38">
        <v>135.99999999999977</v>
      </c>
      <c r="P5964" s="38">
        <v>101.6</v>
      </c>
      <c r="Q5964" s="1">
        <v>40.6</v>
      </c>
      <c r="R5964" s="1">
        <v>15.747999999999999</v>
      </c>
      <c r="S5964" s="1"/>
      <c r="T5964" s="1"/>
      <c r="U5964" s="1">
        <v>13</v>
      </c>
      <c r="X5964" s="1"/>
      <c r="Y5964" s="1"/>
      <c r="AC5964" s="38">
        <v>16</v>
      </c>
    </row>
    <row r="5965" spans="1:29" x14ac:dyDescent="0.25">
      <c r="A5965" s="22">
        <v>44316</v>
      </c>
      <c r="B5965" s="1">
        <v>9</v>
      </c>
      <c r="C5965" s="1"/>
      <c r="D5965" s="1">
        <v>14.1</v>
      </c>
      <c r="F5965" s="1">
        <v>16.3</v>
      </c>
      <c r="G5965" s="1">
        <v>0</v>
      </c>
      <c r="H5965" s="1">
        <v>67.8</v>
      </c>
      <c r="I5965" s="1">
        <v>22</v>
      </c>
      <c r="J5965" s="1">
        <v>12.2</v>
      </c>
      <c r="K5965" s="1">
        <v>12.8</v>
      </c>
      <c r="L5965" s="1">
        <v>18.541999999999998</v>
      </c>
      <c r="M5965" s="1">
        <v>13.2</v>
      </c>
      <c r="N5965" s="38">
        <v>8.2000000000000028</v>
      </c>
      <c r="P5965" s="38">
        <v>10.921999999999999</v>
      </c>
      <c r="Q5965" s="1">
        <v>0.2</v>
      </c>
      <c r="R5965" s="1">
        <v>172.72</v>
      </c>
      <c r="S5965" s="1"/>
      <c r="T5965" s="1"/>
      <c r="U5965" s="1">
        <v>0</v>
      </c>
      <c r="X5965" s="1"/>
      <c r="Y5965" s="1"/>
      <c r="AC5965" s="38">
        <v>2</v>
      </c>
    </row>
    <row r="5966" spans="1:29" x14ac:dyDescent="0.25">
      <c r="A5966" s="22">
        <v>44317</v>
      </c>
      <c r="B5966" s="1"/>
      <c r="C5966" s="1"/>
      <c r="D5966" s="1">
        <v>4.0999999999999996</v>
      </c>
      <c r="F5966" s="1">
        <v>1</v>
      </c>
      <c r="G5966" s="1"/>
      <c r="H5966" s="1">
        <v>0.4</v>
      </c>
      <c r="I5966" s="1"/>
      <c r="J5966" s="1">
        <v>0.2</v>
      </c>
      <c r="K5966" s="1">
        <v>1.5</v>
      </c>
      <c r="L5966" s="1"/>
      <c r="M5966" s="1"/>
      <c r="N5966" s="38">
        <v>0.8</v>
      </c>
      <c r="Q5966" s="1">
        <v>1.5</v>
      </c>
      <c r="R5966" s="1"/>
      <c r="S5966" s="1"/>
      <c r="T5966" s="1"/>
      <c r="U5966" s="1"/>
      <c r="X5966" s="1"/>
      <c r="Y5966" s="1"/>
      <c r="AC5966" s="38">
        <v>0</v>
      </c>
    </row>
    <row r="5967" spans="1:29" x14ac:dyDescent="0.25">
      <c r="A5967" s="22">
        <v>44318</v>
      </c>
      <c r="B5967" s="1"/>
      <c r="C5967" s="1"/>
      <c r="D5967" s="1">
        <v>0</v>
      </c>
      <c r="F5967" s="1">
        <v>2.2000000000000002</v>
      </c>
      <c r="G5967" s="1"/>
      <c r="H5967" s="1">
        <v>2</v>
      </c>
      <c r="I5967" s="1"/>
      <c r="J5967" s="1">
        <v>0.6</v>
      </c>
      <c r="K5967" s="1">
        <v>2</v>
      </c>
      <c r="L5967" s="1"/>
      <c r="M5967" s="1"/>
      <c r="N5967" s="38">
        <v>2</v>
      </c>
      <c r="Q5967" s="1">
        <v>9.6</v>
      </c>
      <c r="R5967" s="1"/>
      <c r="S5967" s="1"/>
      <c r="T5967" s="1"/>
      <c r="U5967" s="1"/>
      <c r="X5967" s="1"/>
      <c r="Y5967" s="1"/>
      <c r="AC5967" s="38">
        <v>0</v>
      </c>
    </row>
    <row r="5968" spans="1:29" x14ac:dyDescent="0.25">
      <c r="A5968" s="22">
        <v>44319</v>
      </c>
      <c r="B5968" s="1"/>
      <c r="C5968" s="1"/>
      <c r="D5968" s="1">
        <v>14.4</v>
      </c>
      <c r="F5968" s="1">
        <v>18.100000000000001</v>
      </c>
      <c r="G5968" s="1"/>
      <c r="H5968" s="1">
        <v>14</v>
      </c>
      <c r="I5968" s="1"/>
      <c r="J5968" s="1">
        <v>6.2</v>
      </c>
      <c r="K5968" s="1">
        <v>6.4</v>
      </c>
      <c r="L5968" s="1"/>
      <c r="M5968" s="1"/>
      <c r="N5968" s="38">
        <v>25.799999999999986</v>
      </c>
      <c r="Q5968" s="1">
        <v>40.6</v>
      </c>
      <c r="R5968" s="1"/>
      <c r="S5968" s="1"/>
      <c r="T5968" s="1"/>
      <c r="U5968" s="1"/>
      <c r="X5968" s="1"/>
      <c r="Y5968" s="1"/>
      <c r="AC5968" s="38">
        <v>23</v>
      </c>
    </row>
    <row r="5969" spans="1:29" x14ac:dyDescent="0.25">
      <c r="A5969" s="22">
        <v>44320</v>
      </c>
      <c r="B5969" s="1"/>
      <c r="C5969" s="1"/>
      <c r="D5969" s="1">
        <v>60</v>
      </c>
      <c r="F5969" s="1">
        <v>51</v>
      </c>
      <c r="G5969" s="1"/>
      <c r="H5969" s="1">
        <v>48.4</v>
      </c>
      <c r="I5969" s="1"/>
      <c r="J5969" s="1">
        <v>48.6</v>
      </c>
      <c r="K5969" s="1">
        <v>0</v>
      </c>
      <c r="L5969" s="1"/>
      <c r="M5969" s="1"/>
      <c r="N5969" s="38">
        <v>114.40000000000006</v>
      </c>
      <c r="Q5969" s="1">
        <v>16</v>
      </c>
      <c r="R5969" s="1"/>
      <c r="S5969" s="1"/>
      <c r="T5969" s="1"/>
      <c r="U5969" s="1"/>
      <c r="X5969" s="1"/>
      <c r="Y5969" s="1"/>
      <c r="AC5969" s="38">
        <v>63</v>
      </c>
    </row>
    <row r="5970" spans="1:29" x14ac:dyDescent="0.25">
      <c r="A5970" s="22">
        <v>44321</v>
      </c>
      <c r="B5970" s="1"/>
      <c r="C5970" s="1"/>
      <c r="D5970" s="1">
        <v>44.1</v>
      </c>
      <c r="F5970" s="1">
        <v>47.2</v>
      </c>
      <c r="G5970" s="1"/>
      <c r="H5970" s="1">
        <v>50</v>
      </c>
      <c r="I5970" s="1"/>
      <c r="J5970" s="1">
        <v>54.8</v>
      </c>
      <c r="K5970" s="1">
        <v>51.6</v>
      </c>
      <c r="L5970" s="1"/>
      <c r="M5970" s="1"/>
      <c r="N5970" s="38">
        <v>4</v>
      </c>
      <c r="Q5970" s="1">
        <v>2</v>
      </c>
      <c r="R5970" s="1"/>
      <c r="S5970" s="1"/>
      <c r="T5970" s="1"/>
      <c r="U5970" s="1"/>
      <c r="X5970" s="1"/>
      <c r="Y5970" s="1"/>
      <c r="AC5970" s="38">
        <v>0</v>
      </c>
    </row>
    <row r="5971" spans="1:29" x14ac:dyDescent="0.25">
      <c r="A5971" s="22">
        <v>44322</v>
      </c>
      <c r="B5971" s="1"/>
      <c r="C5971" s="1"/>
      <c r="D5971" s="1">
        <v>2.8</v>
      </c>
      <c r="F5971" s="1">
        <v>4</v>
      </c>
      <c r="G5971" s="1"/>
      <c r="H5971" s="1">
        <v>4.2</v>
      </c>
      <c r="I5971" s="1"/>
      <c r="J5971" s="1">
        <v>10.199999999999999</v>
      </c>
      <c r="K5971" s="1">
        <v>4.4000000000000004</v>
      </c>
      <c r="L5971" s="1"/>
      <c r="M5971" s="1"/>
      <c r="N5971" s="38">
        <v>10.4</v>
      </c>
      <c r="Q5971" s="1">
        <v>0.7</v>
      </c>
      <c r="R5971" s="1"/>
      <c r="S5971" s="1"/>
      <c r="T5971" s="1"/>
      <c r="U5971" s="1"/>
      <c r="X5971" s="1"/>
      <c r="Y5971" s="1"/>
      <c r="AC5971" s="38">
        <v>0</v>
      </c>
    </row>
    <row r="5972" spans="1:29" x14ac:dyDescent="0.25">
      <c r="A5972" s="22">
        <v>44323</v>
      </c>
      <c r="B5972" s="1"/>
      <c r="C5972" s="1"/>
      <c r="D5972" s="1">
        <v>2</v>
      </c>
      <c r="F5972" s="1">
        <v>2</v>
      </c>
      <c r="G5972" s="1"/>
      <c r="H5972" s="1">
        <v>2</v>
      </c>
      <c r="I5972" s="1"/>
      <c r="J5972" s="1">
        <v>8</v>
      </c>
      <c r="K5972" s="1">
        <v>10</v>
      </c>
      <c r="L5972" s="1"/>
      <c r="M5972" s="1"/>
      <c r="N5972" s="38">
        <v>2.6</v>
      </c>
      <c r="Q5972" s="1">
        <v>10.9</v>
      </c>
      <c r="R5972" s="1"/>
      <c r="S5972" s="1"/>
      <c r="T5972" s="1"/>
      <c r="U5972" s="1"/>
      <c r="X5972" s="1"/>
      <c r="Y5972" s="1"/>
      <c r="AC5972" s="38">
        <v>1</v>
      </c>
    </row>
    <row r="5973" spans="1:29" x14ac:dyDescent="0.25">
      <c r="A5973" s="22">
        <v>44324</v>
      </c>
      <c r="B5973" s="1"/>
      <c r="C5973" s="1"/>
      <c r="D5973" s="1">
        <v>8.1</v>
      </c>
      <c r="F5973" s="1">
        <v>9</v>
      </c>
      <c r="G5973" s="1"/>
      <c r="H5973" s="1">
        <v>10.3</v>
      </c>
      <c r="I5973" s="1"/>
      <c r="J5973" s="1">
        <v>6.2</v>
      </c>
      <c r="K5973" s="1">
        <v>4.2</v>
      </c>
      <c r="L5973" s="1"/>
      <c r="M5973" s="1"/>
      <c r="N5973" s="38">
        <v>66.8</v>
      </c>
      <c r="Q5973" s="1">
        <v>0</v>
      </c>
      <c r="R5973" s="1"/>
      <c r="S5973" s="1"/>
      <c r="T5973" s="1"/>
      <c r="U5973" s="1"/>
      <c r="X5973" s="1"/>
      <c r="Y5973" s="1"/>
      <c r="AC5973" s="38">
        <v>56</v>
      </c>
    </row>
    <row r="5974" spans="1:29" x14ac:dyDescent="0.25">
      <c r="A5974" s="22">
        <v>44325</v>
      </c>
      <c r="B5974" s="1"/>
      <c r="C5974" s="1"/>
      <c r="D5974" s="1">
        <v>102</v>
      </c>
      <c r="F5974" s="1">
        <v>53.4</v>
      </c>
      <c r="G5974" s="1"/>
      <c r="H5974" s="1">
        <v>70.2</v>
      </c>
      <c r="I5974" s="1"/>
      <c r="J5974" s="1">
        <v>9.1999999999999993</v>
      </c>
      <c r="K5974" s="1">
        <v>65.7</v>
      </c>
      <c r="L5974" s="1"/>
      <c r="M5974" s="1"/>
      <c r="N5974" s="38">
        <v>53.600000000000009</v>
      </c>
      <c r="Q5974" s="1">
        <v>99.1</v>
      </c>
      <c r="R5974" s="1"/>
      <c r="S5974" s="1"/>
      <c r="T5974" s="1"/>
      <c r="U5974" s="1"/>
      <c r="X5974" s="1"/>
      <c r="Y5974" s="1"/>
      <c r="AC5974" s="38">
        <v>24</v>
      </c>
    </row>
    <row r="5975" spans="1:29" x14ac:dyDescent="0.25">
      <c r="A5975" s="22">
        <v>44326</v>
      </c>
      <c r="B5975" s="1"/>
      <c r="C5975" s="1"/>
      <c r="D5975" s="1">
        <v>58</v>
      </c>
      <c r="F5975" s="1">
        <v>26.4</v>
      </c>
      <c r="G5975" s="1"/>
      <c r="H5975" s="1">
        <v>32.4</v>
      </c>
      <c r="I5975" s="1"/>
      <c r="J5975" s="1">
        <v>68</v>
      </c>
      <c r="K5975" s="1">
        <v>47.4</v>
      </c>
      <c r="L5975" s="1"/>
      <c r="M5975" s="1"/>
      <c r="N5975" s="38">
        <v>38.40000000000002</v>
      </c>
      <c r="Q5975" s="1">
        <v>2.5</v>
      </c>
      <c r="R5975" s="1"/>
      <c r="S5975" s="1"/>
      <c r="T5975" s="1"/>
      <c r="U5975" s="1"/>
      <c r="X5975" s="1"/>
      <c r="Y5975" s="1"/>
      <c r="AC5975" s="38">
        <v>2</v>
      </c>
    </row>
    <row r="5976" spans="1:29" x14ac:dyDescent="0.25">
      <c r="A5976" s="22">
        <v>44327</v>
      </c>
      <c r="B5976" s="1"/>
      <c r="C5976" s="1"/>
      <c r="D5976" s="1">
        <v>8</v>
      </c>
      <c r="F5976" s="1">
        <v>0.2</v>
      </c>
      <c r="G5976" s="1"/>
      <c r="H5976" s="1">
        <v>0</v>
      </c>
      <c r="I5976" s="1"/>
      <c r="J5976" s="1">
        <v>2</v>
      </c>
      <c r="K5976" s="1">
        <v>2.4</v>
      </c>
      <c r="L5976" s="1"/>
      <c r="M5976" s="1"/>
      <c r="N5976" s="38">
        <v>0.2</v>
      </c>
      <c r="Q5976" s="1">
        <v>2.5</v>
      </c>
      <c r="R5976" s="1"/>
      <c r="S5976" s="1"/>
      <c r="T5976" s="1"/>
      <c r="U5976" s="1"/>
      <c r="X5976" s="1"/>
      <c r="Y5976" s="1"/>
      <c r="AC5976" s="38">
        <v>0</v>
      </c>
    </row>
    <row r="5977" spans="1:29" x14ac:dyDescent="0.25">
      <c r="A5977" s="22">
        <v>44328</v>
      </c>
      <c r="B5977" s="1"/>
      <c r="C5977" s="1"/>
      <c r="D5977" s="1">
        <v>6.8</v>
      </c>
      <c r="F5977" s="1">
        <v>2</v>
      </c>
      <c r="G5977" s="1"/>
      <c r="H5977" s="1">
        <v>2.6</v>
      </c>
      <c r="I5977" s="1"/>
      <c r="J5977" s="1">
        <v>6.8</v>
      </c>
      <c r="K5977" s="1">
        <v>6.6</v>
      </c>
      <c r="L5977" s="1"/>
      <c r="M5977" s="1"/>
      <c r="N5977" s="38">
        <v>7.4000000000000012</v>
      </c>
      <c r="Q5977" s="1">
        <v>1.5</v>
      </c>
      <c r="R5977" s="1"/>
      <c r="S5977" s="1"/>
      <c r="T5977" s="1"/>
      <c r="U5977" s="1"/>
      <c r="X5977" s="1"/>
      <c r="Y5977" s="1"/>
      <c r="AC5977" s="38">
        <v>1</v>
      </c>
    </row>
    <row r="5978" spans="1:29" x14ac:dyDescent="0.25">
      <c r="A5978" s="22">
        <v>44329</v>
      </c>
      <c r="B5978" s="1"/>
      <c r="C5978" s="1"/>
      <c r="D5978" s="1">
        <v>7.1</v>
      </c>
      <c r="F5978" s="1">
        <v>1.2</v>
      </c>
      <c r="G5978" s="1"/>
      <c r="H5978" s="1">
        <v>1.4</v>
      </c>
      <c r="I5978" s="1"/>
      <c r="J5978" s="1">
        <v>2.8</v>
      </c>
      <c r="K5978" s="1">
        <v>0.3</v>
      </c>
      <c r="L5978" s="1"/>
      <c r="M5978" s="1"/>
      <c r="N5978" s="38">
        <v>3.4000000000000004</v>
      </c>
      <c r="Q5978" s="1">
        <v>6.6</v>
      </c>
      <c r="R5978" s="1"/>
      <c r="S5978" s="1"/>
      <c r="T5978" s="1"/>
      <c r="U5978" s="1"/>
      <c r="X5978" s="1"/>
      <c r="Y5978" s="1"/>
      <c r="AC5978" s="38">
        <v>2</v>
      </c>
    </row>
    <row r="5979" spans="1:29" x14ac:dyDescent="0.25">
      <c r="A5979" s="22">
        <v>44330</v>
      </c>
      <c r="B5979" s="1"/>
      <c r="C5979" s="1"/>
      <c r="D5979" s="1">
        <v>3.6</v>
      </c>
      <c r="F5979" s="1">
        <v>4</v>
      </c>
      <c r="G5979" s="1"/>
      <c r="H5979" s="1">
        <v>5</v>
      </c>
      <c r="I5979" s="1"/>
      <c r="J5979" s="1">
        <v>3.8</v>
      </c>
      <c r="K5979" s="1">
        <v>2.5</v>
      </c>
      <c r="L5979" s="1"/>
      <c r="M5979" s="1"/>
      <c r="N5979" s="38">
        <v>2</v>
      </c>
      <c r="Q5979" s="1">
        <v>0</v>
      </c>
      <c r="R5979" s="1"/>
      <c r="S5979" s="1"/>
      <c r="T5979" s="1"/>
      <c r="U5979" s="1"/>
      <c r="X5979" s="1"/>
      <c r="Y5979" s="1"/>
      <c r="AC5979" s="38">
        <v>0</v>
      </c>
    </row>
    <row r="5980" spans="1:29" x14ac:dyDescent="0.25">
      <c r="A5980" s="22">
        <v>44331</v>
      </c>
      <c r="B5980" s="1"/>
      <c r="C5980" s="1"/>
      <c r="D5980" s="1">
        <v>0</v>
      </c>
      <c r="F5980" s="1">
        <v>0</v>
      </c>
      <c r="G5980" s="1"/>
      <c r="H5980" s="1">
        <v>1.2</v>
      </c>
      <c r="I5980" s="1"/>
      <c r="J5980" s="1">
        <v>2.5</v>
      </c>
      <c r="K5980" s="1">
        <v>2.2000000000000002</v>
      </c>
      <c r="L5980" s="1"/>
      <c r="M5980" s="1"/>
      <c r="N5980" s="38">
        <v>0.4</v>
      </c>
      <c r="Q5980" s="1">
        <v>0.2</v>
      </c>
      <c r="R5980" s="1"/>
      <c r="S5980" s="1"/>
      <c r="T5980" s="1"/>
      <c r="U5980" s="1"/>
      <c r="X5980" s="1"/>
      <c r="Y5980" s="1"/>
      <c r="AC5980" s="38">
        <v>0</v>
      </c>
    </row>
    <row r="5981" spans="1:29" x14ac:dyDescent="0.25">
      <c r="A5981" s="22">
        <v>44332</v>
      </c>
      <c r="B5981" s="1"/>
      <c r="C5981" s="1"/>
      <c r="D5981" s="1">
        <v>0</v>
      </c>
      <c r="F5981" s="1">
        <v>1.1000000000000001</v>
      </c>
      <c r="G5981" s="1"/>
      <c r="H5981" s="1">
        <v>0</v>
      </c>
      <c r="I5981" s="1"/>
      <c r="J5981" s="1">
        <v>1</v>
      </c>
      <c r="K5981" s="1">
        <v>0</v>
      </c>
      <c r="L5981" s="1"/>
      <c r="M5981" s="1"/>
      <c r="N5981" s="38">
        <v>1.2</v>
      </c>
      <c r="Q5981" s="1">
        <v>0</v>
      </c>
      <c r="R5981" s="1"/>
      <c r="S5981" s="1"/>
      <c r="T5981" s="1"/>
      <c r="U5981" s="1"/>
      <c r="X5981" s="1"/>
      <c r="Y5981" s="1"/>
      <c r="AC5981" s="38">
        <v>0</v>
      </c>
    </row>
    <row r="5982" spans="1:29" x14ac:dyDescent="0.25">
      <c r="A5982" s="22">
        <v>44333</v>
      </c>
      <c r="B5982" s="1"/>
      <c r="C5982" s="1"/>
      <c r="D5982" s="1">
        <v>0.5</v>
      </c>
      <c r="F5982" s="1">
        <v>0</v>
      </c>
      <c r="G5982" s="1"/>
      <c r="H5982" s="1">
        <v>2</v>
      </c>
      <c r="I5982" s="1"/>
      <c r="J5982" s="1">
        <v>3</v>
      </c>
      <c r="K5982" s="1">
        <v>0.5</v>
      </c>
      <c r="L5982" s="1"/>
      <c r="M5982" s="1"/>
      <c r="N5982" s="38">
        <v>0</v>
      </c>
      <c r="Q5982" s="1">
        <v>1.2</v>
      </c>
      <c r="R5982" s="1"/>
      <c r="S5982" s="1"/>
      <c r="T5982" s="1"/>
      <c r="U5982" s="1"/>
      <c r="X5982" s="1"/>
      <c r="Y5982" s="1"/>
      <c r="AC5982" s="38">
        <v>0</v>
      </c>
    </row>
    <row r="5983" spans="1:29" x14ac:dyDescent="0.25">
      <c r="A5983" s="22">
        <v>44334</v>
      </c>
      <c r="B5983" s="1"/>
      <c r="C5983" s="1"/>
      <c r="D5983" s="1">
        <v>2.4</v>
      </c>
      <c r="F5983" s="1">
        <v>1.1000000000000001</v>
      </c>
      <c r="G5983" s="1"/>
      <c r="H5983" s="1">
        <v>0</v>
      </c>
      <c r="I5983" s="1"/>
      <c r="J5983" s="1">
        <v>0.8</v>
      </c>
      <c r="K5983" s="1">
        <v>5</v>
      </c>
      <c r="L5983" s="1"/>
      <c r="M5983" s="1"/>
      <c r="N5983" s="38">
        <v>0.60000000000000009</v>
      </c>
      <c r="Q5983" s="1">
        <v>0</v>
      </c>
      <c r="R5983" s="1"/>
      <c r="S5983" s="1"/>
      <c r="T5983" s="1"/>
      <c r="U5983" s="1"/>
      <c r="X5983" s="1"/>
      <c r="Y5983" s="1"/>
      <c r="AC5983" s="38">
        <v>0</v>
      </c>
    </row>
    <row r="5984" spans="1:29" x14ac:dyDescent="0.25">
      <c r="A5984" s="22">
        <v>44335</v>
      </c>
      <c r="B5984" s="1"/>
      <c r="C5984" s="1"/>
      <c r="D5984" s="1">
        <v>0</v>
      </c>
      <c r="F5984" s="1">
        <v>0</v>
      </c>
      <c r="G5984" s="1"/>
      <c r="H5984" s="1">
        <v>0.4</v>
      </c>
      <c r="I5984" s="1"/>
      <c r="J5984" s="1">
        <v>0</v>
      </c>
      <c r="K5984" s="1">
        <v>0</v>
      </c>
      <c r="L5984" s="1"/>
      <c r="M5984" s="1"/>
      <c r="N5984" s="38">
        <v>0</v>
      </c>
      <c r="Q5984" s="1">
        <v>0</v>
      </c>
      <c r="R5984" s="1"/>
      <c r="S5984" s="1"/>
      <c r="T5984" s="1"/>
      <c r="U5984" s="1"/>
      <c r="X5984" s="1"/>
      <c r="Y5984" s="1"/>
      <c r="AC5984" s="38">
        <v>0</v>
      </c>
    </row>
    <row r="5985" spans="1:29" x14ac:dyDescent="0.25">
      <c r="A5985" s="22">
        <v>44336</v>
      </c>
      <c r="B5985" s="1"/>
      <c r="C5985" s="1"/>
      <c r="D5985" s="1">
        <v>0</v>
      </c>
      <c r="F5985" s="1">
        <v>0.3</v>
      </c>
      <c r="G5985" s="1"/>
      <c r="H5985" s="1">
        <v>0.3</v>
      </c>
      <c r="I5985" s="1"/>
      <c r="J5985" s="1">
        <v>1.2</v>
      </c>
      <c r="K5985" s="1">
        <v>0</v>
      </c>
      <c r="L5985" s="1"/>
      <c r="M5985" s="1"/>
      <c r="N5985" s="38">
        <v>0.8</v>
      </c>
      <c r="Q5985" s="1">
        <v>0</v>
      </c>
      <c r="R5985" s="1"/>
      <c r="S5985" s="1"/>
      <c r="T5985" s="1"/>
      <c r="U5985" s="1"/>
      <c r="X5985" s="1"/>
      <c r="Y5985" s="1"/>
      <c r="AC5985" s="38">
        <v>0</v>
      </c>
    </row>
    <row r="5986" spans="1:29" x14ac:dyDescent="0.25">
      <c r="A5986" s="22">
        <v>44337</v>
      </c>
      <c r="B5986" s="1"/>
      <c r="C5986" s="1"/>
      <c r="D5986" s="1">
        <v>2</v>
      </c>
      <c r="F5986" s="1">
        <v>0</v>
      </c>
      <c r="G5986" s="1"/>
      <c r="H5986" s="1">
        <v>0</v>
      </c>
      <c r="I5986" s="1"/>
      <c r="J5986" s="1">
        <v>1.1000000000000001</v>
      </c>
      <c r="K5986" s="1">
        <v>0</v>
      </c>
      <c r="L5986" s="1"/>
      <c r="M5986" s="1"/>
      <c r="N5986" s="38">
        <v>0.4</v>
      </c>
      <c r="Q5986" s="1">
        <v>0</v>
      </c>
      <c r="R5986" s="1"/>
      <c r="S5986" s="1"/>
      <c r="T5986" s="1"/>
      <c r="U5986" s="1"/>
      <c r="X5986" s="1"/>
      <c r="Y5986" s="1"/>
      <c r="AC5986" s="38">
        <v>0</v>
      </c>
    </row>
    <row r="5987" spans="1:29" x14ac:dyDescent="0.25">
      <c r="A5987" s="22">
        <v>44338</v>
      </c>
      <c r="B5987" s="1"/>
      <c r="C5987" s="1"/>
      <c r="D5987" s="1">
        <v>1.5</v>
      </c>
      <c r="F5987" s="1">
        <v>0</v>
      </c>
      <c r="G5987" s="1"/>
      <c r="H5987" s="1">
        <v>0</v>
      </c>
      <c r="I5987" s="1"/>
      <c r="J5987" s="1">
        <v>0.9</v>
      </c>
      <c r="K5987" s="1">
        <v>2.1</v>
      </c>
      <c r="L5987" s="1"/>
      <c r="M5987" s="1"/>
      <c r="N5987" s="38">
        <v>8.9999999999999982</v>
      </c>
      <c r="Q5987" s="1">
        <v>8.8000000000000007</v>
      </c>
      <c r="R5987" s="1"/>
      <c r="S5987" s="1"/>
      <c r="T5987" s="1"/>
      <c r="U5987" s="1"/>
      <c r="X5987" s="1"/>
      <c r="Y5987" s="1"/>
      <c r="AC5987" s="38">
        <v>2</v>
      </c>
    </row>
    <row r="5988" spans="1:29" x14ac:dyDescent="0.25">
      <c r="A5988" s="22">
        <v>44339</v>
      </c>
      <c r="B5988" s="1"/>
      <c r="C5988" s="1"/>
      <c r="D5988" s="1">
        <v>16.2</v>
      </c>
      <c r="F5988" s="1">
        <v>0</v>
      </c>
      <c r="G5988" s="1"/>
      <c r="H5988" s="1">
        <v>5</v>
      </c>
      <c r="I5988" s="1"/>
      <c r="J5988" s="1">
        <v>15</v>
      </c>
      <c r="K5988" s="1">
        <v>0</v>
      </c>
      <c r="L5988" s="1"/>
      <c r="M5988" s="1"/>
      <c r="N5988" s="38">
        <v>10.8</v>
      </c>
      <c r="Q5988" s="1">
        <v>0</v>
      </c>
      <c r="R5988" s="1"/>
      <c r="S5988" s="1"/>
      <c r="T5988" s="1"/>
      <c r="U5988" s="1"/>
      <c r="X5988" s="1"/>
      <c r="Y5988" s="1"/>
      <c r="AC5988" s="38">
        <v>0</v>
      </c>
    </row>
    <row r="5989" spans="1:29" x14ac:dyDescent="0.25">
      <c r="A5989" s="22">
        <v>44340</v>
      </c>
      <c r="B5989" s="1"/>
      <c r="C5989" s="1"/>
      <c r="D5989" s="1">
        <v>1</v>
      </c>
      <c r="F5989" s="1">
        <v>1</v>
      </c>
      <c r="G5989" s="1"/>
      <c r="H5989" s="1">
        <v>0</v>
      </c>
      <c r="I5989" s="1"/>
      <c r="J5989" s="1">
        <v>1</v>
      </c>
      <c r="K5989" s="1">
        <v>0.5</v>
      </c>
      <c r="L5989" s="1"/>
      <c r="M5989" s="1"/>
      <c r="N5989" s="38">
        <v>0.2</v>
      </c>
      <c r="Q5989" s="1">
        <v>0.2</v>
      </c>
      <c r="R5989" s="1"/>
      <c r="S5989" s="1"/>
      <c r="T5989" s="1"/>
      <c r="U5989" s="1"/>
      <c r="X5989" s="1"/>
      <c r="Y5989" s="1"/>
      <c r="AC5989" s="38">
        <v>0</v>
      </c>
    </row>
    <row r="5990" spans="1:29" x14ac:dyDescent="0.25">
      <c r="A5990" s="22">
        <v>44341</v>
      </c>
      <c r="B5990" s="1"/>
      <c r="C5990" s="1"/>
      <c r="D5990" s="1">
        <v>1.2</v>
      </c>
      <c r="F5990" s="1">
        <v>5.0999999999999996</v>
      </c>
      <c r="G5990" s="1"/>
      <c r="H5990" s="1">
        <v>0</v>
      </c>
      <c r="I5990" s="1"/>
      <c r="J5990" s="1">
        <v>0</v>
      </c>
      <c r="K5990" s="1">
        <v>0</v>
      </c>
      <c r="L5990" s="1"/>
      <c r="M5990" s="1"/>
      <c r="N5990" s="38">
        <v>0</v>
      </c>
      <c r="Q5990" s="1">
        <v>0.1</v>
      </c>
      <c r="R5990" s="1"/>
      <c r="S5990" s="1"/>
      <c r="T5990" s="1"/>
      <c r="U5990" s="1"/>
      <c r="X5990" s="1"/>
      <c r="Y5990" s="1"/>
      <c r="AC5990" s="38">
        <v>0</v>
      </c>
    </row>
    <row r="5991" spans="1:29" x14ac:dyDescent="0.25">
      <c r="A5991" s="22">
        <v>44342</v>
      </c>
      <c r="B5991" s="1"/>
      <c r="C5991" s="1"/>
      <c r="D5991" s="1">
        <v>0</v>
      </c>
      <c r="F5991" s="1">
        <v>0</v>
      </c>
      <c r="G5991" s="1"/>
      <c r="H5991" s="1">
        <v>0</v>
      </c>
      <c r="I5991" s="1"/>
      <c r="J5991" s="1">
        <v>2.8</v>
      </c>
      <c r="K5991" s="1">
        <v>1</v>
      </c>
      <c r="L5991" s="1"/>
      <c r="M5991" s="1"/>
      <c r="N5991" s="38">
        <v>0</v>
      </c>
      <c r="Q5991" s="1">
        <v>1.5</v>
      </c>
      <c r="R5991" s="1"/>
      <c r="S5991" s="1"/>
      <c r="T5991" s="1"/>
      <c r="U5991" s="1"/>
      <c r="X5991" s="1"/>
      <c r="Y5991" s="1"/>
      <c r="AC5991" s="38">
        <v>0</v>
      </c>
    </row>
    <row r="5992" spans="1:29" x14ac:dyDescent="0.25">
      <c r="A5992" s="22">
        <v>44343</v>
      </c>
      <c r="B5992" s="1"/>
      <c r="C5992" s="1"/>
      <c r="D5992" s="1">
        <v>1.1000000000000001</v>
      </c>
      <c r="F5992" s="1">
        <v>0</v>
      </c>
      <c r="G5992" s="1"/>
      <c r="H5992" s="1">
        <v>0</v>
      </c>
      <c r="I5992" s="1"/>
      <c r="J5992" s="1">
        <v>0</v>
      </c>
      <c r="K5992" s="1">
        <v>0</v>
      </c>
      <c r="L5992" s="1"/>
      <c r="M5992" s="1"/>
      <c r="N5992" s="38">
        <v>0</v>
      </c>
      <c r="Q5992" s="1">
        <v>0</v>
      </c>
      <c r="R5992" s="1"/>
      <c r="S5992" s="1"/>
      <c r="T5992" s="1"/>
      <c r="U5992" s="1"/>
      <c r="X5992" s="1"/>
      <c r="Y5992" s="1"/>
      <c r="AC5992" s="38">
        <v>0</v>
      </c>
    </row>
    <row r="5993" spans="1:29" x14ac:dyDescent="0.25">
      <c r="A5993" s="22">
        <v>44344</v>
      </c>
      <c r="B5993" s="1"/>
      <c r="C5993" s="1"/>
      <c r="D5993" s="1">
        <v>0</v>
      </c>
      <c r="F5993" s="1">
        <v>0</v>
      </c>
      <c r="G5993" s="1"/>
      <c r="H5993" s="1">
        <v>0</v>
      </c>
      <c r="I5993" s="1"/>
      <c r="J5993" s="1">
        <v>0</v>
      </c>
      <c r="K5993" s="1">
        <v>0</v>
      </c>
      <c r="L5993" s="1"/>
      <c r="M5993" s="1"/>
      <c r="N5993" s="38">
        <v>0</v>
      </c>
      <c r="Q5993" s="1">
        <v>0</v>
      </c>
      <c r="R5993" s="1"/>
      <c r="S5993" s="1"/>
      <c r="T5993" s="1"/>
      <c r="U5993" s="1"/>
      <c r="X5993" s="1"/>
      <c r="Y5993" s="1"/>
      <c r="AC5993" s="38">
        <v>0</v>
      </c>
    </row>
    <row r="5994" spans="1:29" x14ac:dyDescent="0.25">
      <c r="A5994" s="22">
        <v>44345</v>
      </c>
      <c r="B5994" s="1"/>
      <c r="C5994" s="1"/>
      <c r="D5994" s="1">
        <v>0</v>
      </c>
      <c r="F5994" s="1">
        <v>0</v>
      </c>
      <c r="G5994" s="1"/>
      <c r="H5994" s="1">
        <v>0</v>
      </c>
      <c r="I5994" s="1"/>
      <c r="J5994" s="1">
        <v>0</v>
      </c>
      <c r="K5994" s="1">
        <v>0</v>
      </c>
      <c r="L5994" s="1"/>
      <c r="M5994" s="1"/>
      <c r="N5994" s="38">
        <v>2.8000000000000003</v>
      </c>
      <c r="Q5994" s="1">
        <v>4</v>
      </c>
      <c r="R5994" s="1"/>
      <c r="S5994" s="1"/>
      <c r="T5994" s="1"/>
      <c r="U5994" s="1"/>
      <c r="X5994" s="1"/>
      <c r="Y5994" s="1"/>
      <c r="AC5994" s="38">
        <v>0</v>
      </c>
    </row>
    <row r="5995" spans="1:29" x14ac:dyDescent="0.25">
      <c r="A5995" s="22">
        <v>44346</v>
      </c>
      <c r="B5995" s="1"/>
      <c r="C5995" s="1"/>
      <c r="D5995" s="1">
        <v>14.2</v>
      </c>
      <c r="F5995" s="1">
        <v>9</v>
      </c>
      <c r="G5995" s="1"/>
      <c r="H5995" s="1">
        <v>4.5</v>
      </c>
      <c r="I5995" s="1"/>
      <c r="J5995" s="1">
        <v>18.2</v>
      </c>
      <c r="K5995" s="1">
        <v>16</v>
      </c>
      <c r="L5995" s="1"/>
      <c r="M5995" s="1"/>
      <c r="N5995" s="38">
        <v>17.599999999999998</v>
      </c>
      <c r="Q5995" s="1">
        <v>0</v>
      </c>
      <c r="R5995" s="1"/>
      <c r="S5995" s="1"/>
      <c r="T5995" s="1"/>
      <c r="U5995" s="1"/>
      <c r="X5995" s="1"/>
      <c r="Y5995" s="1"/>
      <c r="AC5995" s="38">
        <v>3</v>
      </c>
    </row>
    <row r="5996" spans="1:29" x14ac:dyDescent="0.25">
      <c r="A5996" s="22">
        <v>44347</v>
      </c>
      <c r="B5996" s="1"/>
      <c r="C5996" s="1"/>
      <c r="D5996" s="1">
        <v>33.4</v>
      </c>
      <c r="F5996" s="1">
        <v>4.4000000000000004</v>
      </c>
      <c r="G5996" s="1"/>
      <c r="H5996" s="1">
        <v>4</v>
      </c>
      <c r="I5996" s="1"/>
      <c r="J5996" s="1">
        <v>27.5</v>
      </c>
      <c r="K5996" s="1">
        <v>27.6</v>
      </c>
      <c r="L5996" s="1"/>
      <c r="M5996" s="1"/>
      <c r="N5996" s="38">
        <v>30.8</v>
      </c>
      <c r="Q5996" s="1">
        <v>0</v>
      </c>
      <c r="R5996" s="1"/>
      <c r="S5996" s="1"/>
      <c r="T5996" s="1"/>
      <c r="U5996" s="1"/>
      <c r="X5996" s="1"/>
      <c r="Y5996" s="1"/>
      <c r="AC5996" s="38">
        <v>3</v>
      </c>
    </row>
    <row r="5997" spans="1:29" x14ac:dyDescent="0.25">
      <c r="A5997" s="22">
        <v>44348</v>
      </c>
      <c r="B5997" s="1"/>
      <c r="C5997" s="1">
        <v>7.6</v>
      </c>
      <c r="D5997" s="1">
        <v>1</v>
      </c>
      <c r="F5997" s="1">
        <v>0</v>
      </c>
      <c r="G5997" s="1">
        <v>0.3</v>
      </c>
      <c r="H5997" s="1">
        <v>0</v>
      </c>
      <c r="I5997" s="1"/>
      <c r="J5997" s="1">
        <v>0.2</v>
      </c>
      <c r="K5997" s="1">
        <v>2</v>
      </c>
      <c r="L5997" s="1">
        <v>1.016</v>
      </c>
      <c r="M5997" s="1"/>
      <c r="N5997" s="38">
        <v>0</v>
      </c>
      <c r="P5997" s="38">
        <v>0.7619999999999999</v>
      </c>
      <c r="Q5997" s="1">
        <v>0</v>
      </c>
      <c r="R5997" s="1"/>
      <c r="S5997" s="1"/>
      <c r="T5997" s="1"/>
      <c r="U5997" s="1"/>
      <c r="X5997" s="1"/>
      <c r="Y5997" s="1"/>
      <c r="AC5997" s="38">
        <v>0</v>
      </c>
    </row>
    <row r="5998" spans="1:29" x14ac:dyDescent="0.25">
      <c r="A5998" s="22">
        <v>44349</v>
      </c>
      <c r="B5998" s="1"/>
      <c r="C5998" s="1">
        <v>0</v>
      </c>
      <c r="D5998" s="1">
        <v>0</v>
      </c>
      <c r="F5998" s="1">
        <v>0</v>
      </c>
      <c r="G5998" s="1">
        <v>0</v>
      </c>
      <c r="H5998" s="1">
        <v>0</v>
      </c>
      <c r="I5998" s="1"/>
      <c r="J5998" s="1">
        <v>0</v>
      </c>
      <c r="K5998" s="1">
        <v>0</v>
      </c>
      <c r="L5998" s="1">
        <v>0</v>
      </c>
      <c r="M5998" s="1"/>
      <c r="N5998" s="38">
        <v>0</v>
      </c>
      <c r="P5998" s="38">
        <v>0</v>
      </c>
      <c r="Q5998" s="1">
        <v>0</v>
      </c>
      <c r="R5998" s="1"/>
      <c r="S5998" s="1"/>
      <c r="T5998" s="1"/>
      <c r="U5998" s="1"/>
      <c r="X5998" s="1"/>
      <c r="Y5998" s="1"/>
      <c r="AC5998" s="38">
        <v>0</v>
      </c>
    </row>
    <row r="5999" spans="1:29" x14ac:dyDescent="0.25">
      <c r="A5999" s="22">
        <v>44350</v>
      </c>
      <c r="B5999" s="1"/>
      <c r="C5999" s="1">
        <v>1.2</v>
      </c>
      <c r="D5999" s="1">
        <v>0</v>
      </c>
      <c r="F5999" s="1">
        <v>0</v>
      </c>
      <c r="G5999" s="1">
        <v>0</v>
      </c>
      <c r="H5999" s="1">
        <v>0</v>
      </c>
      <c r="I5999" s="1"/>
      <c r="J5999" s="1">
        <v>0</v>
      </c>
      <c r="K5999" s="1">
        <v>0</v>
      </c>
      <c r="L5999" s="1">
        <v>0</v>
      </c>
      <c r="M5999" s="1"/>
      <c r="N5999" s="38">
        <v>0</v>
      </c>
      <c r="P5999" s="38">
        <v>0</v>
      </c>
      <c r="Q5999" s="1">
        <v>0</v>
      </c>
      <c r="R5999" s="1"/>
      <c r="S5999" s="1"/>
      <c r="T5999" s="1"/>
      <c r="U5999" s="1"/>
      <c r="X5999" s="1"/>
      <c r="Y5999" s="1"/>
      <c r="AC5999" s="38">
        <v>0</v>
      </c>
    </row>
    <row r="6000" spans="1:29" x14ac:dyDescent="0.25">
      <c r="A6000" s="22">
        <v>44351</v>
      </c>
      <c r="B6000" s="1"/>
      <c r="C6000" s="1">
        <v>3.2</v>
      </c>
      <c r="D6000" s="1">
        <v>6</v>
      </c>
      <c r="F6000" s="1">
        <v>0</v>
      </c>
      <c r="G6000" s="1">
        <v>0.2</v>
      </c>
      <c r="H6000" s="1">
        <v>0</v>
      </c>
      <c r="I6000" s="1"/>
      <c r="J6000" s="1">
        <v>0</v>
      </c>
      <c r="K6000" s="1">
        <v>0</v>
      </c>
      <c r="L6000" s="1">
        <v>3.556</v>
      </c>
      <c r="M6000" s="1"/>
      <c r="N6000" s="38">
        <v>13.999999999999996</v>
      </c>
      <c r="P6000" s="38">
        <v>1.5239999999999998</v>
      </c>
      <c r="Q6000" s="1">
        <v>21.5</v>
      </c>
      <c r="R6000" s="1"/>
      <c r="S6000" s="1"/>
      <c r="T6000" s="1"/>
      <c r="U6000" s="1"/>
      <c r="X6000" s="1"/>
      <c r="Y6000" s="1"/>
      <c r="AC6000" s="38">
        <v>5</v>
      </c>
    </row>
    <row r="6001" spans="1:29" x14ac:dyDescent="0.25">
      <c r="A6001" s="22">
        <v>44352</v>
      </c>
      <c r="B6001" s="1"/>
      <c r="C6001" s="1">
        <v>45</v>
      </c>
      <c r="D6001" s="1">
        <v>38.4</v>
      </c>
      <c r="F6001" s="1">
        <v>23.2</v>
      </c>
      <c r="G6001" s="1">
        <v>30.5</v>
      </c>
      <c r="H6001" s="1">
        <v>26.2</v>
      </c>
      <c r="I6001" s="1"/>
      <c r="J6001" s="1">
        <v>4.5</v>
      </c>
      <c r="K6001" s="1">
        <v>52.1</v>
      </c>
      <c r="L6001" s="1">
        <v>21.081999999999997</v>
      </c>
      <c r="M6001" s="1"/>
      <c r="N6001" s="38">
        <v>62.200000000000031</v>
      </c>
      <c r="P6001" s="38">
        <v>34.29</v>
      </c>
      <c r="Q6001" s="1">
        <v>0</v>
      </c>
      <c r="R6001" s="1"/>
      <c r="S6001" s="1"/>
      <c r="T6001" s="1"/>
      <c r="U6001" s="1"/>
      <c r="X6001" s="1"/>
      <c r="Y6001" s="1"/>
      <c r="AC6001" s="38">
        <v>39</v>
      </c>
    </row>
    <row r="6002" spans="1:29" x14ac:dyDescent="0.25">
      <c r="A6002" s="22">
        <v>44353</v>
      </c>
      <c r="B6002" s="1"/>
      <c r="C6002" s="1">
        <v>25.5</v>
      </c>
      <c r="D6002" s="1">
        <v>48</v>
      </c>
      <c r="F6002" s="1">
        <v>26.2</v>
      </c>
      <c r="G6002" s="1">
        <v>33.200000000000003</v>
      </c>
      <c r="H6002" s="1">
        <v>31.4</v>
      </c>
      <c r="I6002" s="1"/>
      <c r="J6002" s="1">
        <v>36.1</v>
      </c>
      <c r="K6002" s="1">
        <v>23.2</v>
      </c>
      <c r="L6002" s="1">
        <v>8.636000000000001</v>
      </c>
      <c r="M6002" s="1"/>
      <c r="N6002" s="38">
        <v>0.2</v>
      </c>
      <c r="P6002" s="38">
        <v>7.1120000000000001</v>
      </c>
      <c r="Q6002" s="1">
        <v>0.2</v>
      </c>
      <c r="R6002" s="1"/>
      <c r="S6002" s="1"/>
      <c r="T6002" s="1"/>
      <c r="U6002" s="1"/>
      <c r="X6002" s="1"/>
      <c r="Y6002" s="1"/>
      <c r="AC6002" s="38">
        <v>0</v>
      </c>
    </row>
    <row r="6003" spans="1:29" x14ac:dyDescent="0.25">
      <c r="A6003" s="22">
        <v>44354</v>
      </c>
      <c r="B6003" s="1"/>
      <c r="C6003" s="1">
        <v>0.4</v>
      </c>
      <c r="D6003" s="1">
        <v>1.2</v>
      </c>
      <c r="F6003" s="1">
        <v>0.1</v>
      </c>
      <c r="G6003" s="1">
        <v>3.1</v>
      </c>
      <c r="H6003" s="1">
        <v>0</v>
      </c>
      <c r="I6003" s="1"/>
      <c r="J6003" s="1">
        <v>2.2000000000000002</v>
      </c>
      <c r="K6003" s="1">
        <v>2</v>
      </c>
      <c r="L6003" s="1">
        <v>1.016</v>
      </c>
      <c r="M6003" s="1"/>
      <c r="N6003" s="38">
        <v>6</v>
      </c>
      <c r="P6003" s="38">
        <v>1.5239999999999998</v>
      </c>
      <c r="Q6003" s="1">
        <v>25.4</v>
      </c>
      <c r="R6003" s="1"/>
      <c r="S6003" s="1"/>
      <c r="T6003" s="1"/>
      <c r="U6003" s="1"/>
      <c r="X6003" s="1"/>
      <c r="Y6003" s="1"/>
      <c r="AC6003" s="38">
        <v>10</v>
      </c>
    </row>
    <row r="6004" spans="1:29" x14ac:dyDescent="0.25">
      <c r="A6004" s="22">
        <v>44355</v>
      </c>
      <c r="B6004" s="1"/>
      <c r="C6004" s="1">
        <v>6.2</v>
      </c>
      <c r="D6004" s="1">
        <v>16.2</v>
      </c>
      <c r="F6004" s="1">
        <v>15</v>
      </c>
      <c r="G6004" s="1">
        <v>18.100000000000001</v>
      </c>
      <c r="H6004" s="1">
        <v>16</v>
      </c>
      <c r="I6004" s="1"/>
      <c r="J6004" s="1">
        <v>14.2</v>
      </c>
      <c r="K6004" s="1">
        <v>12.4</v>
      </c>
      <c r="L6004" s="1">
        <v>19.049999999999997</v>
      </c>
      <c r="M6004" s="1"/>
      <c r="N6004" s="38">
        <v>10.000000000000002</v>
      </c>
      <c r="P6004" s="38">
        <v>16.001999999999999</v>
      </c>
      <c r="Q6004" s="1">
        <v>13.2</v>
      </c>
      <c r="R6004" s="1"/>
      <c r="S6004" s="1"/>
      <c r="T6004" s="1"/>
      <c r="U6004" s="1"/>
      <c r="X6004" s="1"/>
      <c r="Y6004" s="1"/>
      <c r="AC6004" s="38">
        <v>8</v>
      </c>
    </row>
    <row r="6005" spans="1:29" x14ac:dyDescent="0.25">
      <c r="A6005" s="22">
        <v>44356</v>
      </c>
      <c r="B6005" s="1"/>
      <c r="C6005" s="1">
        <v>12.2</v>
      </c>
      <c r="D6005" s="1">
        <v>13.6</v>
      </c>
      <c r="F6005" s="1">
        <v>0</v>
      </c>
      <c r="G6005" s="1">
        <v>1.7</v>
      </c>
      <c r="H6005" s="1">
        <v>1</v>
      </c>
      <c r="I6005" s="1"/>
      <c r="J6005" s="1">
        <v>4.5999999999999996</v>
      </c>
      <c r="K6005" s="1">
        <v>4</v>
      </c>
      <c r="L6005" s="1">
        <v>7.3659999999999988</v>
      </c>
      <c r="M6005" s="1"/>
      <c r="N6005" s="38">
        <v>8.7999999999999989</v>
      </c>
      <c r="P6005" s="38">
        <v>6.8579999999999997</v>
      </c>
      <c r="Q6005" s="1">
        <v>1.2</v>
      </c>
      <c r="R6005" s="1"/>
      <c r="S6005" s="1"/>
      <c r="T6005" s="1"/>
      <c r="U6005" s="1"/>
      <c r="X6005" s="1"/>
      <c r="Y6005" s="1"/>
      <c r="AC6005" s="38">
        <v>1</v>
      </c>
    </row>
    <row r="6006" spans="1:29" x14ac:dyDescent="0.25">
      <c r="A6006" s="22">
        <v>44357</v>
      </c>
      <c r="B6006" s="1"/>
      <c r="C6006" s="1">
        <v>8.8000000000000007</v>
      </c>
      <c r="D6006" s="1">
        <v>2.7</v>
      </c>
      <c r="F6006" s="1">
        <v>0</v>
      </c>
      <c r="G6006" s="1">
        <v>0.4</v>
      </c>
      <c r="H6006" s="1">
        <v>0</v>
      </c>
      <c r="I6006" s="1"/>
      <c r="J6006" s="1">
        <v>1.9</v>
      </c>
      <c r="K6006" s="1">
        <v>3.4</v>
      </c>
      <c r="L6006" s="1">
        <v>1.5239999999999998</v>
      </c>
      <c r="M6006" s="1"/>
      <c r="N6006" s="38">
        <v>1.2</v>
      </c>
      <c r="P6006" s="38">
        <v>0</v>
      </c>
      <c r="Q6006" s="1">
        <v>0</v>
      </c>
      <c r="R6006" s="1"/>
      <c r="S6006" s="1"/>
      <c r="T6006" s="1"/>
      <c r="U6006" s="1"/>
      <c r="X6006" s="1"/>
      <c r="Y6006" s="1"/>
      <c r="AC6006" s="38">
        <v>0</v>
      </c>
    </row>
    <row r="6007" spans="1:29" x14ac:dyDescent="0.25">
      <c r="A6007" s="22">
        <v>44358</v>
      </c>
      <c r="B6007" s="1"/>
      <c r="C6007" s="1">
        <v>0</v>
      </c>
      <c r="D6007" s="1">
        <v>0</v>
      </c>
      <c r="F6007" s="1">
        <v>0</v>
      </c>
      <c r="G6007" s="1">
        <v>0.1</v>
      </c>
      <c r="H6007" s="1">
        <v>0</v>
      </c>
      <c r="I6007" s="1"/>
      <c r="J6007" s="1">
        <v>0</v>
      </c>
      <c r="K6007" s="1">
        <v>0</v>
      </c>
      <c r="L6007" s="1">
        <v>0.7619999999999999</v>
      </c>
      <c r="M6007" s="1"/>
      <c r="N6007" s="38">
        <v>0</v>
      </c>
      <c r="P6007" s="38">
        <v>0</v>
      </c>
      <c r="Q6007" s="1">
        <v>0</v>
      </c>
      <c r="R6007" s="1"/>
      <c r="S6007" s="1"/>
      <c r="T6007" s="1"/>
      <c r="U6007" s="1"/>
      <c r="X6007" s="1"/>
      <c r="Y6007" s="1"/>
      <c r="AC6007" s="38">
        <v>0</v>
      </c>
    </row>
    <row r="6008" spans="1:29" x14ac:dyDescent="0.25">
      <c r="A6008" s="22">
        <v>44359</v>
      </c>
      <c r="B6008" s="1"/>
      <c r="C6008" s="1">
        <v>0</v>
      </c>
      <c r="D6008" s="1">
        <v>0.2</v>
      </c>
      <c r="F6008" s="1">
        <v>0</v>
      </c>
      <c r="G6008" s="1">
        <v>0</v>
      </c>
      <c r="H6008" s="1">
        <v>0</v>
      </c>
      <c r="I6008" s="1"/>
      <c r="J6008" s="1">
        <v>0</v>
      </c>
      <c r="K6008" s="1">
        <v>0</v>
      </c>
      <c r="L6008" s="1">
        <v>0</v>
      </c>
      <c r="M6008" s="1"/>
      <c r="N6008" s="38">
        <v>0</v>
      </c>
      <c r="P6008" s="38">
        <v>0</v>
      </c>
      <c r="Q6008" s="1">
        <v>0</v>
      </c>
      <c r="R6008" s="1"/>
      <c r="S6008" s="1"/>
      <c r="T6008" s="1"/>
      <c r="U6008" s="1"/>
      <c r="X6008" s="1"/>
      <c r="Y6008" s="1"/>
      <c r="AC6008" s="38">
        <v>0</v>
      </c>
    </row>
    <row r="6009" spans="1:29" x14ac:dyDescent="0.25">
      <c r="A6009" s="22">
        <v>44360</v>
      </c>
      <c r="B6009" s="1"/>
      <c r="C6009" s="1">
        <v>0</v>
      </c>
      <c r="D6009" s="1">
        <v>0</v>
      </c>
      <c r="F6009" s="1">
        <v>0</v>
      </c>
      <c r="G6009" s="1">
        <v>2</v>
      </c>
      <c r="H6009" s="1">
        <v>0</v>
      </c>
      <c r="I6009" s="1"/>
      <c r="J6009" s="1">
        <v>0</v>
      </c>
      <c r="K6009" s="1">
        <v>0</v>
      </c>
      <c r="L6009" s="1">
        <v>0</v>
      </c>
      <c r="M6009" s="1"/>
      <c r="N6009" s="38">
        <v>0</v>
      </c>
      <c r="P6009" s="38">
        <v>0</v>
      </c>
      <c r="Q6009" s="1">
        <v>28.9</v>
      </c>
      <c r="R6009" s="1"/>
      <c r="S6009" s="1"/>
      <c r="T6009" s="1"/>
      <c r="U6009" s="1"/>
      <c r="X6009" s="1"/>
      <c r="Y6009" s="1"/>
      <c r="AC6009" s="38">
        <v>0</v>
      </c>
    </row>
    <row r="6010" spans="1:29" x14ac:dyDescent="0.25">
      <c r="A6010" s="22">
        <v>44361</v>
      </c>
      <c r="B6010" s="1"/>
      <c r="C6010" s="1">
        <v>39.200000000000003</v>
      </c>
      <c r="D6010" s="1">
        <v>38</v>
      </c>
      <c r="F6010" s="1">
        <v>14.2</v>
      </c>
      <c r="G6010" s="1">
        <v>21.8</v>
      </c>
      <c r="H6010" s="1">
        <v>18.2</v>
      </c>
      <c r="I6010" s="1"/>
      <c r="J6010" s="1">
        <v>19</v>
      </c>
      <c r="K6010" s="1">
        <v>20.100000000000001</v>
      </c>
      <c r="L6010" s="1">
        <v>22.097999999999999</v>
      </c>
      <c r="M6010" s="1"/>
      <c r="N6010" s="38">
        <v>23.399999999999988</v>
      </c>
      <c r="P6010" s="38">
        <v>16.763999999999999</v>
      </c>
      <c r="Q6010" s="1">
        <v>1.7</v>
      </c>
      <c r="R6010" s="1"/>
      <c r="S6010" s="1"/>
      <c r="T6010" s="1"/>
      <c r="U6010" s="1"/>
      <c r="X6010" s="1"/>
      <c r="Y6010" s="1"/>
      <c r="AC6010" s="38">
        <v>31</v>
      </c>
    </row>
    <row r="6011" spans="1:29" x14ac:dyDescent="0.25">
      <c r="A6011" s="22">
        <v>44362</v>
      </c>
      <c r="B6011" s="1"/>
      <c r="C6011" s="1">
        <v>6</v>
      </c>
      <c r="D6011" s="1">
        <v>6.4</v>
      </c>
      <c r="F6011" s="1">
        <v>0</v>
      </c>
      <c r="G6011" s="1">
        <v>1.9</v>
      </c>
      <c r="H6011" s="1">
        <v>0.5</v>
      </c>
      <c r="I6011" s="1"/>
      <c r="J6011" s="1">
        <v>2.5</v>
      </c>
      <c r="K6011" s="1">
        <v>3</v>
      </c>
      <c r="L6011" s="1">
        <v>2.2859999999999996</v>
      </c>
      <c r="M6011" s="1"/>
      <c r="N6011" s="38">
        <v>2.0000000000000004</v>
      </c>
      <c r="P6011" s="38">
        <v>2.2859999999999996</v>
      </c>
      <c r="Q6011" s="1">
        <v>3.8</v>
      </c>
      <c r="R6011" s="1"/>
      <c r="S6011" s="1"/>
      <c r="T6011" s="1"/>
      <c r="U6011" s="1"/>
      <c r="X6011" s="1"/>
      <c r="Y6011" s="1"/>
      <c r="AC6011" s="38">
        <v>1</v>
      </c>
    </row>
    <row r="6012" spans="1:29" x14ac:dyDescent="0.25">
      <c r="A6012" s="22">
        <v>44363</v>
      </c>
      <c r="B6012" s="1"/>
      <c r="C6012" s="1">
        <v>6.2</v>
      </c>
      <c r="D6012" s="1">
        <v>9.4</v>
      </c>
      <c r="F6012" s="1">
        <v>8.1</v>
      </c>
      <c r="G6012" s="1">
        <v>9.1999999999999993</v>
      </c>
      <c r="H6012" s="1">
        <v>7.2</v>
      </c>
      <c r="I6012" s="1"/>
      <c r="J6012" s="1">
        <v>6.6</v>
      </c>
      <c r="K6012" s="1">
        <v>13</v>
      </c>
      <c r="L6012" s="1">
        <v>3.302</v>
      </c>
      <c r="M6012" s="1"/>
      <c r="N6012" s="38">
        <v>24</v>
      </c>
      <c r="P6012" s="38">
        <v>0</v>
      </c>
      <c r="Q6012" s="1">
        <v>19.8</v>
      </c>
      <c r="R6012" s="1"/>
      <c r="S6012" s="1"/>
      <c r="T6012" s="1"/>
      <c r="U6012" s="1"/>
      <c r="X6012" s="1"/>
      <c r="Y6012" s="1"/>
      <c r="AC6012" s="38">
        <v>30</v>
      </c>
    </row>
    <row r="6013" spans="1:29" x14ac:dyDescent="0.25">
      <c r="A6013" s="22">
        <v>44364</v>
      </c>
      <c r="B6013" s="1"/>
      <c r="C6013" s="1">
        <v>41.6</v>
      </c>
      <c r="D6013" s="1">
        <v>0</v>
      </c>
      <c r="F6013" s="1">
        <v>5.0999999999999996</v>
      </c>
      <c r="G6013" s="1">
        <v>12.3</v>
      </c>
      <c r="H6013" s="1">
        <v>5.5</v>
      </c>
      <c r="I6013" s="1"/>
      <c r="J6013" s="1">
        <v>18</v>
      </c>
      <c r="K6013" s="1">
        <v>18.399999999999999</v>
      </c>
      <c r="L6013" s="1">
        <v>13.97</v>
      </c>
      <c r="M6013" s="1"/>
      <c r="N6013" s="38">
        <v>71.999999999999986</v>
      </c>
      <c r="P6013" s="38">
        <v>15.239999999999998</v>
      </c>
      <c r="Q6013" s="1">
        <v>55.8</v>
      </c>
      <c r="R6013" s="1"/>
      <c r="S6013" s="1"/>
      <c r="T6013" s="1"/>
      <c r="U6013" s="1"/>
      <c r="X6013" s="1"/>
      <c r="Y6013" s="1"/>
      <c r="AC6013" s="38">
        <v>22</v>
      </c>
    </row>
    <row r="6014" spans="1:29" x14ac:dyDescent="0.25">
      <c r="A6014" s="22">
        <v>44365</v>
      </c>
      <c r="B6014" s="1"/>
      <c r="C6014" s="1">
        <v>49.6</v>
      </c>
      <c r="D6014" s="1">
        <v>55.6</v>
      </c>
      <c r="F6014" s="1">
        <v>78.2</v>
      </c>
      <c r="G6014" s="1">
        <v>63.5</v>
      </c>
      <c r="H6014" s="1">
        <v>69.599999999999994</v>
      </c>
      <c r="I6014" s="1"/>
      <c r="J6014" s="1">
        <v>52</v>
      </c>
      <c r="K6014" s="1">
        <v>51</v>
      </c>
      <c r="L6014" s="1">
        <v>33.781999999999996</v>
      </c>
      <c r="M6014" s="1"/>
      <c r="N6014" s="38">
        <v>4.2</v>
      </c>
      <c r="P6014" s="38">
        <v>20.827999999999996</v>
      </c>
      <c r="Q6014" s="1">
        <v>8.6</v>
      </c>
      <c r="R6014" s="1"/>
      <c r="S6014" s="1"/>
      <c r="T6014" s="1"/>
      <c r="U6014" s="1"/>
      <c r="X6014" s="1"/>
      <c r="Y6014" s="1"/>
      <c r="AC6014" s="38">
        <v>0</v>
      </c>
    </row>
    <row r="6015" spans="1:29" x14ac:dyDescent="0.25">
      <c r="A6015" s="22">
        <v>44366</v>
      </c>
      <c r="B6015" s="1"/>
      <c r="C6015" s="1">
        <v>17.600000000000001</v>
      </c>
      <c r="D6015" s="1">
        <v>8</v>
      </c>
      <c r="F6015" s="1">
        <v>6.4</v>
      </c>
      <c r="G6015" s="1">
        <v>12.9</v>
      </c>
      <c r="H6015" s="1">
        <v>10</v>
      </c>
      <c r="I6015" s="1"/>
      <c r="J6015" s="1">
        <v>14.6</v>
      </c>
      <c r="K6015" s="1">
        <v>23.6</v>
      </c>
      <c r="L6015" s="1">
        <v>8.3819999999999997</v>
      </c>
      <c r="M6015" s="1"/>
      <c r="N6015" s="38">
        <v>13.999999999999998</v>
      </c>
      <c r="P6015" s="38">
        <v>0</v>
      </c>
      <c r="Q6015" s="1">
        <v>4.5</v>
      </c>
      <c r="R6015" s="1"/>
      <c r="S6015" s="1"/>
      <c r="T6015" s="1"/>
      <c r="U6015" s="1"/>
      <c r="X6015" s="1"/>
      <c r="Y6015" s="1"/>
      <c r="AC6015" s="38">
        <v>12</v>
      </c>
    </row>
    <row r="6016" spans="1:29" x14ac:dyDescent="0.25">
      <c r="A6016" s="22">
        <v>44367</v>
      </c>
      <c r="B6016" s="1"/>
      <c r="C6016" s="1">
        <v>5.4</v>
      </c>
      <c r="D6016" s="1">
        <v>13.1</v>
      </c>
      <c r="F6016" s="1">
        <v>4.4000000000000004</v>
      </c>
      <c r="G6016" s="1">
        <v>4.2</v>
      </c>
      <c r="H6016" s="1">
        <v>1.4</v>
      </c>
      <c r="I6016" s="1"/>
      <c r="J6016" s="1">
        <v>2</v>
      </c>
      <c r="K6016" s="1">
        <v>0.2</v>
      </c>
      <c r="L6016" s="1">
        <v>0</v>
      </c>
      <c r="M6016" s="1"/>
      <c r="N6016" s="38">
        <v>6.4</v>
      </c>
      <c r="P6016" s="38">
        <v>0</v>
      </c>
      <c r="Q6016" s="1">
        <v>12.7</v>
      </c>
      <c r="R6016" s="1"/>
      <c r="S6016" s="1"/>
      <c r="T6016" s="1"/>
      <c r="U6016" s="1"/>
      <c r="X6016" s="1"/>
      <c r="Y6016" s="1"/>
      <c r="AC6016" s="38">
        <v>3</v>
      </c>
    </row>
    <row r="6017" spans="1:29" x14ac:dyDescent="0.25">
      <c r="A6017" s="22">
        <v>44368</v>
      </c>
      <c r="B6017" s="1"/>
      <c r="C6017" s="1">
        <v>7</v>
      </c>
      <c r="D6017" s="1">
        <v>12</v>
      </c>
      <c r="F6017" s="1">
        <v>10</v>
      </c>
      <c r="G6017" s="1">
        <v>28.1</v>
      </c>
      <c r="H6017" s="1">
        <v>17</v>
      </c>
      <c r="I6017" s="1"/>
      <c r="J6017" s="1">
        <v>28</v>
      </c>
      <c r="K6017" s="1">
        <v>35.200000000000003</v>
      </c>
      <c r="L6017" s="1">
        <v>10.16</v>
      </c>
      <c r="M6017" s="1"/>
      <c r="N6017" s="38">
        <v>32.6</v>
      </c>
      <c r="P6017" s="38">
        <v>8.8899999999999988</v>
      </c>
      <c r="Q6017" s="1">
        <v>3.8</v>
      </c>
      <c r="R6017" s="1"/>
      <c r="S6017" s="1"/>
      <c r="T6017" s="1"/>
      <c r="U6017" s="1"/>
      <c r="X6017" s="1"/>
      <c r="Y6017" s="1"/>
      <c r="AC6017" s="38">
        <v>16</v>
      </c>
    </row>
    <row r="6018" spans="1:29" x14ac:dyDescent="0.25">
      <c r="A6018" s="22">
        <v>44369</v>
      </c>
      <c r="B6018" s="1"/>
      <c r="C6018" s="1">
        <v>1.6</v>
      </c>
      <c r="D6018" s="1">
        <v>4</v>
      </c>
      <c r="F6018" s="1">
        <v>0</v>
      </c>
      <c r="G6018" s="1">
        <v>6</v>
      </c>
      <c r="H6018" s="1">
        <v>2.5</v>
      </c>
      <c r="I6018" s="1"/>
      <c r="J6018" s="1">
        <v>2.6</v>
      </c>
      <c r="K6018" s="1">
        <v>0</v>
      </c>
      <c r="L6018" s="1">
        <v>1.016</v>
      </c>
      <c r="M6018" s="1"/>
      <c r="N6018" s="38">
        <v>1.2</v>
      </c>
      <c r="P6018" s="38">
        <v>7.8739999999999997</v>
      </c>
      <c r="Q6018" s="1">
        <v>22.6</v>
      </c>
      <c r="R6018" s="1"/>
      <c r="S6018" s="1"/>
      <c r="T6018" s="1"/>
      <c r="U6018" s="1"/>
      <c r="X6018" s="1"/>
      <c r="Y6018" s="1"/>
      <c r="AC6018" s="38">
        <v>2</v>
      </c>
    </row>
    <row r="6019" spans="1:29" x14ac:dyDescent="0.25">
      <c r="A6019" s="22">
        <v>44370</v>
      </c>
      <c r="B6019" s="1"/>
      <c r="C6019" s="1">
        <v>8</v>
      </c>
      <c r="D6019" s="1">
        <v>13.6</v>
      </c>
      <c r="F6019" s="1">
        <v>15</v>
      </c>
      <c r="G6019" s="1">
        <v>14.5</v>
      </c>
      <c r="H6019" s="1">
        <v>18.399999999999999</v>
      </c>
      <c r="I6019" s="1"/>
      <c r="J6019" s="1">
        <v>24.3</v>
      </c>
      <c r="K6019" s="1">
        <v>24.8</v>
      </c>
      <c r="L6019" s="1">
        <v>9.1439999999999984</v>
      </c>
      <c r="M6019" s="1"/>
      <c r="N6019" s="38">
        <v>74.800000000000026</v>
      </c>
      <c r="P6019" s="38">
        <v>5.08</v>
      </c>
      <c r="Q6019" s="1">
        <v>99.5</v>
      </c>
      <c r="R6019" s="1"/>
      <c r="S6019" s="1"/>
      <c r="T6019" s="1"/>
      <c r="U6019" s="1"/>
      <c r="X6019" s="1"/>
      <c r="Y6019" s="1"/>
      <c r="AC6019" s="38">
        <v>31</v>
      </c>
    </row>
    <row r="6020" spans="1:29" x14ac:dyDescent="0.25">
      <c r="A6020" s="22">
        <v>44371</v>
      </c>
      <c r="B6020" s="1"/>
      <c r="C6020" s="1">
        <v>110</v>
      </c>
      <c r="D6020" s="1">
        <v>71</v>
      </c>
      <c r="F6020" s="1">
        <v>40.1</v>
      </c>
      <c r="G6020" s="1">
        <v>90.5</v>
      </c>
      <c r="H6020" s="1">
        <v>44.6</v>
      </c>
      <c r="I6020" s="1"/>
      <c r="J6020" s="1">
        <v>61</v>
      </c>
      <c r="K6020" s="1">
        <v>61.1</v>
      </c>
      <c r="L6020" s="1">
        <v>51.053999999999995</v>
      </c>
      <c r="M6020" s="1"/>
      <c r="N6020" s="38">
        <v>23.400000000000002</v>
      </c>
      <c r="P6020" s="38">
        <v>76.199999999999989</v>
      </c>
      <c r="Q6020" s="1">
        <v>1.5</v>
      </c>
      <c r="R6020" s="1"/>
      <c r="S6020" s="1"/>
      <c r="T6020" s="1"/>
      <c r="U6020" s="1"/>
      <c r="X6020" s="1"/>
      <c r="Y6020" s="1"/>
      <c r="AC6020" s="38">
        <v>17</v>
      </c>
    </row>
    <row r="6021" spans="1:29" x14ac:dyDescent="0.25">
      <c r="A6021" s="22">
        <v>44372</v>
      </c>
      <c r="B6021" s="1"/>
      <c r="C6021" s="1">
        <v>0</v>
      </c>
      <c r="D6021" s="1">
        <v>1</v>
      </c>
      <c r="F6021" s="1">
        <v>0.3</v>
      </c>
      <c r="G6021" s="1">
        <v>0.2</v>
      </c>
      <c r="H6021" s="1">
        <v>0</v>
      </c>
      <c r="I6021" s="1"/>
      <c r="J6021" s="1">
        <v>1</v>
      </c>
      <c r="K6021" s="1">
        <v>0</v>
      </c>
      <c r="L6021" s="1">
        <v>0.7619999999999999</v>
      </c>
      <c r="M6021" s="1"/>
      <c r="N6021" s="38">
        <v>0.60000000000000009</v>
      </c>
      <c r="P6021" s="38">
        <v>0</v>
      </c>
      <c r="Q6021" s="1">
        <v>1.2</v>
      </c>
      <c r="R6021" s="1"/>
      <c r="S6021" s="1"/>
      <c r="T6021" s="1"/>
      <c r="U6021" s="1"/>
      <c r="X6021" s="1"/>
      <c r="Y6021" s="1"/>
      <c r="AC6021" s="38">
        <v>0</v>
      </c>
    </row>
    <row r="6022" spans="1:29" x14ac:dyDescent="0.25">
      <c r="A6022" s="22">
        <v>44373</v>
      </c>
      <c r="B6022" s="1"/>
      <c r="C6022" s="1">
        <v>12.4</v>
      </c>
      <c r="D6022" s="1">
        <v>15</v>
      </c>
      <c r="F6022" s="1">
        <v>7.4</v>
      </c>
      <c r="G6022" s="1">
        <v>9.1</v>
      </c>
      <c r="H6022" s="1">
        <v>7.9</v>
      </c>
      <c r="I6022" s="1"/>
      <c r="J6022" s="1">
        <v>12.2</v>
      </c>
      <c r="K6022" s="1">
        <v>0</v>
      </c>
      <c r="L6022" s="1">
        <v>1.016</v>
      </c>
      <c r="M6022" s="1"/>
      <c r="N6022" s="38">
        <v>15.999999999999996</v>
      </c>
      <c r="P6022" s="38">
        <v>0</v>
      </c>
      <c r="Q6022" s="1">
        <v>3.8</v>
      </c>
      <c r="R6022" s="1"/>
      <c r="S6022" s="1"/>
      <c r="T6022" s="1"/>
      <c r="U6022" s="1"/>
      <c r="X6022" s="1"/>
      <c r="Y6022" s="1"/>
      <c r="AC6022" s="38">
        <v>7</v>
      </c>
    </row>
    <row r="6023" spans="1:29" x14ac:dyDescent="0.25">
      <c r="A6023" s="22">
        <v>44374</v>
      </c>
      <c r="B6023" s="1"/>
      <c r="C6023" s="1">
        <v>10</v>
      </c>
      <c r="D6023" s="1">
        <v>1</v>
      </c>
      <c r="F6023" s="1">
        <v>0.8</v>
      </c>
      <c r="G6023" s="1">
        <v>2.2999999999999998</v>
      </c>
      <c r="H6023" s="1">
        <v>1</v>
      </c>
      <c r="I6023" s="1"/>
      <c r="J6023" s="1">
        <v>4.2</v>
      </c>
      <c r="K6023" s="1">
        <v>9</v>
      </c>
      <c r="L6023" s="1">
        <v>4.3180000000000005</v>
      </c>
      <c r="M6023" s="1"/>
      <c r="N6023" s="38">
        <v>0.60000000000000009</v>
      </c>
      <c r="P6023" s="38">
        <v>1.5239999999999998</v>
      </c>
      <c r="Q6023" s="1">
        <v>12.4</v>
      </c>
      <c r="R6023" s="1"/>
      <c r="S6023" s="1"/>
      <c r="T6023" s="1"/>
      <c r="U6023" s="1"/>
      <c r="X6023" s="1"/>
      <c r="Y6023" s="1"/>
      <c r="AC6023" s="38">
        <v>0</v>
      </c>
    </row>
    <row r="6024" spans="1:29" x14ac:dyDescent="0.25">
      <c r="A6024" s="22">
        <v>44375</v>
      </c>
      <c r="B6024" s="1"/>
      <c r="C6024" s="1">
        <v>14.8</v>
      </c>
      <c r="D6024" s="1">
        <v>20.8</v>
      </c>
      <c r="F6024" s="1">
        <v>8</v>
      </c>
      <c r="G6024" s="1">
        <v>17.5</v>
      </c>
      <c r="H6024" s="1">
        <v>7</v>
      </c>
      <c r="I6024" s="1"/>
      <c r="J6024" s="1">
        <v>18.2</v>
      </c>
      <c r="K6024" s="1">
        <v>24.4</v>
      </c>
      <c r="L6024" s="1">
        <v>8.8899999999999988</v>
      </c>
      <c r="M6024" s="1"/>
      <c r="N6024" s="38">
        <v>11.2</v>
      </c>
      <c r="P6024" s="38">
        <v>3.8099999999999996</v>
      </c>
      <c r="Q6024" s="1">
        <v>8.6</v>
      </c>
      <c r="R6024" s="1"/>
      <c r="S6024" s="1"/>
      <c r="T6024" s="1"/>
      <c r="U6024" s="1"/>
      <c r="X6024" s="1"/>
      <c r="Y6024" s="1"/>
      <c r="AC6024" s="38">
        <v>4</v>
      </c>
    </row>
    <row r="6025" spans="1:29" x14ac:dyDescent="0.25">
      <c r="A6025" s="22">
        <v>44376</v>
      </c>
      <c r="B6025" s="1"/>
      <c r="C6025" s="1">
        <v>22.6</v>
      </c>
      <c r="D6025" s="1">
        <v>18</v>
      </c>
      <c r="F6025" s="1">
        <v>4</v>
      </c>
      <c r="G6025" s="1">
        <v>4.3</v>
      </c>
      <c r="H6025" s="1">
        <v>4.7</v>
      </c>
      <c r="I6025" s="1"/>
      <c r="J6025" s="1">
        <v>4</v>
      </c>
      <c r="K6025" s="1">
        <v>5</v>
      </c>
      <c r="L6025" s="1">
        <v>5.8419999999999996</v>
      </c>
      <c r="M6025" s="1"/>
      <c r="N6025" s="38">
        <v>5.9999999999999991</v>
      </c>
      <c r="P6025" s="38">
        <v>7.1120000000000001</v>
      </c>
      <c r="Q6025" s="1">
        <v>6.3</v>
      </c>
      <c r="R6025" s="1"/>
      <c r="S6025" s="1"/>
      <c r="T6025" s="1"/>
      <c r="U6025" s="1"/>
      <c r="X6025" s="1"/>
      <c r="Y6025" s="1"/>
      <c r="AC6025" s="38">
        <v>9</v>
      </c>
    </row>
    <row r="6026" spans="1:29" x14ac:dyDescent="0.25">
      <c r="A6026" s="22">
        <v>44377</v>
      </c>
      <c r="B6026" s="1"/>
      <c r="C6026" s="1">
        <v>8</v>
      </c>
      <c r="D6026" s="1">
        <v>8.8000000000000007</v>
      </c>
      <c r="F6026" s="1">
        <v>10</v>
      </c>
      <c r="G6026" s="1">
        <v>13.4</v>
      </c>
      <c r="H6026" s="1">
        <v>12</v>
      </c>
      <c r="I6026" s="1"/>
      <c r="J6026" s="1">
        <v>12.3</v>
      </c>
      <c r="K6026" s="1">
        <v>10.4</v>
      </c>
      <c r="L6026" s="1">
        <v>6.8579999999999997</v>
      </c>
      <c r="M6026" s="1"/>
      <c r="N6026" s="38">
        <v>84</v>
      </c>
      <c r="P6026" s="38">
        <v>3.8099999999999996</v>
      </c>
      <c r="Q6026" s="1">
        <v>60.7</v>
      </c>
      <c r="R6026" s="1"/>
      <c r="S6026" s="1"/>
      <c r="T6026" s="1"/>
      <c r="U6026" s="1"/>
      <c r="X6026" s="1"/>
      <c r="Y6026" s="1"/>
      <c r="AC6026" s="38">
        <v>46</v>
      </c>
    </row>
    <row r="6027" spans="1:29" x14ac:dyDescent="0.25">
      <c r="A6027" s="22">
        <v>44378</v>
      </c>
      <c r="B6027" s="1">
        <v>0</v>
      </c>
      <c r="C6027" s="1"/>
      <c r="D6027" s="1">
        <v>83.2</v>
      </c>
      <c r="F6027" s="1">
        <v>51.1</v>
      </c>
      <c r="G6027" s="1">
        <v>58.2</v>
      </c>
      <c r="H6027" s="1">
        <v>70.8</v>
      </c>
      <c r="I6027" s="1">
        <v>25.6</v>
      </c>
      <c r="J6027" s="1">
        <v>52.2</v>
      </c>
      <c r="K6027" s="1">
        <v>52</v>
      </c>
      <c r="L6027" s="1"/>
      <c r="M6027" s="1">
        <v>65.3</v>
      </c>
      <c r="N6027" s="38">
        <v>18.799999999999994</v>
      </c>
      <c r="Q6027" s="1">
        <v>25.6</v>
      </c>
      <c r="R6027" s="1"/>
      <c r="S6027" s="1"/>
      <c r="T6027" s="1"/>
      <c r="U6027" s="1"/>
      <c r="X6027" s="1">
        <v>50</v>
      </c>
      <c r="Y6027" s="1"/>
      <c r="AC6027" s="38">
        <v>3</v>
      </c>
    </row>
    <row r="6028" spans="1:29" x14ac:dyDescent="0.25">
      <c r="A6028" s="22">
        <v>44379</v>
      </c>
      <c r="B6028" s="1">
        <v>0</v>
      </c>
      <c r="C6028" s="1"/>
      <c r="D6028" s="1">
        <v>30.8</v>
      </c>
      <c r="F6028" s="1">
        <v>32</v>
      </c>
      <c r="G6028" s="1">
        <v>25.7</v>
      </c>
      <c r="H6028" s="1">
        <v>0</v>
      </c>
      <c r="I6028" s="1">
        <v>4.2</v>
      </c>
      <c r="J6028" s="1">
        <v>22.2</v>
      </c>
      <c r="K6028" s="1">
        <v>32.4</v>
      </c>
      <c r="L6028" s="1"/>
      <c r="M6028" s="1">
        <v>36.9</v>
      </c>
      <c r="N6028" s="38">
        <v>86.000000000000043</v>
      </c>
      <c r="Q6028" s="1">
        <v>49.2</v>
      </c>
      <c r="R6028" s="1"/>
      <c r="S6028" s="1"/>
      <c r="T6028" s="1"/>
      <c r="U6028" s="1"/>
      <c r="X6028" s="1">
        <v>4.3</v>
      </c>
      <c r="Y6028" s="1"/>
      <c r="AC6028" s="38">
        <v>87</v>
      </c>
    </row>
    <row r="6029" spans="1:29" x14ac:dyDescent="0.25">
      <c r="A6029" s="22">
        <v>44380</v>
      </c>
      <c r="B6029" s="1">
        <v>0</v>
      </c>
      <c r="C6029" s="1"/>
      <c r="D6029" s="1">
        <v>65.2</v>
      </c>
      <c r="F6029" s="1">
        <v>53</v>
      </c>
      <c r="G6029" s="1">
        <v>77.599999999999994</v>
      </c>
      <c r="H6029" s="1">
        <v>86.4</v>
      </c>
      <c r="I6029" s="1">
        <v>73.8</v>
      </c>
      <c r="J6029" s="1">
        <v>6.8</v>
      </c>
      <c r="K6029" s="1">
        <v>52.3</v>
      </c>
      <c r="L6029" s="1"/>
      <c r="M6029" s="1">
        <v>66.400000000000006</v>
      </c>
      <c r="N6029" s="38">
        <v>2.8000000000000003</v>
      </c>
      <c r="Q6029" s="1">
        <v>0</v>
      </c>
      <c r="R6029" s="1"/>
      <c r="S6029" s="1"/>
      <c r="T6029" s="1"/>
      <c r="U6029" s="1"/>
      <c r="X6029" s="1">
        <v>50</v>
      </c>
      <c r="Y6029" s="1"/>
      <c r="AC6029" s="38">
        <v>2</v>
      </c>
    </row>
    <row r="6030" spans="1:29" x14ac:dyDescent="0.25">
      <c r="A6030" s="22">
        <v>44381</v>
      </c>
      <c r="B6030" s="1">
        <v>0</v>
      </c>
      <c r="C6030" s="1"/>
      <c r="D6030" s="1">
        <v>1</v>
      </c>
      <c r="F6030" s="1">
        <v>0.1</v>
      </c>
      <c r="G6030" s="1">
        <v>0</v>
      </c>
      <c r="H6030" s="1">
        <v>0</v>
      </c>
      <c r="I6030" s="1">
        <v>0</v>
      </c>
      <c r="J6030" s="1">
        <v>6.5</v>
      </c>
      <c r="K6030" s="1">
        <v>0.2</v>
      </c>
      <c r="L6030" s="1"/>
      <c r="M6030" s="1">
        <v>0.8</v>
      </c>
      <c r="N6030" s="38">
        <v>0.60000000000000009</v>
      </c>
      <c r="Q6030" s="1">
        <v>0</v>
      </c>
      <c r="R6030" s="1"/>
      <c r="S6030" s="1"/>
      <c r="T6030" s="1"/>
      <c r="U6030" s="1"/>
      <c r="X6030" s="1">
        <v>44.3</v>
      </c>
      <c r="Y6030" s="1"/>
      <c r="AC6030" s="38">
        <v>0</v>
      </c>
    </row>
    <row r="6031" spans="1:29" x14ac:dyDescent="0.25">
      <c r="A6031" s="22">
        <v>44382</v>
      </c>
      <c r="B6031" s="1">
        <v>0</v>
      </c>
      <c r="C6031" s="1"/>
      <c r="D6031" s="1">
        <v>2.4</v>
      </c>
      <c r="F6031" s="1">
        <v>0</v>
      </c>
      <c r="G6031" s="1">
        <v>0.4</v>
      </c>
      <c r="H6031" s="1">
        <v>0</v>
      </c>
      <c r="I6031" s="1">
        <v>2.7</v>
      </c>
      <c r="J6031" s="1">
        <v>1.9</v>
      </c>
      <c r="K6031" s="1">
        <v>0.3</v>
      </c>
      <c r="L6031" s="1"/>
      <c r="M6031" s="1">
        <v>0</v>
      </c>
      <c r="N6031" s="38">
        <v>4.8</v>
      </c>
      <c r="Q6031" s="1">
        <v>0</v>
      </c>
      <c r="R6031" s="1"/>
      <c r="S6031" s="1"/>
      <c r="T6031" s="1"/>
      <c r="U6031" s="1"/>
      <c r="X6031" s="1">
        <v>0.5</v>
      </c>
      <c r="Y6031" s="1"/>
      <c r="AC6031" s="38">
        <v>1</v>
      </c>
    </row>
    <row r="6032" spans="1:29" x14ac:dyDescent="0.25">
      <c r="A6032" s="22">
        <v>44383</v>
      </c>
      <c r="B6032" s="1">
        <v>44.1</v>
      </c>
      <c r="C6032" s="1"/>
      <c r="D6032" s="1">
        <v>1.8</v>
      </c>
      <c r="F6032" s="1">
        <v>4.4000000000000004</v>
      </c>
      <c r="G6032" s="1">
        <v>6.7</v>
      </c>
      <c r="H6032" s="1">
        <v>4.3</v>
      </c>
      <c r="I6032" s="1">
        <v>2.2999999999999998</v>
      </c>
      <c r="J6032" s="1">
        <v>2.2000000000000002</v>
      </c>
      <c r="K6032" s="1">
        <v>3</v>
      </c>
      <c r="L6032" s="1"/>
      <c r="M6032" s="1">
        <v>4.8</v>
      </c>
      <c r="N6032" s="38">
        <v>9.4</v>
      </c>
      <c r="Q6032" s="1">
        <v>9.9</v>
      </c>
      <c r="R6032" s="1"/>
      <c r="S6032" s="1"/>
      <c r="T6032" s="1"/>
      <c r="U6032" s="1"/>
      <c r="X6032" s="1">
        <v>0</v>
      </c>
      <c r="Y6032" s="1"/>
      <c r="AC6032" s="38">
        <v>28</v>
      </c>
    </row>
    <row r="6033" spans="1:29" x14ac:dyDescent="0.25">
      <c r="A6033" s="22">
        <v>44384</v>
      </c>
      <c r="B6033" s="1">
        <v>0</v>
      </c>
      <c r="C6033" s="1"/>
      <c r="D6033" s="1">
        <v>16.399999999999999</v>
      </c>
      <c r="F6033" s="1">
        <v>17.3</v>
      </c>
      <c r="G6033" s="1">
        <v>33.799999999999997</v>
      </c>
      <c r="H6033" s="1">
        <v>19.100000000000001</v>
      </c>
      <c r="I6033" s="1">
        <v>32.799999999999997</v>
      </c>
      <c r="J6033" s="1">
        <v>30</v>
      </c>
      <c r="K6033" s="1">
        <v>27.6</v>
      </c>
      <c r="L6033" s="1"/>
      <c r="M6033" s="1">
        <v>32</v>
      </c>
      <c r="N6033" s="38">
        <v>15.399999999999999</v>
      </c>
      <c r="Q6033" s="1">
        <v>2</v>
      </c>
      <c r="R6033" s="1"/>
      <c r="S6033" s="1"/>
      <c r="T6033" s="1"/>
      <c r="U6033" s="1"/>
      <c r="X6033" s="1">
        <v>0</v>
      </c>
      <c r="Y6033" s="1"/>
      <c r="AC6033" s="38">
        <v>1</v>
      </c>
    </row>
    <row r="6034" spans="1:29" x14ac:dyDescent="0.25">
      <c r="A6034" s="22">
        <v>44385</v>
      </c>
      <c r="B6034" s="1">
        <v>21</v>
      </c>
      <c r="C6034" s="1"/>
      <c r="D6034" s="1">
        <v>4</v>
      </c>
      <c r="F6034" s="1">
        <v>1.4</v>
      </c>
      <c r="G6034" s="1">
        <v>0</v>
      </c>
      <c r="H6034" s="1">
        <v>3.4</v>
      </c>
      <c r="I6034" s="1">
        <v>4.5999999999999996</v>
      </c>
      <c r="J6034" s="1">
        <v>2.2999999999999998</v>
      </c>
      <c r="K6034" s="1">
        <v>1</v>
      </c>
      <c r="L6034" s="1"/>
      <c r="M6034" s="1">
        <v>5.7</v>
      </c>
      <c r="N6034" s="38">
        <v>1</v>
      </c>
      <c r="Q6034" s="1">
        <v>0</v>
      </c>
      <c r="R6034" s="1"/>
      <c r="S6034" s="1"/>
      <c r="T6034" s="1"/>
      <c r="U6034" s="1"/>
      <c r="X6034" s="1">
        <v>4</v>
      </c>
      <c r="Y6034" s="1"/>
      <c r="AC6034" s="38">
        <v>0</v>
      </c>
    </row>
    <row r="6035" spans="1:29" x14ac:dyDescent="0.25">
      <c r="A6035" s="22">
        <v>44386</v>
      </c>
      <c r="B6035" s="1">
        <v>13.1</v>
      </c>
      <c r="C6035" s="1"/>
      <c r="D6035" s="1">
        <v>1</v>
      </c>
      <c r="F6035" s="1">
        <v>0</v>
      </c>
      <c r="G6035" s="1">
        <v>0.5</v>
      </c>
      <c r="H6035" s="1">
        <v>0</v>
      </c>
      <c r="I6035" s="1">
        <v>0.1</v>
      </c>
      <c r="J6035" s="1">
        <v>6</v>
      </c>
      <c r="K6035" s="1">
        <v>1</v>
      </c>
      <c r="L6035" s="1"/>
      <c r="M6035" s="1">
        <v>0</v>
      </c>
      <c r="N6035" s="38">
        <v>0</v>
      </c>
      <c r="Q6035" s="1">
        <v>0</v>
      </c>
      <c r="R6035" s="1"/>
      <c r="S6035" s="1"/>
      <c r="T6035" s="1"/>
      <c r="U6035" s="1"/>
      <c r="X6035" s="1">
        <v>0</v>
      </c>
      <c r="Y6035" s="1"/>
      <c r="AC6035" s="38">
        <v>0</v>
      </c>
    </row>
    <row r="6036" spans="1:29" x14ac:dyDescent="0.25">
      <c r="A6036" s="22">
        <v>44387</v>
      </c>
      <c r="B6036" s="1">
        <v>0</v>
      </c>
      <c r="C6036" s="1"/>
      <c r="D6036" s="1">
        <v>0</v>
      </c>
      <c r="F6036" s="1">
        <v>0</v>
      </c>
      <c r="G6036" s="1">
        <v>0.5</v>
      </c>
      <c r="H6036" s="1">
        <v>0</v>
      </c>
      <c r="I6036" s="1">
        <v>0.2</v>
      </c>
      <c r="J6036" s="1">
        <v>0</v>
      </c>
      <c r="K6036" s="1">
        <v>0</v>
      </c>
      <c r="L6036" s="1"/>
      <c r="M6036" s="1">
        <v>0.2</v>
      </c>
      <c r="N6036" s="38">
        <v>2.8</v>
      </c>
      <c r="Q6036" s="1">
        <v>10.1</v>
      </c>
      <c r="R6036" s="1"/>
      <c r="S6036" s="1"/>
      <c r="T6036" s="1"/>
      <c r="U6036" s="1"/>
      <c r="X6036" s="1">
        <v>0</v>
      </c>
      <c r="Y6036" s="1"/>
      <c r="AC6036" s="38">
        <v>0</v>
      </c>
    </row>
    <row r="6037" spans="1:29" x14ac:dyDescent="0.25">
      <c r="A6037" s="22">
        <v>44388</v>
      </c>
      <c r="B6037" s="1">
        <v>0</v>
      </c>
      <c r="C6037" s="1"/>
      <c r="D6037" s="1">
        <v>20</v>
      </c>
      <c r="F6037" s="1">
        <v>5.2</v>
      </c>
      <c r="G6037" s="1">
        <v>6.3</v>
      </c>
      <c r="H6037" s="1">
        <v>5.2</v>
      </c>
      <c r="I6037" s="1">
        <v>6.2</v>
      </c>
      <c r="J6037" s="1">
        <v>14.4</v>
      </c>
      <c r="K6037" s="1">
        <v>30.3</v>
      </c>
      <c r="L6037" s="1"/>
      <c r="M6037" s="1">
        <v>7.2</v>
      </c>
      <c r="N6037" s="38">
        <v>32.400000000000006</v>
      </c>
      <c r="Q6037" s="1">
        <v>19</v>
      </c>
      <c r="R6037" s="1"/>
      <c r="S6037" s="1"/>
      <c r="T6037" s="1"/>
      <c r="U6037" s="1"/>
      <c r="X6037" s="1">
        <v>25</v>
      </c>
      <c r="Y6037" s="1"/>
      <c r="AC6037" s="38">
        <v>24</v>
      </c>
    </row>
    <row r="6038" spans="1:29" x14ac:dyDescent="0.25">
      <c r="A6038" s="22">
        <v>44389</v>
      </c>
      <c r="B6038" s="1">
        <v>0</v>
      </c>
      <c r="C6038" s="1"/>
      <c r="D6038" s="1">
        <v>26</v>
      </c>
      <c r="F6038" s="1">
        <v>10.3</v>
      </c>
      <c r="G6038" s="1">
        <v>18.5</v>
      </c>
      <c r="H6038" s="1">
        <v>14</v>
      </c>
      <c r="I6038" s="1">
        <v>14.2</v>
      </c>
      <c r="J6038" s="1">
        <v>28</v>
      </c>
      <c r="K6038" s="1">
        <v>14.4</v>
      </c>
      <c r="L6038" s="1"/>
      <c r="M6038" s="1">
        <v>10.199999999999999</v>
      </c>
      <c r="N6038" s="38">
        <v>6.8000000000000007</v>
      </c>
      <c r="Q6038" s="1">
        <v>0.2</v>
      </c>
      <c r="R6038" s="1"/>
      <c r="S6038" s="1"/>
      <c r="T6038" s="1"/>
      <c r="U6038" s="1"/>
      <c r="X6038" s="1">
        <v>4</v>
      </c>
      <c r="Y6038" s="1"/>
      <c r="AC6038" s="38">
        <v>0</v>
      </c>
    </row>
    <row r="6039" spans="1:29" x14ac:dyDescent="0.25">
      <c r="A6039" s="22">
        <v>44390</v>
      </c>
      <c r="B6039" s="1">
        <v>0</v>
      </c>
      <c r="C6039" s="1"/>
      <c r="D6039" s="1">
        <v>2.6</v>
      </c>
      <c r="F6039" s="1">
        <v>4</v>
      </c>
      <c r="G6039" s="1">
        <v>8.4</v>
      </c>
      <c r="H6039" s="1">
        <v>5.6</v>
      </c>
      <c r="I6039" s="1">
        <v>3.3</v>
      </c>
      <c r="J6039" s="1">
        <v>6.5</v>
      </c>
      <c r="K6039" s="1">
        <v>4.4000000000000004</v>
      </c>
      <c r="L6039" s="1"/>
      <c r="M6039" s="1">
        <v>4.5999999999999996</v>
      </c>
      <c r="N6039" s="38">
        <v>5.6000000000000014</v>
      </c>
      <c r="Q6039" s="1">
        <v>0.5</v>
      </c>
      <c r="R6039" s="1"/>
      <c r="S6039" s="1"/>
      <c r="T6039" s="1"/>
      <c r="U6039" s="1"/>
      <c r="X6039" s="1">
        <v>0</v>
      </c>
      <c r="Y6039" s="1"/>
      <c r="AC6039" s="38">
        <v>4</v>
      </c>
    </row>
    <row r="6040" spans="1:29" x14ac:dyDescent="0.25">
      <c r="A6040" s="22">
        <v>44391</v>
      </c>
      <c r="B6040" s="1">
        <v>44.1</v>
      </c>
      <c r="C6040" s="1"/>
      <c r="D6040" s="1">
        <v>0.5</v>
      </c>
      <c r="F6040" s="1">
        <v>0</v>
      </c>
      <c r="G6040" s="1">
        <v>0.5</v>
      </c>
      <c r="H6040" s="1">
        <v>0</v>
      </c>
      <c r="I6040" s="1">
        <v>4.0999999999999996</v>
      </c>
      <c r="J6040" s="1">
        <v>4</v>
      </c>
      <c r="K6040" s="1">
        <v>0</v>
      </c>
      <c r="L6040" s="1"/>
      <c r="M6040" s="1">
        <v>0.5</v>
      </c>
      <c r="N6040" s="38">
        <v>0.8</v>
      </c>
      <c r="Q6040" s="1">
        <v>0</v>
      </c>
      <c r="R6040" s="1"/>
      <c r="S6040" s="1"/>
      <c r="T6040" s="1"/>
      <c r="U6040" s="1"/>
      <c r="X6040" s="1">
        <v>0</v>
      </c>
      <c r="Y6040" s="1"/>
      <c r="AC6040" s="38">
        <v>6</v>
      </c>
    </row>
    <row r="6041" spans="1:29" x14ac:dyDescent="0.25">
      <c r="A6041" s="22">
        <v>44392</v>
      </c>
      <c r="B6041" s="1">
        <v>0</v>
      </c>
      <c r="C6041" s="1"/>
      <c r="D6041" s="1">
        <v>0</v>
      </c>
      <c r="F6041" s="1">
        <v>0</v>
      </c>
      <c r="G6041" s="1">
        <v>0</v>
      </c>
      <c r="H6041" s="1">
        <v>0</v>
      </c>
      <c r="I6041" s="1">
        <v>0.1</v>
      </c>
      <c r="J6041" s="1">
        <v>1</v>
      </c>
      <c r="K6041" s="1">
        <v>3.4</v>
      </c>
      <c r="L6041" s="1"/>
      <c r="M6041" s="1">
        <v>0.4</v>
      </c>
      <c r="N6041" s="38">
        <v>9</v>
      </c>
      <c r="Q6041" s="1">
        <v>6.8</v>
      </c>
      <c r="R6041" s="1"/>
      <c r="S6041" s="1"/>
      <c r="T6041" s="1"/>
      <c r="U6041" s="1"/>
      <c r="X6041" s="1">
        <v>0.6</v>
      </c>
      <c r="Y6041" s="1"/>
      <c r="AC6041" s="38">
        <v>4</v>
      </c>
    </row>
    <row r="6042" spans="1:29" x14ac:dyDescent="0.25">
      <c r="A6042" s="22">
        <v>44393</v>
      </c>
      <c r="B6042" s="1">
        <v>0</v>
      </c>
      <c r="C6042" s="1"/>
      <c r="D6042" s="1">
        <v>15</v>
      </c>
      <c r="F6042" s="1">
        <v>10.199999999999999</v>
      </c>
      <c r="G6042" s="1">
        <v>14.3</v>
      </c>
      <c r="H6042" s="1">
        <v>8.1999999999999993</v>
      </c>
      <c r="I6042" s="1">
        <v>6.4</v>
      </c>
      <c r="J6042" s="1">
        <v>9</v>
      </c>
      <c r="K6042" s="1">
        <v>11.2</v>
      </c>
      <c r="L6042" s="1"/>
      <c r="M6042" s="1">
        <v>10.4</v>
      </c>
      <c r="N6042" s="38">
        <v>1.2000000000000002</v>
      </c>
      <c r="Q6042" s="1">
        <v>0</v>
      </c>
      <c r="R6042" s="1"/>
      <c r="S6042" s="1"/>
      <c r="T6042" s="1"/>
      <c r="U6042" s="1"/>
      <c r="X6042" s="1">
        <v>1.8</v>
      </c>
      <c r="Y6042" s="1"/>
      <c r="AC6042" s="38">
        <v>1</v>
      </c>
    </row>
    <row r="6043" spans="1:29" x14ac:dyDescent="0.25">
      <c r="A6043" s="22">
        <v>44394</v>
      </c>
      <c r="B6043" s="1">
        <v>25</v>
      </c>
      <c r="C6043" s="1"/>
      <c r="D6043" s="1">
        <v>0</v>
      </c>
      <c r="F6043" s="1">
        <v>2.2000000000000002</v>
      </c>
      <c r="G6043" s="1">
        <v>2</v>
      </c>
      <c r="H6043" s="1">
        <v>3.2</v>
      </c>
      <c r="I6043" s="1">
        <v>0.2</v>
      </c>
      <c r="J6043" s="1">
        <v>0.4</v>
      </c>
      <c r="K6043" s="1">
        <v>2.2999999999999998</v>
      </c>
      <c r="L6043" s="1"/>
      <c r="M6043" s="1">
        <v>4.3</v>
      </c>
      <c r="N6043" s="38">
        <v>42.400000000000006</v>
      </c>
      <c r="Q6043" s="1">
        <v>10.1</v>
      </c>
      <c r="R6043" s="1"/>
      <c r="S6043" s="1"/>
      <c r="T6043" s="1"/>
      <c r="U6043" s="1"/>
      <c r="X6043" s="1">
        <v>2.7</v>
      </c>
      <c r="Y6043" s="1"/>
      <c r="AC6043" s="38">
        <v>18</v>
      </c>
    </row>
    <row r="6044" spans="1:29" x14ac:dyDescent="0.25">
      <c r="A6044" s="22">
        <v>44395</v>
      </c>
      <c r="B6044" s="1">
        <v>50</v>
      </c>
      <c r="C6044" s="1"/>
      <c r="D6044" s="1">
        <v>22.2</v>
      </c>
      <c r="F6044" s="1">
        <v>36.200000000000003</v>
      </c>
      <c r="G6044" s="1">
        <v>24.3</v>
      </c>
      <c r="H6044" s="1">
        <v>27</v>
      </c>
      <c r="I6044" s="1">
        <v>16</v>
      </c>
      <c r="J6044" s="1">
        <v>32.4</v>
      </c>
      <c r="K6044" s="1">
        <v>49.2</v>
      </c>
      <c r="L6044" s="1"/>
      <c r="M6044" s="1">
        <v>22.4</v>
      </c>
      <c r="N6044" s="38">
        <v>3.1999999999999997</v>
      </c>
      <c r="Q6044" s="1">
        <v>3.5</v>
      </c>
      <c r="R6044" s="1"/>
      <c r="S6044" s="1"/>
      <c r="T6044" s="1"/>
      <c r="U6044" s="1"/>
      <c r="X6044" s="1">
        <v>6</v>
      </c>
      <c r="Y6044" s="1"/>
      <c r="AC6044" s="38">
        <v>0</v>
      </c>
    </row>
    <row r="6045" spans="1:29" x14ac:dyDescent="0.25">
      <c r="A6045" s="22">
        <v>44396</v>
      </c>
      <c r="B6045" s="1">
        <v>0</v>
      </c>
      <c r="C6045" s="1"/>
      <c r="D6045" s="1">
        <v>6.1</v>
      </c>
      <c r="F6045" s="1">
        <v>0</v>
      </c>
      <c r="G6045" s="1">
        <v>2</v>
      </c>
      <c r="H6045" s="1">
        <v>1</v>
      </c>
      <c r="I6045" s="1">
        <v>1</v>
      </c>
      <c r="J6045" s="1">
        <v>2.2000000000000002</v>
      </c>
      <c r="K6045" s="1">
        <v>2.4</v>
      </c>
      <c r="L6045" s="1"/>
      <c r="M6045" s="1">
        <v>0.8</v>
      </c>
      <c r="N6045" s="38">
        <v>3.6</v>
      </c>
      <c r="Q6045" s="1">
        <v>0.1</v>
      </c>
      <c r="R6045" s="1"/>
      <c r="S6045" s="1"/>
      <c r="T6045" s="1"/>
      <c r="U6045" s="1"/>
      <c r="X6045" s="1">
        <v>0</v>
      </c>
      <c r="Y6045" s="1"/>
      <c r="AC6045" s="38">
        <v>1</v>
      </c>
    </row>
    <row r="6046" spans="1:29" x14ac:dyDescent="0.25">
      <c r="A6046" s="22">
        <v>44397</v>
      </c>
      <c r="B6046" s="1">
        <v>0</v>
      </c>
      <c r="C6046" s="1"/>
      <c r="D6046" s="1">
        <v>0</v>
      </c>
      <c r="F6046" s="1">
        <v>0.3</v>
      </c>
      <c r="G6046" s="1">
        <v>0.5</v>
      </c>
      <c r="H6046" s="1">
        <v>0</v>
      </c>
      <c r="I6046" s="1">
        <v>0.2</v>
      </c>
      <c r="J6046" s="1">
        <v>0.8</v>
      </c>
      <c r="K6046" s="1">
        <v>3.4</v>
      </c>
      <c r="L6046" s="1"/>
      <c r="M6046" s="1">
        <v>0</v>
      </c>
      <c r="N6046" s="38">
        <v>0.8</v>
      </c>
      <c r="Q6046" s="1">
        <v>0</v>
      </c>
      <c r="R6046" s="1"/>
      <c r="S6046" s="1"/>
      <c r="T6046" s="1"/>
      <c r="U6046" s="1"/>
      <c r="X6046" s="1">
        <v>0</v>
      </c>
      <c r="Y6046" s="1"/>
      <c r="AC6046" s="38">
        <v>0</v>
      </c>
    </row>
    <row r="6047" spans="1:29" x14ac:dyDescent="0.25">
      <c r="A6047" s="22">
        <v>44398</v>
      </c>
      <c r="B6047" s="1">
        <v>31.3</v>
      </c>
      <c r="C6047" s="1"/>
      <c r="D6047" s="1">
        <v>2</v>
      </c>
      <c r="F6047" s="1">
        <v>3.2</v>
      </c>
      <c r="G6047" s="1">
        <v>2.4</v>
      </c>
      <c r="H6047" s="1">
        <v>0</v>
      </c>
      <c r="I6047" s="1">
        <v>1</v>
      </c>
      <c r="J6047" s="1">
        <v>11</v>
      </c>
      <c r="K6047" s="1">
        <v>4.4000000000000004</v>
      </c>
      <c r="L6047" s="1"/>
      <c r="M6047" s="1">
        <v>4.2</v>
      </c>
      <c r="N6047" s="38">
        <v>0</v>
      </c>
      <c r="Q6047" s="1">
        <v>0.1</v>
      </c>
      <c r="R6047" s="1"/>
      <c r="S6047" s="1"/>
      <c r="T6047" s="1"/>
      <c r="U6047" s="1"/>
      <c r="X6047" s="1">
        <v>30</v>
      </c>
      <c r="Y6047" s="1"/>
      <c r="AC6047" s="38">
        <v>6</v>
      </c>
    </row>
    <row r="6048" spans="1:29" x14ac:dyDescent="0.25">
      <c r="A6048" s="22">
        <v>44399</v>
      </c>
      <c r="B6048" s="1">
        <v>0</v>
      </c>
      <c r="C6048" s="1"/>
      <c r="D6048" s="1">
        <v>4</v>
      </c>
      <c r="F6048" s="1">
        <v>0.2</v>
      </c>
      <c r="G6048" s="1">
        <v>1.5</v>
      </c>
      <c r="H6048" s="1">
        <v>0</v>
      </c>
      <c r="I6048" s="1">
        <v>2.8</v>
      </c>
      <c r="J6048" s="1">
        <v>2</v>
      </c>
      <c r="K6048" s="1">
        <v>5</v>
      </c>
      <c r="L6048" s="1"/>
      <c r="M6048" s="1">
        <v>0.2</v>
      </c>
      <c r="N6048" s="38">
        <v>2</v>
      </c>
      <c r="Q6048" s="1">
        <v>8.1</v>
      </c>
      <c r="R6048" s="1"/>
      <c r="S6048" s="1"/>
      <c r="T6048" s="1"/>
      <c r="U6048" s="1"/>
      <c r="X6048" s="1">
        <v>0</v>
      </c>
      <c r="Y6048" s="1"/>
      <c r="AC6048" s="38">
        <v>2</v>
      </c>
    </row>
    <row r="6049" spans="1:29" x14ac:dyDescent="0.25">
      <c r="A6049" s="22">
        <v>44400</v>
      </c>
      <c r="B6049" s="1">
        <v>0</v>
      </c>
      <c r="C6049" s="1"/>
      <c r="D6049" s="1">
        <v>32</v>
      </c>
      <c r="F6049" s="1">
        <v>17.399999999999999</v>
      </c>
      <c r="G6049" s="1">
        <v>28.2</v>
      </c>
      <c r="H6049" s="1">
        <v>19.7</v>
      </c>
      <c r="I6049" s="1">
        <v>7.4</v>
      </c>
      <c r="J6049" s="1">
        <v>20.2</v>
      </c>
      <c r="K6049" s="1">
        <v>31</v>
      </c>
      <c r="L6049" s="1"/>
      <c r="M6049" s="1">
        <v>22.3</v>
      </c>
      <c r="N6049" s="38">
        <v>38.200000000000003</v>
      </c>
      <c r="Q6049" s="1">
        <v>7.8</v>
      </c>
      <c r="R6049" s="1"/>
      <c r="S6049" s="1"/>
      <c r="T6049" s="1"/>
      <c r="U6049" s="1"/>
      <c r="X6049" s="1">
        <v>0</v>
      </c>
      <c r="Y6049" s="1"/>
      <c r="AC6049" s="38">
        <v>33</v>
      </c>
    </row>
    <row r="6050" spans="1:29" x14ac:dyDescent="0.25">
      <c r="A6050" s="22">
        <v>44401</v>
      </c>
      <c r="B6050" s="1">
        <v>81</v>
      </c>
      <c r="C6050" s="1"/>
      <c r="D6050" s="1">
        <v>0</v>
      </c>
      <c r="F6050" s="1">
        <v>3.3</v>
      </c>
      <c r="G6050" s="1">
        <v>12</v>
      </c>
      <c r="H6050" s="1">
        <v>3.8</v>
      </c>
      <c r="I6050" s="1">
        <v>25.7</v>
      </c>
      <c r="J6050" s="1">
        <v>10.7</v>
      </c>
      <c r="K6050" s="1">
        <v>12.6</v>
      </c>
      <c r="L6050" s="1"/>
      <c r="M6050" s="1">
        <v>4.4000000000000004</v>
      </c>
      <c r="N6050" s="38">
        <v>1.4</v>
      </c>
      <c r="Q6050" s="1">
        <v>0.2</v>
      </c>
      <c r="R6050" s="1"/>
      <c r="S6050" s="1"/>
      <c r="T6050" s="1"/>
      <c r="U6050" s="1"/>
      <c r="X6050" s="1">
        <v>0</v>
      </c>
      <c r="Y6050" s="1"/>
      <c r="AC6050" s="38">
        <v>1</v>
      </c>
    </row>
    <row r="6051" spans="1:29" x14ac:dyDescent="0.25">
      <c r="A6051" s="22">
        <v>44402</v>
      </c>
      <c r="B6051" s="1">
        <v>0</v>
      </c>
      <c r="C6051" s="1"/>
      <c r="D6051" s="1">
        <v>4</v>
      </c>
      <c r="F6051" s="1">
        <v>2.4</v>
      </c>
      <c r="G6051" s="1">
        <v>2</v>
      </c>
      <c r="H6051" s="1">
        <v>0</v>
      </c>
      <c r="I6051" s="1">
        <v>1</v>
      </c>
      <c r="J6051" s="1">
        <v>1</v>
      </c>
      <c r="K6051" s="1">
        <v>2.5</v>
      </c>
      <c r="L6051" s="1"/>
      <c r="M6051" s="1">
        <v>0</v>
      </c>
      <c r="N6051" s="38">
        <v>2.4000000000000004</v>
      </c>
      <c r="Q6051" s="1">
        <v>6.6</v>
      </c>
      <c r="R6051" s="1"/>
      <c r="S6051" s="1"/>
      <c r="T6051" s="1"/>
      <c r="U6051" s="1"/>
      <c r="X6051" s="1">
        <v>0</v>
      </c>
      <c r="Y6051" s="1"/>
      <c r="AC6051" s="38">
        <v>0</v>
      </c>
    </row>
    <row r="6052" spans="1:29" x14ac:dyDescent="0.25">
      <c r="A6052" s="22">
        <v>44403</v>
      </c>
      <c r="B6052" s="1">
        <v>0</v>
      </c>
      <c r="C6052" s="1"/>
      <c r="D6052" s="1">
        <v>3</v>
      </c>
      <c r="F6052" s="1">
        <v>11.1</v>
      </c>
      <c r="G6052" s="1">
        <v>6</v>
      </c>
      <c r="H6052" s="1">
        <v>7</v>
      </c>
      <c r="I6052" s="1">
        <v>3.6</v>
      </c>
      <c r="J6052" s="1">
        <v>5</v>
      </c>
      <c r="K6052" s="1">
        <v>3</v>
      </c>
      <c r="L6052" s="1"/>
      <c r="M6052" s="1">
        <v>2.8</v>
      </c>
      <c r="N6052" s="38">
        <v>21.999999999999993</v>
      </c>
      <c r="Q6052" s="1">
        <v>22.8</v>
      </c>
      <c r="R6052" s="1"/>
      <c r="S6052" s="1"/>
      <c r="T6052" s="1"/>
      <c r="U6052" s="1"/>
      <c r="X6052" s="1">
        <v>60</v>
      </c>
      <c r="Y6052" s="1"/>
      <c r="AC6052" s="38">
        <v>15</v>
      </c>
    </row>
    <row r="6053" spans="1:29" x14ac:dyDescent="0.25">
      <c r="A6053" s="22">
        <v>44404</v>
      </c>
      <c r="B6053" s="1">
        <v>0</v>
      </c>
      <c r="C6053" s="1"/>
      <c r="D6053" s="1">
        <v>6.5</v>
      </c>
      <c r="F6053" s="1">
        <v>32.299999999999997</v>
      </c>
      <c r="G6053" s="1">
        <v>20.3</v>
      </c>
      <c r="H6053" s="1">
        <v>31.3</v>
      </c>
      <c r="I6053" s="1">
        <v>12.1</v>
      </c>
      <c r="J6053" s="1">
        <v>12.1</v>
      </c>
      <c r="K6053" s="1">
        <v>22</v>
      </c>
      <c r="L6053" s="1"/>
      <c r="M6053" s="1">
        <v>24.9</v>
      </c>
      <c r="N6053" s="38">
        <v>6.4</v>
      </c>
      <c r="Q6053" s="1">
        <v>0</v>
      </c>
      <c r="R6053" s="1"/>
      <c r="S6053" s="1"/>
      <c r="T6053" s="1"/>
      <c r="U6053" s="1"/>
      <c r="X6053" s="1">
        <v>13</v>
      </c>
      <c r="Y6053" s="1"/>
      <c r="AC6053" s="38">
        <v>0</v>
      </c>
    </row>
    <row r="6054" spans="1:29" x14ac:dyDescent="0.25">
      <c r="A6054" s="22">
        <v>44405</v>
      </c>
      <c r="B6054" s="1">
        <v>0</v>
      </c>
      <c r="C6054" s="1"/>
      <c r="D6054" s="1">
        <v>1.2</v>
      </c>
      <c r="F6054" s="1">
        <v>0</v>
      </c>
      <c r="G6054" s="1">
        <v>0</v>
      </c>
      <c r="H6054" s="1">
        <v>0</v>
      </c>
      <c r="I6054" s="1">
        <v>0.4</v>
      </c>
      <c r="J6054" s="1">
        <v>0</v>
      </c>
      <c r="K6054" s="1">
        <v>1</v>
      </c>
      <c r="L6054" s="1"/>
      <c r="M6054" s="1">
        <v>0</v>
      </c>
      <c r="N6054" s="38">
        <v>10.599999999999998</v>
      </c>
      <c r="Q6054" s="1">
        <v>56.8</v>
      </c>
      <c r="R6054" s="1"/>
      <c r="S6054" s="1"/>
      <c r="T6054" s="1"/>
      <c r="U6054" s="1"/>
      <c r="X6054" s="1">
        <v>20</v>
      </c>
      <c r="Y6054" s="1"/>
      <c r="AC6054" s="38">
        <v>26</v>
      </c>
    </row>
    <row r="6055" spans="1:29" x14ac:dyDescent="0.25">
      <c r="A6055" s="22">
        <v>44406</v>
      </c>
      <c r="B6055" s="1">
        <v>36</v>
      </c>
      <c r="C6055" s="1"/>
      <c r="D6055" s="1">
        <v>74</v>
      </c>
      <c r="F6055" s="1">
        <v>30.2</v>
      </c>
      <c r="G6055" s="1">
        <v>39.5</v>
      </c>
      <c r="H6055" s="1">
        <v>30.8</v>
      </c>
      <c r="I6055" s="1">
        <v>34.4</v>
      </c>
      <c r="J6055" s="1">
        <v>40.200000000000003</v>
      </c>
      <c r="K6055" s="1">
        <v>44.8</v>
      </c>
      <c r="L6055" s="1"/>
      <c r="M6055" s="1">
        <v>31.6</v>
      </c>
      <c r="N6055" s="38">
        <v>45.599999999999987</v>
      </c>
      <c r="Q6055" s="1">
        <v>4.5</v>
      </c>
      <c r="R6055" s="1"/>
      <c r="S6055" s="1"/>
      <c r="T6055" s="1"/>
      <c r="U6055" s="1"/>
      <c r="X6055" s="1">
        <v>9</v>
      </c>
      <c r="Y6055" s="1"/>
      <c r="AC6055" s="38">
        <v>15</v>
      </c>
    </row>
    <row r="6056" spans="1:29" x14ac:dyDescent="0.25">
      <c r="A6056" s="22">
        <v>44407</v>
      </c>
      <c r="B6056" s="1">
        <v>0</v>
      </c>
      <c r="C6056" s="1"/>
      <c r="D6056" s="1">
        <v>2</v>
      </c>
      <c r="F6056" s="1">
        <v>0</v>
      </c>
      <c r="G6056" s="1">
        <v>0.8</v>
      </c>
      <c r="H6056" s="1">
        <v>0.9</v>
      </c>
      <c r="I6056" s="1">
        <v>4.3</v>
      </c>
      <c r="J6056" s="1">
        <v>2.2000000000000002</v>
      </c>
      <c r="K6056" s="1">
        <v>2.2000000000000002</v>
      </c>
      <c r="L6056" s="1"/>
      <c r="M6056" s="1">
        <v>1.1000000000000001</v>
      </c>
      <c r="N6056" s="38">
        <v>4.2</v>
      </c>
      <c r="Q6056" s="1">
        <v>8.1</v>
      </c>
      <c r="R6056" s="1"/>
      <c r="S6056" s="1"/>
      <c r="T6056" s="1"/>
      <c r="U6056" s="1"/>
      <c r="X6056" s="1">
        <v>0</v>
      </c>
      <c r="Y6056" s="1"/>
      <c r="AC6056" s="38">
        <v>6</v>
      </c>
    </row>
    <row r="6057" spans="1:29" x14ac:dyDescent="0.25">
      <c r="A6057" s="22">
        <v>44408</v>
      </c>
      <c r="B6057" s="1">
        <v>0</v>
      </c>
      <c r="C6057" s="1"/>
      <c r="D6057" s="1">
        <v>16</v>
      </c>
      <c r="F6057" s="1">
        <v>23.2</v>
      </c>
      <c r="G6057" s="1">
        <v>25</v>
      </c>
      <c r="H6057" s="1">
        <v>16</v>
      </c>
      <c r="I6057" s="1">
        <v>10.4</v>
      </c>
      <c r="J6057" s="1">
        <v>24.5</v>
      </c>
      <c r="K6057" s="1">
        <v>0</v>
      </c>
      <c r="L6057" s="1"/>
      <c r="M6057" s="1">
        <v>14.4</v>
      </c>
      <c r="N6057" s="38">
        <v>11.999999999999998</v>
      </c>
      <c r="Q6057" s="1">
        <v>2.5</v>
      </c>
      <c r="R6057" s="1"/>
      <c r="S6057" s="1"/>
      <c r="T6057" s="1"/>
      <c r="U6057" s="1"/>
      <c r="X6057" s="1">
        <v>0</v>
      </c>
      <c r="Y6057" s="1"/>
      <c r="AC6057" s="38">
        <v>14</v>
      </c>
    </row>
    <row r="6058" spans="1:29" x14ac:dyDescent="0.25">
      <c r="A6058" s="22">
        <v>44409</v>
      </c>
      <c r="B6058" s="1">
        <v>0</v>
      </c>
      <c r="C6058" s="1">
        <v>8.4</v>
      </c>
      <c r="D6058" s="1">
        <v>4.4000000000000004</v>
      </c>
      <c r="F6058" s="1">
        <v>1.2</v>
      </c>
      <c r="G6058" s="1">
        <v>1</v>
      </c>
      <c r="H6058" s="1">
        <v>0</v>
      </c>
      <c r="I6058" s="1">
        <v>4.0999999999999996</v>
      </c>
      <c r="J6058" s="1">
        <v>3</v>
      </c>
      <c r="K6058" s="1"/>
      <c r="L6058" s="1">
        <v>8.636000000000001</v>
      </c>
      <c r="M6058" s="1">
        <v>2.4</v>
      </c>
      <c r="N6058" s="38">
        <v>0.2</v>
      </c>
      <c r="P6058" s="38">
        <v>3.302</v>
      </c>
      <c r="Q6058" s="1">
        <v>0</v>
      </c>
      <c r="R6058" s="1"/>
      <c r="S6058" s="1"/>
      <c r="T6058" s="1"/>
      <c r="U6058" s="1">
        <v>8</v>
      </c>
      <c r="X6058" s="1"/>
      <c r="Y6058" s="1"/>
      <c r="AC6058" s="38">
        <v>0</v>
      </c>
    </row>
    <row r="6059" spans="1:29" x14ac:dyDescent="0.25">
      <c r="A6059" s="22">
        <v>44410</v>
      </c>
      <c r="B6059" s="1">
        <v>0</v>
      </c>
      <c r="C6059" s="1">
        <v>2.4</v>
      </c>
      <c r="D6059" s="1">
        <v>8.4</v>
      </c>
      <c r="F6059" s="1">
        <v>0</v>
      </c>
      <c r="G6059" s="1">
        <v>2.2999999999999998</v>
      </c>
      <c r="H6059" s="1">
        <v>0</v>
      </c>
      <c r="I6059" s="1">
        <v>0.1</v>
      </c>
      <c r="J6059" s="1">
        <v>3</v>
      </c>
      <c r="K6059" s="1"/>
      <c r="L6059" s="1">
        <v>0</v>
      </c>
      <c r="M6059" s="1">
        <v>0.1</v>
      </c>
      <c r="N6059" s="38">
        <v>4.5999999999999996</v>
      </c>
      <c r="P6059" s="38">
        <v>0</v>
      </c>
      <c r="Q6059" s="1">
        <v>0</v>
      </c>
      <c r="R6059" s="1"/>
      <c r="S6059" s="1"/>
      <c r="T6059" s="1"/>
      <c r="U6059" s="1">
        <v>4</v>
      </c>
      <c r="X6059" s="1"/>
      <c r="Y6059" s="1"/>
      <c r="AC6059" s="38">
        <v>0</v>
      </c>
    </row>
    <row r="6060" spans="1:29" x14ac:dyDescent="0.25">
      <c r="A6060" s="22">
        <v>44411</v>
      </c>
      <c r="B6060" s="1">
        <v>35.200000000000003</v>
      </c>
      <c r="C6060" s="1">
        <v>5.8</v>
      </c>
      <c r="D6060" s="1">
        <v>4</v>
      </c>
      <c r="F6060" s="1">
        <v>2.4</v>
      </c>
      <c r="G6060" s="1">
        <v>7.5</v>
      </c>
      <c r="H6060" s="1">
        <v>7.8</v>
      </c>
      <c r="I6060" s="1">
        <v>3.2</v>
      </c>
      <c r="J6060" s="1">
        <v>3.2</v>
      </c>
      <c r="K6060" s="1"/>
      <c r="L6060" s="1">
        <v>5.08</v>
      </c>
      <c r="M6060" s="1">
        <v>4.5999999999999996</v>
      </c>
      <c r="N6060" s="38">
        <v>4.0000000000000009</v>
      </c>
      <c r="P6060" s="38">
        <v>0</v>
      </c>
      <c r="Q6060" s="1">
        <v>29</v>
      </c>
      <c r="R6060" s="1"/>
      <c r="S6060" s="1"/>
      <c r="T6060" s="1"/>
      <c r="U6060" s="1">
        <v>6</v>
      </c>
      <c r="X6060" s="1"/>
      <c r="Y6060" s="1"/>
      <c r="AC6060" s="38">
        <v>1</v>
      </c>
    </row>
    <row r="6061" spans="1:29" x14ac:dyDescent="0.25">
      <c r="A6061" s="22">
        <v>44412</v>
      </c>
      <c r="B6061" s="1">
        <v>0</v>
      </c>
      <c r="C6061" s="1">
        <v>0</v>
      </c>
      <c r="D6061" s="1">
        <v>0.2</v>
      </c>
      <c r="F6061" s="1">
        <v>1</v>
      </c>
      <c r="G6061" s="1">
        <v>2.2999999999999998</v>
      </c>
      <c r="H6061" s="1">
        <v>0.2</v>
      </c>
      <c r="I6061" s="1">
        <v>3.5</v>
      </c>
      <c r="J6061" s="1">
        <v>2.2999999999999998</v>
      </c>
      <c r="K6061" s="1"/>
      <c r="L6061" s="1">
        <v>1.5239999999999998</v>
      </c>
      <c r="M6061" s="1">
        <v>0.5</v>
      </c>
      <c r="N6061" s="38">
        <v>2.6000000000000005</v>
      </c>
      <c r="P6061" s="38">
        <v>0</v>
      </c>
      <c r="Q6061" s="1">
        <v>0.2</v>
      </c>
      <c r="R6061" s="1"/>
      <c r="S6061" s="1"/>
      <c r="T6061" s="1"/>
      <c r="U6061" s="1">
        <v>3</v>
      </c>
      <c r="X6061" s="1"/>
      <c r="Y6061" s="1"/>
      <c r="AC6061" s="38">
        <v>0</v>
      </c>
    </row>
    <row r="6062" spans="1:29" x14ac:dyDescent="0.25">
      <c r="A6062" s="22">
        <v>44413</v>
      </c>
      <c r="B6062" s="1">
        <v>0</v>
      </c>
      <c r="C6062" s="1">
        <v>0</v>
      </c>
      <c r="D6062" s="1">
        <v>0</v>
      </c>
      <c r="F6062" s="1">
        <v>0.2</v>
      </c>
      <c r="G6062" s="1">
        <v>1.5</v>
      </c>
      <c r="H6062" s="1">
        <v>0</v>
      </c>
      <c r="I6062" s="1">
        <v>1.5</v>
      </c>
      <c r="J6062" s="1">
        <v>0.3</v>
      </c>
      <c r="K6062" s="1"/>
      <c r="L6062" s="1">
        <v>1.016</v>
      </c>
      <c r="M6062" s="1">
        <v>0</v>
      </c>
      <c r="N6062" s="38">
        <v>0</v>
      </c>
      <c r="P6062" s="38">
        <v>0</v>
      </c>
      <c r="Q6062" s="1">
        <v>0</v>
      </c>
      <c r="R6062" s="1"/>
      <c r="S6062" s="1"/>
      <c r="T6062" s="1"/>
      <c r="U6062" s="1">
        <v>0</v>
      </c>
      <c r="X6062" s="1"/>
      <c r="Y6062" s="1"/>
      <c r="AC6062" s="38">
        <v>0</v>
      </c>
    </row>
    <row r="6063" spans="1:29" x14ac:dyDescent="0.25">
      <c r="A6063" s="22">
        <v>44414</v>
      </c>
      <c r="B6063" s="1">
        <v>0</v>
      </c>
      <c r="C6063" s="1">
        <v>0</v>
      </c>
      <c r="D6063" s="1">
        <v>2.4</v>
      </c>
      <c r="F6063" s="1">
        <v>1.4</v>
      </c>
      <c r="G6063" s="1">
        <v>2.9</v>
      </c>
      <c r="H6063" s="1">
        <v>1.7</v>
      </c>
      <c r="I6063" s="1">
        <v>1.2</v>
      </c>
      <c r="J6063" s="1">
        <v>1</v>
      </c>
      <c r="K6063" s="1"/>
      <c r="L6063" s="1">
        <v>0</v>
      </c>
      <c r="M6063" s="1">
        <v>1.2</v>
      </c>
      <c r="N6063" s="38">
        <v>0.4</v>
      </c>
      <c r="P6063" s="38">
        <v>1.016</v>
      </c>
      <c r="Q6063" s="1">
        <v>0</v>
      </c>
      <c r="R6063" s="1"/>
      <c r="S6063" s="1"/>
      <c r="T6063" s="1"/>
      <c r="U6063" s="1">
        <v>0</v>
      </c>
      <c r="X6063" s="1"/>
      <c r="Y6063" s="1"/>
      <c r="AC6063" s="38">
        <v>2</v>
      </c>
    </row>
    <row r="6064" spans="1:29" x14ac:dyDescent="0.25">
      <c r="A6064" s="22">
        <v>44415</v>
      </c>
      <c r="B6064" s="1">
        <v>0</v>
      </c>
      <c r="C6064" s="1">
        <v>1.8</v>
      </c>
      <c r="D6064" s="1">
        <v>0</v>
      </c>
      <c r="F6064" s="1">
        <v>0</v>
      </c>
      <c r="G6064" s="1">
        <v>0.2</v>
      </c>
      <c r="H6064" s="1">
        <v>0</v>
      </c>
      <c r="I6064" s="1">
        <v>0.5</v>
      </c>
      <c r="J6064" s="1">
        <v>0.2</v>
      </c>
      <c r="K6064" s="1"/>
      <c r="L6064" s="1">
        <v>0</v>
      </c>
      <c r="M6064" s="1">
        <v>0</v>
      </c>
      <c r="N6064" s="38">
        <v>0</v>
      </c>
      <c r="P6064" s="38">
        <v>0</v>
      </c>
      <c r="Q6064" s="1">
        <v>0</v>
      </c>
      <c r="R6064" s="1"/>
      <c r="S6064" s="1"/>
      <c r="T6064" s="1"/>
      <c r="U6064" s="1">
        <v>0</v>
      </c>
      <c r="X6064" s="1"/>
      <c r="Y6064" s="1"/>
      <c r="AC6064" s="38">
        <v>0</v>
      </c>
    </row>
    <row r="6065" spans="1:29" x14ac:dyDescent="0.25">
      <c r="A6065" s="22">
        <v>44416</v>
      </c>
      <c r="B6065" s="1">
        <v>0</v>
      </c>
      <c r="C6065" s="1">
        <v>1.4</v>
      </c>
      <c r="D6065" s="1">
        <v>1</v>
      </c>
      <c r="F6065" s="1">
        <v>0</v>
      </c>
      <c r="G6065" s="1">
        <v>0.2</v>
      </c>
      <c r="H6065" s="1">
        <v>1</v>
      </c>
      <c r="I6065" s="1">
        <v>0.1</v>
      </c>
      <c r="J6065" s="1">
        <v>0.4</v>
      </c>
      <c r="K6065" s="1"/>
      <c r="L6065" s="1">
        <v>0</v>
      </c>
      <c r="M6065" s="1">
        <v>0</v>
      </c>
      <c r="N6065" s="38">
        <v>13.399999999999999</v>
      </c>
      <c r="P6065" s="38">
        <v>0</v>
      </c>
      <c r="Q6065" s="1">
        <v>0</v>
      </c>
      <c r="R6065" s="1"/>
      <c r="S6065" s="1"/>
      <c r="T6065" s="1"/>
      <c r="U6065" s="1">
        <v>2</v>
      </c>
      <c r="X6065" s="1"/>
      <c r="Y6065" s="1"/>
      <c r="AC6065" s="38">
        <v>6</v>
      </c>
    </row>
    <row r="6066" spans="1:29" x14ac:dyDescent="0.25">
      <c r="A6066" s="22">
        <v>44417</v>
      </c>
      <c r="B6066" s="1">
        <v>0</v>
      </c>
      <c r="C6066" s="1">
        <v>14</v>
      </c>
      <c r="D6066" s="1">
        <v>15.6</v>
      </c>
      <c r="F6066" s="1">
        <v>21.2</v>
      </c>
      <c r="G6066" s="1">
        <v>10.1</v>
      </c>
      <c r="H6066" s="1">
        <v>17.399999999999999</v>
      </c>
      <c r="I6066" s="1">
        <v>1</v>
      </c>
      <c r="J6066" s="1">
        <v>15</v>
      </c>
      <c r="K6066" s="1"/>
      <c r="L6066" s="1">
        <v>6.6040000000000001</v>
      </c>
      <c r="M6066" s="1">
        <v>11.5</v>
      </c>
      <c r="N6066" s="38">
        <v>6.4</v>
      </c>
      <c r="P6066" s="38">
        <v>8.1280000000000001</v>
      </c>
      <c r="Q6066" s="1">
        <v>0</v>
      </c>
      <c r="R6066" s="1"/>
      <c r="S6066" s="1"/>
      <c r="T6066" s="1"/>
      <c r="U6066" s="1">
        <v>0</v>
      </c>
      <c r="X6066" s="1"/>
      <c r="Y6066" s="1"/>
      <c r="AC6066" s="38">
        <v>0</v>
      </c>
    </row>
    <row r="6067" spans="1:29" x14ac:dyDescent="0.25">
      <c r="A6067" s="22">
        <v>44418</v>
      </c>
      <c r="B6067" s="1">
        <v>0</v>
      </c>
      <c r="C6067" s="1">
        <v>0</v>
      </c>
      <c r="D6067" s="1">
        <v>0</v>
      </c>
      <c r="F6067" s="1">
        <v>1</v>
      </c>
      <c r="G6067" s="1">
        <v>0</v>
      </c>
      <c r="H6067" s="1">
        <v>0</v>
      </c>
      <c r="I6067" s="1">
        <v>0</v>
      </c>
      <c r="J6067" s="1">
        <v>0.2</v>
      </c>
      <c r="K6067" s="1"/>
      <c r="L6067" s="1">
        <v>0</v>
      </c>
      <c r="M6067" s="1">
        <v>0</v>
      </c>
      <c r="N6067" s="38">
        <v>0</v>
      </c>
      <c r="P6067" s="38">
        <v>8.3819999999999997</v>
      </c>
      <c r="Q6067" s="1">
        <v>0</v>
      </c>
      <c r="R6067" s="1"/>
      <c r="S6067" s="1"/>
      <c r="T6067" s="1"/>
      <c r="U6067" s="1">
        <v>0</v>
      </c>
      <c r="X6067" s="1"/>
      <c r="Y6067" s="1"/>
      <c r="AC6067" s="38">
        <v>0</v>
      </c>
    </row>
    <row r="6068" spans="1:29" x14ac:dyDescent="0.25">
      <c r="A6068" s="22">
        <v>44419</v>
      </c>
      <c r="B6068" s="1">
        <v>0</v>
      </c>
      <c r="C6068" s="1">
        <v>0</v>
      </c>
      <c r="D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/>
      <c r="L6068" s="1">
        <v>0</v>
      </c>
      <c r="M6068" s="1">
        <v>0</v>
      </c>
      <c r="N6068" s="38">
        <v>16.799999999999997</v>
      </c>
      <c r="P6068" s="38">
        <v>0</v>
      </c>
      <c r="Q6068" s="1">
        <v>12.9</v>
      </c>
      <c r="R6068" s="1"/>
      <c r="S6068" s="1"/>
      <c r="T6068" s="1"/>
      <c r="U6068" s="1">
        <v>10</v>
      </c>
      <c r="X6068" s="1"/>
      <c r="Y6068" s="1"/>
      <c r="AC6068" s="38">
        <v>4</v>
      </c>
    </row>
    <row r="6069" spans="1:29" x14ac:dyDescent="0.25">
      <c r="A6069" s="22">
        <v>44420</v>
      </c>
      <c r="B6069" s="1">
        <v>0</v>
      </c>
      <c r="C6069" s="1">
        <v>15.8</v>
      </c>
      <c r="D6069" s="1">
        <v>14.8</v>
      </c>
      <c r="F6069" s="1">
        <v>10</v>
      </c>
      <c r="G6069" s="1">
        <v>8.8000000000000007</v>
      </c>
      <c r="H6069" s="1">
        <v>14.8</v>
      </c>
      <c r="I6069" s="1">
        <v>11.8</v>
      </c>
      <c r="J6069" s="1">
        <v>13</v>
      </c>
      <c r="K6069" s="1"/>
      <c r="L6069" s="1">
        <v>12.191999999999998</v>
      </c>
      <c r="M6069" s="1">
        <v>15.7</v>
      </c>
      <c r="N6069" s="38">
        <v>4.4000000000000004</v>
      </c>
      <c r="P6069" s="38">
        <v>3.0479999999999996</v>
      </c>
      <c r="Q6069" s="1">
        <v>18.2</v>
      </c>
      <c r="R6069" s="1"/>
      <c r="S6069" s="1"/>
      <c r="T6069" s="1"/>
      <c r="U6069" s="1">
        <v>6</v>
      </c>
      <c r="X6069" s="1"/>
      <c r="Y6069" s="1"/>
      <c r="AC6069" s="38">
        <v>0</v>
      </c>
    </row>
    <row r="6070" spans="1:29" x14ac:dyDescent="0.25">
      <c r="A6070" s="22">
        <v>44421</v>
      </c>
      <c r="B6070" s="1">
        <v>51</v>
      </c>
      <c r="C6070" s="1">
        <v>17.2</v>
      </c>
      <c r="D6070" s="1">
        <v>20.8</v>
      </c>
      <c r="F6070" s="1">
        <v>4.4000000000000004</v>
      </c>
      <c r="G6070" s="1">
        <v>4.2</v>
      </c>
      <c r="H6070" s="1">
        <v>5.5</v>
      </c>
      <c r="I6070" s="1">
        <v>0.4</v>
      </c>
      <c r="J6070" s="1">
        <v>6.4</v>
      </c>
      <c r="K6070" s="1"/>
      <c r="L6070" s="1">
        <v>2.794</v>
      </c>
      <c r="M6070" s="1">
        <v>6.3</v>
      </c>
      <c r="N6070" s="38">
        <v>13.200000000000001</v>
      </c>
      <c r="P6070" s="38">
        <v>16.001999999999999</v>
      </c>
      <c r="Q6070" s="1">
        <v>0</v>
      </c>
      <c r="R6070" s="1"/>
      <c r="S6070" s="1"/>
      <c r="T6070" s="1"/>
      <c r="U6070" s="1">
        <v>12</v>
      </c>
      <c r="X6070" s="1"/>
      <c r="Y6070" s="1"/>
      <c r="AC6070" s="38">
        <v>15</v>
      </c>
    </row>
    <row r="6071" spans="1:29" x14ac:dyDescent="0.25">
      <c r="A6071" s="22">
        <v>44422</v>
      </c>
      <c r="B6071" s="1">
        <v>0</v>
      </c>
      <c r="C6071" s="1">
        <v>7.2</v>
      </c>
      <c r="D6071" s="1">
        <v>11.6</v>
      </c>
      <c r="F6071" s="1">
        <v>7</v>
      </c>
      <c r="G6071" s="1">
        <v>6.7</v>
      </c>
      <c r="H6071" s="1">
        <v>6</v>
      </c>
      <c r="I6071" s="1">
        <v>5.3</v>
      </c>
      <c r="J6071" s="1">
        <v>10.8</v>
      </c>
      <c r="K6071" s="1"/>
      <c r="L6071" s="1">
        <v>0</v>
      </c>
      <c r="M6071" s="1">
        <v>7.6</v>
      </c>
      <c r="N6071" s="38">
        <v>23.399999999999995</v>
      </c>
      <c r="P6071" s="38">
        <v>5.08</v>
      </c>
      <c r="Q6071" s="1">
        <v>72.099999999999994</v>
      </c>
      <c r="R6071" s="1"/>
      <c r="S6071" s="1"/>
      <c r="T6071" s="1"/>
      <c r="U6071" s="1">
        <v>10</v>
      </c>
      <c r="X6071" s="1"/>
      <c r="Y6071" s="1"/>
      <c r="AC6071" s="38">
        <v>3</v>
      </c>
    </row>
    <row r="6072" spans="1:29" x14ac:dyDescent="0.25">
      <c r="A6072" s="22">
        <v>44423</v>
      </c>
      <c r="B6072" s="1">
        <v>0</v>
      </c>
      <c r="C6072" s="1">
        <v>36.4</v>
      </c>
      <c r="D6072" s="1">
        <v>49.8</v>
      </c>
      <c r="F6072" s="1">
        <v>38</v>
      </c>
      <c r="G6072" s="1">
        <v>22.3</v>
      </c>
      <c r="H6072" s="1">
        <v>28.3</v>
      </c>
      <c r="I6072" s="1">
        <v>22.4</v>
      </c>
      <c r="J6072" s="1">
        <v>28.2</v>
      </c>
      <c r="K6072" s="1"/>
      <c r="L6072" s="1">
        <v>79.756</v>
      </c>
      <c r="M6072" s="1">
        <v>25.7</v>
      </c>
      <c r="N6072" s="38">
        <v>25.4</v>
      </c>
      <c r="P6072" s="38">
        <v>106.67999999999999</v>
      </c>
      <c r="Q6072" s="1">
        <v>4.5</v>
      </c>
      <c r="R6072" s="1"/>
      <c r="S6072" s="1"/>
      <c r="T6072" s="1"/>
      <c r="U6072" s="1">
        <v>45</v>
      </c>
      <c r="X6072" s="1"/>
      <c r="Y6072" s="1"/>
      <c r="AC6072" s="38">
        <v>23</v>
      </c>
    </row>
    <row r="6073" spans="1:29" x14ac:dyDescent="0.25">
      <c r="A6073" s="22">
        <v>44424</v>
      </c>
      <c r="B6073" s="1">
        <v>40</v>
      </c>
      <c r="C6073" s="1">
        <v>8.4</v>
      </c>
      <c r="D6073" s="1">
        <v>2.4</v>
      </c>
      <c r="F6073" s="1">
        <v>3.1</v>
      </c>
      <c r="G6073" s="1">
        <v>10</v>
      </c>
      <c r="H6073" s="1">
        <v>9</v>
      </c>
      <c r="I6073" s="1">
        <v>12.8</v>
      </c>
      <c r="J6073" s="1">
        <v>7</v>
      </c>
      <c r="K6073" s="1"/>
      <c r="L6073" s="1">
        <v>3.8099999999999996</v>
      </c>
      <c r="M6073" s="1">
        <v>11.6</v>
      </c>
      <c r="N6073" s="38">
        <v>0</v>
      </c>
      <c r="P6073" s="38">
        <v>0</v>
      </c>
      <c r="Q6073" s="1">
        <v>0</v>
      </c>
      <c r="R6073" s="1"/>
      <c r="S6073" s="1"/>
      <c r="T6073" s="1"/>
      <c r="U6073" s="1">
        <v>7</v>
      </c>
      <c r="X6073" s="1"/>
      <c r="Y6073" s="1"/>
      <c r="AC6073" s="38">
        <v>0</v>
      </c>
    </row>
    <row r="6074" spans="1:29" x14ac:dyDescent="0.25">
      <c r="A6074" s="22">
        <v>44425</v>
      </c>
      <c r="B6074" s="1">
        <v>0</v>
      </c>
      <c r="C6074" s="1">
        <v>0</v>
      </c>
      <c r="D6074" s="1">
        <v>0.8</v>
      </c>
      <c r="F6074" s="1">
        <v>0</v>
      </c>
      <c r="G6074" s="1">
        <v>0</v>
      </c>
      <c r="H6074" s="1">
        <v>0</v>
      </c>
      <c r="I6074" s="1">
        <v>2.2000000000000002</v>
      </c>
      <c r="J6074" s="1">
        <v>0</v>
      </c>
      <c r="K6074" s="1"/>
      <c r="L6074" s="1">
        <v>0.7619999999999999</v>
      </c>
      <c r="M6074" s="1">
        <v>0</v>
      </c>
      <c r="N6074" s="38">
        <v>2.2000000000000002</v>
      </c>
      <c r="P6074" s="38">
        <v>0</v>
      </c>
      <c r="Q6074" s="1">
        <v>0</v>
      </c>
      <c r="R6074" s="1"/>
      <c r="S6074" s="1"/>
      <c r="T6074" s="1"/>
      <c r="U6074" s="1">
        <v>1</v>
      </c>
      <c r="X6074" s="1"/>
      <c r="Y6074" s="1"/>
      <c r="AC6074" s="38">
        <v>0</v>
      </c>
    </row>
    <row r="6075" spans="1:29" x14ac:dyDescent="0.25">
      <c r="A6075" s="22">
        <v>44426</v>
      </c>
      <c r="B6075" s="1">
        <v>0</v>
      </c>
      <c r="C6075" s="1">
        <v>1.2</v>
      </c>
      <c r="D6075" s="1">
        <v>0</v>
      </c>
      <c r="F6075" s="1">
        <v>0</v>
      </c>
      <c r="G6075" s="1">
        <v>0</v>
      </c>
      <c r="H6075" s="1">
        <v>0</v>
      </c>
      <c r="I6075" s="1">
        <v>2.8</v>
      </c>
      <c r="J6075" s="1">
        <v>0.2</v>
      </c>
      <c r="K6075" s="1"/>
      <c r="L6075" s="1">
        <v>0.254</v>
      </c>
      <c r="M6075" s="1">
        <v>0</v>
      </c>
      <c r="N6075" s="38">
        <v>9.2000000000000011</v>
      </c>
      <c r="P6075" s="38">
        <v>0</v>
      </c>
      <c r="Q6075" s="1">
        <v>0</v>
      </c>
      <c r="R6075" s="1"/>
      <c r="S6075" s="1"/>
      <c r="T6075" s="1"/>
      <c r="U6075" s="1">
        <v>0</v>
      </c>
      <c r="X6075" s="1"/>
      <c r="Y6075" s="1"/>
      <c r="AC6075" s="38">
        <v>3</v>
      </c>
    </row>
    <row r="6076" spans="1:29" x14ac:dyDescent="0.25">
      <c r="A6076" s="22">
        <v>44427</v>
      </c>
      <c r="B6076" s="1">
        <v>0</v>
      </c>
      <c r="C6076" s="1">
        <v>10.8</v>
      </c>
      <c r="D6076" s="1">
        <v>11.2</v>
      </c>
      <c r="F6076" s="1">
        <v>2.4</v>
      </c>
      <c r="G6076" s="1">
        <v>4.2</v>
      </c>
      <c r="H6076" s="1">
        <v>2.7</v>
      </c>
      <c r="I6076" s="1">
        <v>0.4</v>
      </c>
      <c r="J6076" s="1">
        <v>16.5</v>
      </c>
      <c r="K6076" s="1"/>
      <c r="L6076" s="1">
        <v>1.778</v>
      </c>
      <c r="M6076" s="1">
        <v>3.4</v>
      </c>
      <c r="N6076" s="38">
        <v>4.6000000000000005</v>
      </c>
      <c r="P6076" s="38">
        <v>1.27</v>
      </c>
      <c r="Q6076" s="1">
        <v>0</v>
      </c>
      <c r="R6076" s="1"/>
      <c r="S6076" s="1"/>
      <c r="T6076" s="1"/>
      <c r="U6076" s="1">
        <v>10</v>
      </c>
      <c r="X6076" s="1"/>
      <c r="Y6076" s="1"/>
      <c r="AC6076" s="38">
        <v>0</v>
      </c>
    </row>
    <row r="6077" spans="1:29" x14ac:dyDescent="0.25">
      <c r="A6077" s="22">
        <v>44428</v>
      </c>
      <c r="B6077" s="1">
        <v>22</v>
      </c>
      <c r="C6077" s="1">
        <v>7.8</v>
      </c>
      <c r="D6077" s="1">
        <v>8.8000000000000007</v>
      </c>
      <c r="F6077" s="1">
        <v>0</v>
      </c>
      <c r="G6077" s="1">
        <v>0.7</v>
      </c>
      <c r="H6077" s="1">
        <v>0.3</v>
      </c>
      <c r="I6077" s="1">
        <v>8.9</v>
      </c>
      <c r="J6077" s="1">
        <v>4.2</v>
      </c>
      <c r="K6077" s="1"/>
      <c r="L6077" s="1">
        <v>3.8099999999999996</v>
      </c>
      <c r="M6077" s="1">
        <v>2.7</v>
      </c>
      <c r="N6077" s="38">
        <v>12.999999999999998</v>
      </c>
      <c r="P6077" s="38">
        <v>3.8099999999999996</v>
      </c>
      <c r="Q6077" s="1">
        <v>0</v>
      </c>
      <c r="R6077" s="1"/>
      <c r="S6077" s="1"/>
      <c r="T6077" s="1"/>
      <c r="U6077" s="1">
        <v>3</v>
      </c>
      <c r="X6077" s="1"/>
      <c r="Y6077" s="1"/>
      <c r="AC6077" s="38">
        <v>4</v>
      </c>
    </row>
    <row r="6078" spans="1:29" x14ac:dyDescent="0.25">
      <c r="A6078" s="22">
        <v>44429</v>
      </c>
      <c r="B6078" s="1">
        <v>0</v>
      </c>
      <c r="C6078" s="1">
        <v>17.600000000000001</v>
      </c>
      <c r="D6078" s="1">
        <v>4.4000000000000004</v>
      </c>
      <c r="F6078" s="1">
        <v>3.1</v>
      </c>
      <c r="G6078" s="1">
        <v>0.6</v>
      </c>
      <c r="H6078" s="1">
        <v>1.1000000000000001</v>
      </c>
      <c r="I6078" s="1">
        <v>2.4</v>
      </c>
      <c r="J6078" s="1">
        <v>0.7</v>
      </c>
      <c r="K6078" s="1"/>
      <c r="L6078" s="1">
        <v>1.016</v>
      </c>
      <c r="M6078" s="1">
        <v>0.2</v>
      </c>
      <c r="N6078" s="38">
        <v>3.2000000000000006</v>
      </c>
      <c r="P6078" s="38">
        <v>0</v>
      </c>
      <c r="Q6078" s="1">
        <v>9.9</v>
      </c>
      <c r="R6078" s="1"/>
      <c r="S6078" s="1"/>
      <c r="T6078" s="1"/>
      <c r="U6078" s="1">
        <v>2</v>
      </c>
      <c r="X6078" s="1"/>
      <c r="Y6078" s="1"/>
      <c r="AC6078" s="38">
        <v>1</v>
      </c>
    </row>
    <row r="6079" spans="1:29" x14ac:dyDescent="0.25">
      <c r="A6079" s="22">
        <v>44430</v>
      </c>
      <c r="B6079" s="1">
        <v>0</v>
      </c>
      <c r="C6079" s="1">
        <v>13</v>
      </c>
      <c r="D6079" s="1">
        <v>37.200000000000003</v>
      </c>
      <c r="F6079" s="1">
        <v>18.2</v>
      </c>
      <c r="G6079" s="1">
        <v>22.3</v>
      </c>
      <c r="H6079" s="1">
        <v>20.5</v>
      </c>
      <c r="I6079" s="1">
        <v>10.3</v>
      </c>
      <c r="J6079" s="1">
        <v>27</v>
      </c>
      <c r="K6079" s="1"/>
      <c r="L6079" s="1">
        <v>13.208</v>
      </c>
      <c r="M6079" s="1">
        <v>18.2</v>
      </c>
      <c r="N6079" s="38">
        <v>17.2</v>
      </c>
      <c r="P6079" s="38">
        <v>19.303999999999998</v>
      </c>
      <c r="Q6079" s="1">
        <v>17.8</v>
      </c>
      <c r="R6079" s="1"/>
      <c r="S6079" s="1"/>
      <c r="T6079" s="1"/>
      <c r="U6079" s="1">
        <v>20</v>
      </c>
      <c r="X6079" s="1"/>
      <c r="Y6079" s="1"/>
      <c r="AC6079" s="38">
        <v>15</v>
      </c>
    </row>
    <row r="6080" spans="1:29" x14ac:dyDescent="0.25">
      <c r="A6080" s="22">
        <v>44431</v>
      </c>
      <c r="B6080" s="1">
        <v>67.2</v>
      </c>
      <c r="C6080" s="1">
        <v>15.2</v>
      </c>
      <c r="D6080" s="1">
        <v>31</v>
      </c>
      <c r="F6080" s="1">
        <v>25</v>
      </c>
      <c r="G6080" s="1">
        <v>32.6</v>
      </c>
      <c r="H6080" s="1">
        <v>37</v>
      </c>
      <c r="I6080" s="1">
        <v>30</v>
      </c>
      <c r="J6080" s="1">
        <v>44.2</v>
      </c>
      <c r="K6080" s="1"/>
      <c r="L6080" s="1">
        <v>21.59</v>
      </c>
      <c r="M6080" s="1">
        <v>38.1</v>
      </c>
      <c r="N6080" s="38">
        <v>50.200000000000038</v>
      </c>
      <c r="P6080" s="38">
        <v>22.605999999999998</v>
      </c>
      <c r="Q6080" s="1">
        <v>38.1</v>
      </c>
      <c r="R6080" s="1"/>
      <c r="S6080" s="1"/>
      <c r="T6080" s="1"/>
      <c r="U6080" s="1">
        <v>25</v>
      </c>
      <c r="X6080" s="1"/>
      <c r="Y6080" s="1"/>
      <c r="AC6080" s="38">
        <v>17</v>
      </c>
    </row>
    <row r="6081" spans="1:29" x14ac:dyDescent="0.25">
      <c r="A6081" s="22">
        <v>44432</v>
      </c>
      <c r="B6081" s="1">
        <v>39</v>
      </c>
      <c r="C6081" s="1">
        <v>39.6</v>
      </c>
      <c r="D6081" s="1">
        <v>38.4</v>
      </c>
      <c r="F6081" s="1">
        <v>12.2</v>
      </c>
      <c r="G6081" s="1">
        <v>18.2</v>
      </c>
      <c r="H6081" s="1">
        <v>15.1</v>
      </c>
      <c r="I6081" s="1">
        <v>10.4</v>
      </c>
      <c r="J6081" s="1">
        <v>20.2</v>
      </c>
      <c r="K6081" s="1"/>
      <c r="L6081" s="1">
        <v>24.383999999999997</v>
      </c>
      <c r="M6081" s="1">
        <v>16.7</v>
      </c>
      <c r="N6081" s="38">
        <v>8.3999999999999986</v>
      </c>
      <c r="P6081" s="38">
        <v>29.717999999999996</v>
      </c>
      <c r="Q6081" s="1">
        <v>2.5</v>
      </c>
      <c r="R6081" s="1"/>
      <c r="S6081" s="1"/>
      <c r="T6081" s="1"/>
      <c r="U6081" s="1">
        <v>20</v>
      </c>
      <c r="X6081" s="1"/>
      <c r="Y6081" s="1"/>
      <c r="AC6081" s="38">
        <v>16</v>
      </c>
    </row>
    <row r="6082" spans="1:29" x14ac:dyDescent="0.25">
      <c r="A6082" s="22">
        <v>44433</v>
      </c>
      <c r="B6082" s="1">
        <v>0</v>
      </c>
      <c r="C6082" s="1">
        <v>7.6</v>
      </c>
      <c r="D6082" s="1">
        <v>9.6</v>
      </c>
      <c r="F6082" s="1">
        <v>1</v>
      </c>
      <c r="G6082" s="1">
        <v>12.3</v>
      </c>
      <c r="H6082" s="1">
        <v>0</v>
      </c>
      <c r="I6082" s="1">
        <v>30.5</v>
      </c>
      <c r="J6082" s="1">
        <v>6.6</v>
      </c>
      <c r="K6082" s="1"/>
      <c r="L6082" s="1">
        <v>45.973999999999997</v>
      </c>
      <c r="M6082" s="1">
        <v>4</v>
      </c>
      <c r="N6082" s="38">
        <v>0.60000000000000009</v>
      </c>
      <c r="P6082" s="38">
        <v>11.43</v>
      </c>
      <c r="Q6082" s="1">
        <v>0</v>
      </c>
      <c r="R6082" s="1"/>
      <c r="S6082" s="1"/>
      <c r="T6082" s="1"/>
      <c r="U6082" s="1">
        <v>0</v>
      </c>
      <c r="X6082" s="1"/>
      <c r="Y6082" s="1"/>
      <c r="AC6082" s="38">
        <v>0</v>
      </c>
    </row>
    <row r="6083" spans="1:29" x14ac:dyDescent="0.25">
      <c r="A6083" s="22">
        <v>44434</v>
      </c>
      <c r="B6083" s="1">
        <v>0</v>
      </c>
      <c r="C6083" s="1">
        <v>0</v>
      </c>
      <c r="D6083" s="1">
        <v>0</v>
      </c>
      <c r="F6083" s="1">
        <v>0</v>
      </c>
      <c r="G6083" s="1">
        <v>0</v>
      </c>
      <c r="H6083" s="1">
        <v>0</v>
      </c>
      <c r="I6083" s="1">
        <v>1.1000000000000001</v>
      </c>
      <c r="J6083" s="1">
        <v>2.4</v>
      </c>
      <c r="K6083" s="1"/>
      <c r="L6083" s="1">
        <v>0.254</v>
      </c>
      <c r="M6083" s="1">
        <v>0</v>
      </c>
      <c r="N6083" s="38">
        <v>0</v>
      </c>
      <c r="P6083" s="38">
        <v>3.302</v>
      </c>
      <c r="Q6083" s="1">
        <v>10.4</v>
      </c>
      <c r="R6083" s="1"/>
      <c r="S6083" s="1"/>
      <c r="T6083" s="1"/>
      <c r="U6083" s="1">
        <v>0</v>
      </c>
      <c r="X6083" s="1"/>
      <c r="Y6083" s="1"/>
      <c r="AC6083" s="38">
        <v>0</v>
      </c>
    </row>
    <row r="6084" spans="1:29" x14ac:dyDescent="0.25">
      <c r="A6084" s="22">
        <v>44435</v>
      </c>
      <c r="B6084" s="1">
        <v>0</v>
      </c>
      <c r="C6084" s="1">
        <v>6.2</v>
      </c>
      <c r="D6084" s="1">
        <v>9.6</v>
      </c>
      <c r="F6084" s="1">
        <v>6.2</v>
      </c>
      <c r="G6084" s="1">
        <v>6.8</v>
      </c>
      <c r="H6084" s="1">
        <v>7</v>
      </c>
      <c r="I6084" s="1">
        <v>4.4000000000000004</v>
      </c>
      <c r="J6084" s="1">
        <v>9</v>
      </c>
      <c r="K6084" s="1"/>
      <c r="L6084" s="1">
        <v>4.3180000000000005</v>
      </c>
      <c r="M6084" s="1">
        <v>8.8000000000000007</v>
      </c>
      <c r="N6084" s="38">
        <v>13.600000000000001</v>
      </c>
      <c r="P6084" s="38">
        <v>4.0640000000000001</v>
      </c>
      <c r="Q6084" s="1">
        <v>5.3</v>
      </c>
      <c r="R6084" s="1"/>
      <c r="S6084" s="1"/>
      <c r="T6084" s="1"/>
      <c r="U6084" s="1">
        <v>8</v>
      </c>
      <c r="X6084" s="1"/>
      <c r="Y6084" s="1"/>
      <c r="AC6084" s="38">
        <v>4</v>
      </c>
    </row>
    <row r="6085" spans="1:29" x14ac:dyDescent="0.25">
      <c r="A6085" s="22">
        <v>44436</v>
      </c>
      <c r="B6085" s="1">
        <v>0</v>
      </c>
      <c r="C6085" s="1">
        <v>18</v>
      </c>
      <c r="D6085" s="1">
        <v>8.8000000000000007</v>
      </c>
      <c r="F6085" s="1">
        <v>3.3</v>
      </c>
      <c r="G6085" s="1">
        <v>2.7</v>
      </c>
      <c r="H6085" s="1">
        <v>3.5</v>
      </c>
      <c r="I6085" s="1">
        <v>1.1000000000000001</v>
      </c>
      <c r="J6085" s="1">
        <v>2.7</v>
      </c>
      <c r="K6085" s="1"/>
      <c r="L6085" s="1">
        <v>10.921999999999999</v>
      </c>
      <c r="M6085" s="1">
        <v>3.7</v>
      </c>
      <c r="N6085" s="38">
        <v>14.2</v>
      </c>
      <c r="P6085" s="38">
        <v>10.413999999999998</v>
      </c>
      <c r="Q6085" s="1">
        <v>12.7</v>
      </c>
      <c r="R6085" s="1"/>
      <c r="S6085" s="1"/>
      <c r="T6085" s="1"/>
      <c r="U6085" s="1">
        <v>10</v>
      </c>
      <c r="X6085" s="1"/>
      <c r="Y6085" s="1"/>
      <c r="AC6085" s="38">
        <v>3</v>
      </c>
    </row>
    <row r="6086" spans="1:29" x14ac:dyDescent="0.25">
      <c r="A6086" s="22">
        <v>44437</v>
      </c>
      <c r="B6086" s="1">
        <v>0</v>
      </c>
      <c r="C6086" s="1">
        <v>22.4</v>
      </c>
      <c r="D6086" s="1">
        <v>12.4</v>
      </c>
      <c r="F6086" s="1">
        <v>3</v>
      </c>
      <c r="G6086" s="1">
        <v>6.2</v>
      </c>
      <c r="H6086" s="1">
        <v>1.5</v>
      </c>
      <c r="I6086" s="1">
        <v>4.5999999999999996</v>
      </c>
      <c r="J6086" s="1">
        <v>19</v>
      </c>
      <c r="K6086" s="1"/>
      <c r="L6086" s="1">
        <v>3.8099999999999996</v>
      </c>
      <c r="M6086" s="1">
        <v>5.8</v>
      </c>
      <c r="N6086" s="38">
        <v>12.799999999999999</v>
      </c>
      <c r="P6086" s="38">
        <v>18.287999999999997</v>
      </c>
      <c r="Q6086" s="1">
        <v>4.5</v>
      </c>
      <c r="R6086" s="1"/>
      <c r="S6086" s="1"/>
      <c r="T6086" s="1"/>
      <c r="U6086" s="1">
        <v>0</v>
      </c>
      <c r="X6086" s="1"/>
      <c r="Y6086" s="1"/>
      <c r="AC6086" s="38">
        <v>9</v>
      </c>
    </row>
    <row r="6087" spans="1:29" x14ac:dyDescent="0.25">
      <c r="A6087" s="22">
        <v>44438</v>
      </c>
      <c r="B6087" s="1">
        <v>0</v>
      </c>
      <c r="C6087" s="1">
        <v>2.8</v>
      </c>
      <c r="D6087" s="1">
        <v>2</v>
      </c>
      <c r="F6087" s="1">
        <v>2.4</v>
      </c>
      <c r="G6087" s="1">
        <v>8.1</v>
      </c>
      <c r="H6087" s="1">
        <v>8</v>
      </c>
      <c r="I6087" s="1">
        <v>6.3</v>
      </c>
      <c r="J6087" s="1">
        <v>6</v>
      </c>
      <c r="K6087" s="1"/>
      <c r="L6087" s="1">
        <v>56.133999999999993</v>
      </c>
      <c r="M6087" s="1">
        <v>1.8</v>
      </c>
      <c r="N6087" s="38">
        <v>0.4</v>
      </c>
      <c r="P6087" s="38">
        <v>6.35</v>
      </c>
      <c r="Q6087" s="1">
        <v>24.8</v>
      </c>
      <c r="R6087" s="1"/>
      <c r="S6087" s="1"/>
      <c r="T6087" s="1"/>
      <c r="U6087" s="1">
        <v>9</v>
      </c>
      <c r="X6087" s="1"/>
      <c r="Y6087" s="1"/>
      <c r="AC6087" s="38">
        <v>2</v>
      </c>
    </row>
    <row r="6088" spans="1:29" x14ac:dyDescent="0.25">
      <c r="A6088" s="22">
        <v>44439</v>
      </c>
      <c r="B6088" s="1">
        <v>0</v>
      </c>
      <c r="C6088" s="1">
        <v>0</v>
      </c>
      <c r="D6088" s="1">
        <v>0</v>
      </c>
      <c r="F6088" s="1">
        <v>10.199999999999999</v>
      </c>
      <c r="G6088" s="1">
        <v>0.2</v>
      </c>
      <c r="H6088" s="1">
        <v>3.7</v>
      </c>
      <c r="I6088" s="1">
        <v>0.2</v>
      </c>
      <c r="J6088" s="1">
        <v>0.2</v>
      </c>
      <c r="K6088" s="1"/>
      <c r="L6088" s="1">
        <v>0</v>
      </c>
      <c r="M6088" s="1">
        <v>0.7</v>
      </c>
      <c r="N6088" s="38">
        <v>0.4</v>
      </c>
      <c r="P6088" s="38">
        <v>29.971999999999998</v>
      </c>
      <c r="Q6088" s="1">
        <v>1.5</v>
      </c>
      <c r="R6088" s="1"/>
      <c r="S6088" s="1"/>
      <c r="T6088" s="1"/>
      <c r="U6088" s="1">
        <v>0</v>
      </c>
      <c r="X6088" s="1"/>
      <c r="Y6088" s="1"/>
      <c r="AC6088" s="38">
        <v>0</v>
      </c>
    </row>
    <row r="6089" spans="1:29" x14ac:dyDescent="0.25">
      <c r="A6089" s="22">
        <v>44440</v>
      </c>
      <c r="B6089" s="1"/>
      <c r="C6089" s="1"/>
      <c r="D6089" s="1">
        <v>2</v>
      </c>
      <c r="F6089" s="1">
        <v>13.4</v>
      </c>
      <c r="G6089" s="1">
        <v>14.5</v>
      </c>
      <c r="H6089" s="1">
        <v>7.5</v>
      </c>
      <c r="I6089" s="1"/>
      <c r="J6089" s="1">
        <v>2.7</v>
      </c>
      <c r="K6089" s="1"/>
      <c r="L6089" s="1">
        <v>1.27</v>
      </c>
      <c r="M6089" s="1">
        <v>8.4</v>
      </c>
      <c r="N6089" s="38">
        <v>6.8</v>
      </c>
      <c r="Q6089" s="1">
        <v>1.2</v>
      </c>
      <c r="R6089" s="1"/>
      <c r="S6089" s="1"/>
      <c r="T6089" s="1"/>
      <c r="X6089" s="1"/>
      <c r="Y6089" s="1"/>
      <c r="AC6089" s="38">
        <v>14</v>
      </c>
    </row>
    <row r="6090" spans="1:29" x14ac:dyDescent="0.25">
      <c r="A6090" s="22">
        <v>44441</v>
      </c>
      <c r="B6090" s="1"/>
      <c r="C6090" s="1"/>
      <c r="D6090" s="1">
        <v>2</v>
      </c>
      <c r="F6090" s="1">
        <v>0</v>
      </c>
      <c r="G6090" s="1">
        <v>6</v>
      </c>
      <c r="H6090" s="1">
        <v>0</v>
      </c>
      <c r="I6090" s="1"/>
      <c r="J6090" s="1">
        <v>4.2</v>
      </c>
      <c r="K6090" s="1"/>
      <c r="L6090" s="1">
        <v>0.50800000000000001</v>
      </c>
      <c r="M6090" s="1">
        <v>0</v>
      </c>
      <c r="N6090" s="38">
        <v>5</v>
      </c>
      <c r="Q6090" s="1">
        <v>8.6</v>
      </c>
      <c r="R6090" s="1"/>
      <c r="S6090" s="1"/>
      <c r="T6090" s="1"/>
      <c r="U6090" s="1"/>
      <c r="X6090" s="1"/>
      <c r="Y6090" s="1"/>
      <c r="AC6090" s="38">
        <v>0</v>
      </c>
    </row>
    <row r="6091" spans="1:29" x14ac:dyDescent="0.25">
      <c r="A6091" s="22">
        <v>44442</v>
      </c>
      <c r="B6091" s="1"/>
      <c r="C6091" s="1"/>
      <c r="D6091" s="1">
        <v>18</v>
      </c>
      <c r="F6091" s="1">
        <v>5.0999999999999996</v>
      </c>
      <c r="G6091" s="1">
        <v>6</v>
      </c>
      <c r="H6091" s="1">
        <v>8.4</v>
      </c>
      <c r="I6091" s="1"/>
      <c r="J6091" s="1">
        <v>13</v>
      </c>
      <c r="K6091" s="1"/>
      <c r="L6091" s="1">
        <v>19.303999999999998</v>
      </c>
      <c r="M6091" s="1">
        <v>4.4000000000000004</v>
      </c>
      <c r="N6091" s="38">
        <v>92.800000000000011</v>
      </c>
      <c r="Q6091" s="1">
        <v>104.8</v>
      </c>
      <c r="R6091" s="1"/>
      <c r="S6091" s="1"/>
      <c r="T6091" s="1"/>
      <c r="U6091" s="1"/>
      <c r="X6091" s="1"/>
      <c r="Y6091" s="1"/>
      <c r="AC6091" s="38">
        <v>58</v>
      </c>
    </row>
    <row r="6092" spans="1:29" x14ac:dyDescent="0.25">
      <c r="A6092" s="22">
        <v>44443</v>
      </c>
      <c r="B6092" s="1"/>
      <c r="C6092" s="1"/>
      <c r="D6092" s="1">
        <v>81.2</v>
      </c>
      <c r="F6092" s="1">
        <v>97</v>
      </c>
      <c r="G6092" s="1">
        <v>106.6</v>
      </c>
      <c r="H6092" s="1">
        <v>92.3</v>
      </c>
      <c r="I6092" s="1"/>
      <c r="J6092" s="1">
        <v>103.6</v>
      </c>
      <c r="K6092" s="1"/>
      <c r="L6092" s="1">
        <v>66.039999999999992</v>
      </c>
      <c r="M6092" s="1">
        <v>120.3</v>
      </c>
      <c r="N6092" s="38">
        <v>30.000000000000004</v>
      </c>
      <c r="Q6092" s="1">
        <v>24.6</v>
      </c>
      <c r="R6092" s="1"/>
      <c r="S6092" s="1"/>
      <c r="T6092" s="1"/>
      <c r="U6092" s="1"/>
      <c r="X6092" s="1"/>
      <c r="Y6092" s="1"/>
      <c r="AC6092" s="38">
        <v>13</v>
      </c>
    </row>
    <row r="6093" spans="1:29" x14ac:dyDescent="0.25">
      <c r="A6093" s="22">
        <v>44444</v>
      </c>
      <c r="B6093" s="1"/>
      <c r="C6093" s="1"/>
      <c r="D6093" s="1">
        <v>33.4</v>
      </c>
      <c r="F6093" s="1">
        <v>10.3</v>
      </c>
      <c r="G6093" s="1">
        <v>18.5</v>
      </c>
      <c r="H6093" s="1">
        <v>7.4</v>
      </c>
      <c r="I6093" s="1"/>
      <c r="J6093" s="1">
        <v>22</v>
      </c>
      <c r="K6093" s="1"/>
      <c r="L6093" s="1">
        <v>9.6519999999999992</v>
      </c>
      <c r="M6093" s="1">
        <v>26.5</v>
      </c>
      <c r="N6093" s="38">
        <v>15.200000000000001</v>
      </c>
      <c r="Q6093" s="1">
        <v>0</v>
      </c>
      <c r="R6093" s="1"/>
      <c r="S6093" s="1"/>
      <c r="T6093" s="1"/>
      <c r="U6093" s="1"/>
      <c r="X6093" s="1"/>
      <c r="Y6093" s="1"/>
      <c r="AC6093" s="38">
        <v>8</v>
      </c>
    </row>
    <row r="6094" spans="1:29" x14ac:dyDescent="0.25">
      <c r="A6094" s="22">
        <v>44445</v>
      </c>
      <c r="B6094" s="1"/>
      <c r="C6094" s="1"/>
      <c r="D6094" s="1">
        <v>2</v>
      </c>
      <c r="F6094" s="1">
        <v>5.2</v>
      </c>
      <c r="G6094" s="1">
        <v>33</v>
      </c>
      <c r="H6094" s="1">
        <v>13.5</v>
      </c>
      <c r="I6094" s="1"/>
      <c r="J6094" s="1">
        <v>20</v>
      </c>
      <c r="K6094" s="1"/>
      <c r="L6094" s="1">
        <v>0</v>
      </c>
      <c r="M6094" s="1">
        <v>0.7</v>
      </c>
      <c r="N6094" s="38">
        <v>0.2</v>
      </c>
      <c r="Q6094" s="1">
        <v>0</v>
      </c>
      <c r="R6094" s="1"/>
      <c r="S6094" s="1"/>
      <c r="T6094" s="1"/>
      <c r="U6094" s="1"/>
      <c r="X6094" s="1"/>
      <c r="Y6094" s="1"/>
      <c r="AC6094" s="38">
        <v>0</v>
      </c>
    </row>
    <row r="6095" spans="1:29" x14ac:dyDescent="0.25">
      <c r="A6095" s="22">
        <v>44446</v>
      </c>
      <c r="B6095" s="1"/>
      <c r="C6095" s="1"/>
      <c r="D6095" s="1">
        <v>0.4</v>
      </c>
      <c r="F6095" s="1">
        <v>0.4</v>
      </c>
      <c r="G6095" s="1">
        <v>1.5</v>
      </c>
      <c r="H6095" s="1">
        <v>2</v>
      </c>
      <c r="I6095" s="1"/>
      <c r="J6095" s="1">
        <v>0.6</v>
      </c>
      <c r="K6095" s="1"/>
      <c r="L6095" s="1">
        <v>1.016</v>
      </c>
      <c r="M6095" s="1">
        <v>0.7</v>
      </c>
      <c r="N6095" s="38">
        <v>2.2000000000000002</v>
      </c>
      <c r="Q6095" s="1">
        <v>0</v>
      </c>
      <c r="R6095" s="1"/>
      <c r="S6095" s="1"/>
      <c r="T6095" s="1"/>
      <c r="U6095" s="1"/>
      <c r="X6095" s="1"/>
      <c r="Y6095" s="1"/>
      <c r="AC6095" s="38">
        <v>0</v>
      </c>
    </row>
    <row r="6096" spans="1:29" x14ac:dyDescent="0.25">
      <c r="A6096" s="22">
        <v>44447</v>
      </c>
      <c r="B6096" s="1"/>
      <c r="C6096" s="1"/>
      <c r="D6096" s="1">
        <v>1.8</v>
      </c>
      <c r="F6096" s="1">
        <v>1</v>
      </c>
      <c r="G6096" s="1">
        <v>2</v>
      </c>
      <c r="H6096" s="1">
        <v>1.2</v>
      </c>
      <c r="I6096" s="1"/>
      <c r="J6096" s="1">
        <v>2</v>
      </c>
      <c r="K6096" s="1"/>
      <c r="L6096" s="1">
        <v>0.7619999999999999</v>
      </c>
      <c r="M6096" s="38">
        <v>1.8</v>
      </c>
      <c r="N6096" s="38">
        <v>0.2</v>
      </c>
      <c r="Q6096" s="1">
        <v>0</v>
      </c>
      <c r="R6096" s="1"/>
      <c r="S6096" s="1"/>
      <c r="T6096" s="1"/>
      <c r="U6096" s="1"/>
      <c r="X6096" s="1"/>
      <c r="Y6096" s="1"/>
      <c r="AC6096" s="38">
        <v>5</v>
      </c>
    </row>
    <row r="6097" spans="1:29" x14ac:dyDescent="0.25">
      <c r="A6097" s="22">
        <v>44448</v>
      </c>
      <c r="B6097" s="1"/>
      <c r="C6097" s="1"/>
      <c r="D6097" s="1">
        <v>4.8</v>
      </c>
      <c r="F6097" s="1">
        <v>3</v>
      </c>
      <c r="G6097" s="1">
        <v>2.4</v>
      </c>
      <c r="H6097" s="1">
        <v>1.2</v>
      </c>
      <c r="I6097" s="1"/>
      <c r="J6097" s="1">
        <v>2.2000000000000002</v>
      </c>
      <c r="K6097" s="1"/>
      <c r="L6097" s="1">
        <v>0</v>
      </c>
      <c r="M6097" s="1">
        <v>0.8</v>
      </c>
      <c r="N6097" s="38">
        <v>1.2</v>
      </c>
      <c r="Q6097" s="1">
        <v>0</v>
      </c>
      <c r="R6097" s="1"/>
      <c r="S6097" s="1"/>
      <c r="T6097" s="1"/>
      <c r="U6097" s="1"/>
      <c r="X6097" s="1"/>
      <c r="Y6097" s="1"/>
      <c r="AC6097" s="38">
        <v>0</v>
      </c>
    </row>
    <row r="6098" spans="1:29" x14ac:dyDescent="0.25">
      <c r="A6098" s="22">
        <v>44449</v>
      </c>
      <c r="B6098" s="1"/>
      <c r="C6098" s="1"/>
      <c r="D6098" s="1">
        <v>0.4</v>
      </c>
      <c r="F6098" s="1">
        <v>0</v>
      </c>
      <c r="G6098" s="1">
        <v>5</v>
      </c>
      <c r="H6098" s="1">
        <v>0</v>
      </c>
      <c r="I6098" s="1"/>
      <c r="J6098" s="1">
        <v>1</v>
      </c>
      <c r="K6098" s="1"/>
      <c r="L6098" s="1">
        <v>7.1120000000000001</v>
      </c>
      <c r="M6098" s="1">
        <v>0.6</v>
      </c>
      <c r="N6098" s="38">
        <v>0</v>
      </c>
      <c r="Q6098" s="1">
        <v>6.8</v>
      </c>
      <c r="R6098" s="1"/>
      <c r="S6098" s="1"/>
      <c r="T6098" s="1"/>
      <c r="U6098" s="1"/>
      <c r="X6098" s="1"/>
      <c r="Y6098" s="1"/>
      <c r="AC6098" s="38">
        <v>33</v>
      </c>
    </row>
    <row r="6099" spans="1:29" x14ac:dyDescent="0.25">
      <c r="A6099" s="22">
        <v>44450</v>
      </c>
      <c r="B6099" s="1"/>
      <c r="C6099" s="1"/>
      <c r="D6099" s="1">
        <v>9.6</v>
      </c>
      <c r="F6099" s="1">
        <v>9.1</v>
      </c>
      <c r="G6099" s="1">
        <v>9.5</v>
      </c>
      <c r="H6099" s="1">
        <v>12</v>
      </c>
      <c r="I6099" s="1"/>
      <c r="J6099" s="1">
        <v>2.2000000000000002</v>
      </c>
      <c r="K6099" s="1"/>
      <c r="L6099" s="1">
        <v>5.3339999999999996</v>
      </c>
      <c r="M6099" s="1">
        <v>14</v>
      </c>
      <c r="N6099" s="38">
        <v>3.8</v>
      </c>
      <c r="Q6099" s="1">
        <v>1.2</v>
      </c>
      <c r="R6099" s="1"/>
      <c r="S6099" s="1"/>
      <c r="T6099" s="1"/>
      <c r="U6099" s="1"/>
      <c r="X6099" s="1"/>
      <c r="Y6099" s="1"/>
      <c r="AC6099" s="38">
        <v>1</v>
      </c>
    </row>
    <row r="6100" spans="1:29" x14ac:dyDescent="0.25">
      <c r="A6100" s="22">
        <v>44451</v>
      </c>
      <c r="B6100" s="1"/>
      <c r="C6100" s="1"/>
      <c r="D6100" s="1">
        <v>0</v>
      </c>
      <c r="F6100" s="1">
        <v>0</v>
      </c>
      <c r="G6100" s="1">
        <v>4.2</v>
      </c>
      <c r="H6100" s="1">
        <v>0</v>
      </c>
      <c r="I6100" s="1"/>
      <c r="J6100" s="1">
        <v>1</v>
      </c>
      <c r="K6100" s="1"/>
      <c r="L6100" s="1">
        <v>5.8419999999999996</v>
      </c>
      <c r="M6100" s="1">
        <v>0</v>
      </c>
      <c r="N6100" s="38">
        <v>0</v>
      </c>
      <c r="Q6100" s="1">
        <v>0</v>
      </c>
      <c r="R6100" s="1"/>
      <c r="S6100" s="1"/>
      <c r="T6100" s="1"/>
      <c r="U6100" s="1"/>
      <c r="X6100" s="1"/>
      <c r="Y6100" s="1"/>
      <c r="AC6100" s="38">
        <v>0</v>
      </c>
    </row>
    <row r="6101" spans="1:29" x14ac:dyDescent="0.25">
      <c r="A6101" s="22">
        <v>44452</v>
      </c>
      <c r="B6101" s="1"/>
      <c r="C6101" s="1"/>
      <c r="D6101" s="1">
        <v>0.8</v>
      </c>
      <c r="F6101" s="1">
        <v>0</v>
      </c>
      <c r="G6101" s="1">
        <v>0.5</v>
      </c>
      <c r="H6101" s="1">
        <v>0</v>
      </c>
      <c r="I6101" s="1"/>
      <c r="J6101" s="1">
        <v>0</v>
      </c>
      <c r="K6101" s="1"/>
      <c r="L6101" s="1">
        <v>23.114000000000001</v>
      </c>
      <c r="M6101" s="1">
        <v>0</v>
      </c>
      <c r="N6101" s="38">
        <v>0.60000000000000009</v>
      </c>
      <c r="Q6101" s="1">
        <v>0.1</v>
      </c>
      <c r="R6101" s="1"/>
      <c r="S6101" s="1"/>
      <c r="T6101" s="1"/>
      <c r="U6101" s="1"/>
      <c r="X6101" s="1"/>
      <c r="Y6101" s="1"/>
      <c r="AC6101" s="38">
        <v>0</v>
      </c>
    </row>
    <row r="6102" spans="1:29" x14ac:dyDescent="0.25">
      <c r="A6102" s="22">
        <v>44453</v>
      </c>
      <c r="B6102" s="1"/>
      <c r="C6102" s="1"/>
      <c r="D6102" s="1">
        <v>0</v>
      </c>
      <c r="F6102" s="1">
        <v>0</v>
      </c>
      <c r="G6102" s="1">
        <v>0</v>
      </c>
      <c r="H6102" s="1">
        <v>0</v>
      </c>
      <c r="I6102" s="1"/>
      <c r="J6102" s="1">
        <v>0</v>
      </c>
      <c r="K6102" s="1"/>
      <c r="L6102" s="1">
        <v>0</v>
      </c>
      <c r="M6102" s="1">
        <v>0</v>
      </c>
      <c r="N6102" s="38">
        <v>1.2</v>
      </c>
      <c r="Q6102" s="1">
        <v>1.7</v>
      </c>
      <c r="R6102" s="1"/>
      <c r="S6102" s="1"/>
      <c r="T6102" s="1"/>
      <c r="U6102" s="1"/>
      <c r="X6102" s="1"/>
      <c r="Y6102" s="1"/>
      <c r="AC6102" s="38">
        <v>0</v>
      </c>
    </row>
    <row r="6103" spans="1:29" x14ac:dyDescent="0.25">
      <c r="A6103" s="22">
        <v>44454</v>
      </c>
      <c r="B6103" s="1"/>
      <c r="C6103" s="1"/>
      <c r="D6103" s="1">
        <v>17.2</v>
      </c>
      <c r="F6103" s="1">
        <v>0</v>
      </c>
      <c r="G6103" s="1">
        <v>3</v>
      </c>
      <c r="H6103" s="1">
        <v>1.1000000000000001</v>
      </c>
      <c r="I6103" s="1"/>
      <c r="J6103" s="1">
        <v>0.7</v>
      </c>
      <c r="K6103" s="1"/>
      <c r="L6103" s="1">
        <v>1.016</v>
      </c>
      <c r="M6103" s="1">
        <v>1</v>
      </c>
      <c r="N6103" s="38">
        <v>2</v>
      </c>
      <c r="Q6103" s="1">
        <v>5.3</v>
      </c>
      <c r="R6103" s="1"/>
      <c r="S6103" s="1"/>
      <c r="T6103" s="1"/>
      <c r="U6103" s="1"/>
      <c r="X6103" s="1"/>
      <c r="Y6103" s="1"/>
      <c r="AC6103" s="38">
        <v>0</v>
      </c>
    </row>
    <row r="6104" spans="1:29" x14ac:dyDescent="0.25">
      <c r="A6104" s="22">
        <v>44455</v>
      </c>
      <c r="B6104" s="1"/>
      <c r="C6104" s="1"/>
      <c r="D6104" s="1">
        <v>6.4</v>
      </c>
      <c r="F6104" s="1">
        <v>2.4</v>
      </c>
      <c r="G6104" s="1">
        <v>6</v>
      </c>
      <c r="H6104" s="1">
        <v>9.4</v>
      </c>
      <c r="I6104" s="1"/>
      <c r="J6104" s="1">
        <v>9</v>
      </c>
      <c r="K6104" s="1"/>
      <c r="L6104" s="1">
        <v>4.3180000000000005</v>
      </c>
      <c r="M6104" s="1">
        <v>8</v>
      </c>
      <c r="N6104" s="38">
        <v>5.4000000000000012</v>
      </c>
      <c r="Q6104" s="1">
        <v>13.2</v>
      </c>
      <c r="R6104" s="1"/>
      <c r="S6104" s="1"/>
      <c r="T6104" s="1"/>
      <c r="U6104" s="1"/>
      <c r="X6104" s="1"/>
      <c r="Y6104" s="1"/>
      <c r="AC6104" s="38">
        <v>0</v>
      </c>
    </row>
    <row r="6105" spans="1:29" x14ac:dyDescent="0.25">
      <c r="A6105" s="22">
        <v>44456</v>
      </c>
      <c r="B6105" s="1"/>
      <c r="C6105" s="1"/>
      <c r="D6105" s="1">
        <v>13.6</v>
      </c>
      <c r="F6105" s="1">
        <v>3.3</v>
      </c>
      <c r="G6105" s="1">
        <v>0</v>
      </c>
      <c r="H6105" s="1">
        <v>4.7</v>
      </c>
      <c r="I6105" s="1"/>
      <c r="J6105" s="1">
        <v>14</v>
      </c>
      <c r="K6105" s="1"/>
      <c r="L6105" s="1">
        <v>3.302</v>
      </c>
      <c r="M6105" s="1">
        <v>2.6</v>
      </c>
      <c r="N6105" s="38">
        <v>22.199999999999996</v>
      </c>
      <c r="Q6105" s="1">
        <v>4.5</v>
      </c>
      <c r="R6105" s="1"/>
      <c r="S6105" s="1"/>
      <c r="T6105" s="1"/>
      <c r="U6105" s="1"/>
      <c r="X6105" s="1"/>
      <c r="Y6105" s="1"/>
      <c r="AC6105" s="38">
        <v>8</v>
      </c>
    </row>
    <row r="6106" spans="1:29" x14ac:dyDescent="0.25">
      <c r="A6106" s="22">
        <v>44457</v>
      </c>
      <c r="B6106" s="1"/>
      <c r="C6106" s="1"/>
      <c r="D6106" s="1">
        <v>2.4</v>
      </c>
      <c r="F6106" s="1">
        <v>6</v>
      </c>
      <c r="G6106" s="1">
        <v>5.0999999999999996</v>
      </c>
      <c r="H6106" s="1">
        <v>9</v>
      </c>
      <c r="I6106" s="1"/>
      <c r="J6106" s="1">
        <v>16.7</v>
      </c>
      <c r="K6106" s="1"/>
      <c r="L6106" s="1">
        <v>0.7619999999999999</v>
      </c>
      <c r="M6106" s="1">
        <v>4.7</v>
      </c>
      <c r="N6106" s="38">
        <v>0.4</v>
      </c>
      <c r="Q6106" s="1">
        <v>0.1</v>
      </c>
      <c r="R6106" s="1"/>
      <c r="S6106" s="1"/>
      <c r="T6106" s="1"/>
      <c r="U6106" s="1"/>
      <c r="X6106" s="1"/>
      <c r="Y6106" s="1"/>
      <c r="AC6106" s="38">
        <v>0</v>
      </c>
    </row>
    <row r="6107" spans="1:29" x14ac:dyDescent="0.25">
      <c r="A6107" s="22">
        <v>44458</v>
      </c>
      <c r="B6107" s="1"/>
      <c r="C6107" s="1"/>
      <c r="D6107" s="1">
        <v>0</v>
      </c>
      <c r="F6107" s="1">
        <v>0</v>
      </c>
      <c r="G6107" s="1">
        <v>0.5</v>
      </c>
      <c r="H6107" s="1">
        <v>0</v>
      </c>
      <c r="I6107" s="1"/>
      <c r="J6107" s="1">
        <v>0</v>
      </c>
      <c r="K6107" s="1"/>
      <c r="L6107" s="1">
        <v>0.254</v>
      </c>
      <c r="M6107" s="1">
        <v>0</v>
      </c>
      <c r="N6107" s="38">
        <v>10</v>
      </c>
      <c r="Q6107" s="1">
        <v>2.7</v>
      </c>
      <c r="R6107" s="1"/>
      <c r="S6107" s="1"/>
      <c r="T6107" s="1"/>
      <c r="U6107" s="1"/>
      <c r="X6107" s="1"/>
      <c r="Y6107" s="1"/>
      <c r="AC6107" s="38">
        <v>0</v>
      </c>
    </row>
    <row r="6108" spans="1:29" x14ac:dyDescent="0.25">
      <c r="A6108" s="22">
        <v>44459</v>
      </c>
      <c r="B6108" s="1"/>
      <c r="C6108" s="1"/>
      <c r="D6108" s="1">
        <v>32</v>
      </c>
      <c r="F6108" s="1">
        <v>0</v>
      </c>
      <c r="G6108" s="1">
        <v>0</v>
      </c>
      <c r="H6108" s="1">
        <v>0</v>
      </c>
      <c r="I6108" s="1"/>
      <c r="J6108" s="1">
        <v>22.2</v>
      </c>
      <c r="K6108" s="1"/>
      <c r="L6108" s="1">
        <v>3.8099999999999996</v>
      </c>
      <c r="M6108" s="1">
        <v>0</v>
      </c>
      <c r="N6108" s="38">
        <v>0.2</v>
      </c>
      <c r="Q6108" s="1">
        <v>0</v>
      </c>
      <c r="R6108" s="1"/>
      <c r="S6108" s="1"/>
      <c r="T6108" s="1"/>
      <c r="U6108" s="1"/>
      <c r="X6108" s="1"/>
      <c r="Y6108" s="1"/>
      <c r="AC6108" s="38">
        <v>0</v>
      </c>
    </row>
    <row r="6109" spans="1:29" x14ac:dyDescent="0.25">
      <c r="A6109" s="22">
        <v>44460</v>
      </c>
      <c r="B6109" s="1"/>
      <c r="C6109" s="1"/>
      <c r="D6109" s="1">
        <v>0</v>
      </c>
      <c r="F6109" s="1">
        <v>0</v>
      </c>
      <c r="G6109" s="1">
        <v>11.5</v>
      </c>
      <c r="H6109" s="1">
        <v>0</v>
      </c>
      <c r="I6109" s="1"/>
      <c r="J6109" s="1">
        <v>0</v>
      </c>
      <c r="K6109" s="1"/>
      <c r="L6109" s="1">
        <v>0</v>
      </c>
      <c r="M6109" s="1">
        <v>0</v>
      </c>
      <c r="N6109" s="38">
        <v>1</v>
      </c>
      <c r="Q6109" s="1">
        <v>18.5</v>
      </c>
      <c r="R6109" s="1"/>
      <c r="S6109" s="1"/>
      <c r="T6109" s="1"/>
      <c r="U6109" s="1"/>
      <c r="X6109" s="1"/>
      <c r="Y6109" s="1"/>
      <c r="AC6109" s="38">
        <v>0</v>
      </c>
    </row>
    <row r="6110" spans="1:29" x14ac:dyDescent="0.25">
      <c r="A6110" s="22">
        <v>44461</v>
      </c>
      <c r="B6110" s="1"/>
      <c r="C6110" s="1"/>
      <c r="D6110" s="1">
        <v>3.6</v>
      </c>
      <c r="F6110" s="1">
        <v>2.1</v>
      </c>
      <c r="G6110" s="1">
        <v>2</v>
      </c>
      <c r="H6110" s="1">
        <v>0</v>
      </c>
      <c r="I6110" s="1"/>
      <c r="J6110" s="1">
        <v>0.2</v>
      </c>
      <c r="K6110" s="1"/>
      <c r="L6110" s="1">
        <v>5.8419999999999996</v>
      </c>
      <c r="M6110" s="1">
        <v>0.4</v>
      </c>
      <c r="N6110" s="38">
        <v>3</v>
      </c>
      <c r="Q6110" s="1">
        <v>11.4</v>
      </c>
      <c r="R6110" s="1"/>
      <c r="S6110" s="1"/>
      <c r="T6110" s="1"/>
      <c r="U6110" s="1"/>
      <c r="X6110" s="1"/>
      <c r="Y6110" s="1"/>
      <c r="AC6110" s="38">
        <v>0</v>
      </c>
    </row>
    <row r="6111" spans="1:29" x14ac:dyDescent="0.25">
      <c r="A6111" s="22">
        <v>44462</v>
      </c>
      <c r="B6111" s="1"/>
      <c r="C6111" s="1"/>
      <c r="D6111" s="1">
        <v>3.6</v>
      </c>
      <c r="F6111" s="1">
        <v>2.2999999999999998</v>
      </c>
      <c r="G6111" s="1">
        <v>0</v>
      </c>
      <c r="H6111" s="1">
        <v>5.9</v>
      </c>
      <c r="I6111" s="1"/>
      <c r="J6111" s="1">
        <v>9.8000000000000007</v>
      </c>
      <c r="K6111" s="1"/>
      <c r="L6111" s="1">
        <v>28.194000000000003</v>
      </c>
      <c r="M6111" s="1">
        <v>8</v>
      </c>
      <c r="N6111" s="38">
        <v>15.799999999999999</v>
      </c>
      <c r="Q6111" s="1">
        <v>0</v>
      </c>
      <c r="R6111" s="1"/>
      <c r="S6111" s="1"/>
      <c r="T6111" s="1"/>
      <c r="U6111" s="1"/>
      <c r="X6111" s="1"/>
      <c r="Y6111" s="1"/>
      <c r="AC6111" s="38">
        <v>0</v>
      </c>
    </row>
    <row r="6112" spans="1:29" x14ac:dyDescent="0.25">
      <c r="A6112" s="22">
        <v>44463</v>
      </c>
      <c r="B6112" s="1"/>
      <c r="C6112" s="1"/>
      <c r="D6112" s="1">
        <v>1.2</v>
      </c>
      <c r="F6112" s="1">
        <v>0</v>
      </c>
      <c r="G6112" s="1">
        <v>12.1</v>
      </c>
      <c r="H6112" s="1">
        <v>7.9</v>
      </c>
      <c r="I6112" s="1"/>
      <c r="J6112" s="1">
        <v>1.9</v>
      </c>
      <c r="K6112" s="1"/>
      <c r="L6112" s="1">
        <v>1.778</v>
      </c>
      <c r="M6112" s="1">
        <v>14.8</v>
      </c>
      <c r="N6112" s="38">
        <v>8.1999999999999993</v>
      </c>
      <c r="Q6112" s="1">
        <v>9.3000000000000007</v>
      </c>
      <c r="R6112" s="1"/>
      <c r="S6112" s="1"/>
      <c r="T6112" s="1"/>
      <c r="U6112" s="1"/>
      <c r="X6112" s="1"/>
      <c r="Y6112" s="1"/>
      <c r="AC6112" s="38">
        <v>5</v>
      </c>
    </row>
    <row r="6113" spans="1:29" x14ac:dyDescent="0.25">
      <c r="A6113" s="22">
        <v>44464</v>
      </c>
      <c r="B6113" s="1"/>
      <c r="C6113" s="1"/>
      <c r="D6113" s="1">
        <v>1</v>
      </c>
      <c r="F6113" s="1">
        <v>8</v>
      </c>
      <c r="G6113" s="1">
        <v>8.5</v>
      </c>
      <c r="H6113" s="1">
        <v>14.4</v>
      </c>
      <c r="I6113" s="1"/>
      <c r="J6113" s="1">
        <v>3.5</v>
      </c>
      <c r="K6113" s="1"/>
      <c r="L6113" s="1">
        <v>1.016</v>
      </c>
      <c r="M6113" s="1">
        <v>4.5</v>
      </c>
      <c r="N6113" s="38">
        <v>14.199999999999998</v>
      </c>
      <c r="Q6113" s="1">
        <v>2.2000000000000002</v>
      </c>
      <c r="R6113" s="1"/>
      <c r="S6113" s="1"/>
      <c r="T6113" s="1"/>
      <c r="U6113" s="1"/>
      <c r="X6113" s="1"/>
      <c r="Y6113" s="1"/>
      <c r="AC6113" s="38">
        <v>5</v>
      </c>
    </row>
    <row r="6114" spans="1:29" x14ac:dyDescent="0.25">
      <c r="A6114" s="22">
        <v>44465</v>
      </c>
      <c r="B6114" s="1"/>
      <c r="C6114" s="1"/>
      <c r="D6114" s="1">
        <v>31.2</v>
      </c>
      <c r="F6114" s="1">
        <v>1.4</v>
      </c>
      <c r="G6114" s="1">
        <v>64.5</v>
      </c>
      <c r="H6114" s="1">
        <v>0</v>
      </c>
      <c r="I6114" s="1"/>
      <c r="J6114" s="1">
        <v>0</v>
      </c>
      <c r="K6114" s="1"/>
      <c r="L6114" s="1">
        <v>2.2859999999999996</v>
      </c>
      <c r="M6114" s="1">
        <v>1</v>
      </c>
      <c r="N6114" s="38">
        <v>59</v>
      </c>
      <c r="Q6114" s="1">
        <v>8.8000000000000007</v>
      </c>
      <c r="R6114" s="1"/>
      <c r="S6114" s="1"/>
      <c r="T6114" s="1"/>
      <c r="U6114" s="1"/>
      <c r="X6114" s="1"/>
      <c r="Y6114" s="1"/>
      <c r="AC6114" s="38">
        <v>4</v>
      </c>
    </row>
    <row r="6115" spans="1:29" x14ac:dyDescent="0.25">
      <c r="A6115" s="22">
        <v>44466</v>
      </c>
      <c r="B6115" s="1"/>
      <c r="C6115" s="1"/>
      <c r="D6115" s="1">
        <v>46.8</v>
      </c>
      <c r="F6115" s="1">
        <v>48</v>
      </c>
      <c r="G6115" s="1">
        <v>8</v>
      </c>
      <c r="H6115" s="1">
        <v>50</v>
      </c>
      <c r="I6115" s="1"/>
      <c r="J6115" s="1">
        <v>52.5</v>
      </c>
      <c r="K6115" s="1"/>
      <c r="L6115" s="1">
        <v>0</v>
      </c>
      <c r="M6115" s="1">
        <v>42.1</v>
      </c>
      <c r="N6115" s="38">
        <v>47.199999999999996</v>
      </c>
      <c r="Q6115" s="1">
        <v>6</v>
      </c>
      <c r="R6115" s="1"/>
      <c r="S6115" s="1"/>
      <c r="T6115" s="1"/>
      <c r="U6115" s="1"/>
      <c r="X6115" s="1"/>
      <c r="Y6115" s="1"/>
      <c r="AC6115" s="38">
        <v>0</v>
      </c>
    </row>
    <row r="6116" spans="1:29" x14ac:dyDescent="0.25">
      <c r="A6116" s="22">
        <v>44467</v>
      </c>
      <c r="B6116" s="1"/>
      <c r="C6116" s="1"/>
      <c r="D6116" s="1">
        <v>22</v>
      </c>
      <c r="F6116" s="1">
        <v>12</v>
      </c>
      <c r="G6116" s="1">
        <v>28.2</v>
      </c>
      <c r="H6116" s="1">
        <v>22.8</v>
      </c>
      <c r="I6116" s="1"/>
      <c r="J6116" s="1">
        <v>52.7</v>
      </c>
      <c r="K6116" s="1"/>
      <c r="L6116" s="1">
        <v>5.3339999999999996</v>
      </c>
      <c r="M6116" s="1">
        <v>2.2999999999999998</v>
      </c>
      <c r="N6116" s="38">
        <v>21.999999999999996</v>
      </c>
      <c r="Q6116" s="1">
        <v>4.3</v>
      </c>
      <c r="R6116" s="1"/>
      <c r="S6116" s="1"/>
      <c r="T6116" s="1"/>
      <c r="U6116" s="1"/>
      <c r="X6116" s="1"/>
      <c r="Y6116" s="1"/>
      <c r="AC6116" s="38">
        <v>0</v>
      </c>
    </row>
    <row r="6117" spans="1:29" x14ac:dyDescent="0.25">
      <c r="A6117" s="22">
        <v>44468</v>
      </c>
      <c r="B6117" s="1"/>
      <c r="C6117" s="1"/>
      <c r="D6117" s="1">
        <v>2</v>
      </c>
      <c r="F6117" s="1">
        <v>54.4</v>
      </c>
      <c r="G6117" s="1">
        <v>0</v>
      </c>
      <c r="H6117" s="1">
        <v>91</v>
      </c>
      <c r="I6117" s="1"/>
      <c r="J6117" s="1">
        <v>0</v>
      </c>
      <c r="K6117" s="1"/>
      <c r="L6117" s="1">
        <v>0</v>
      </c>
      <c r="M6117" s="1">
        <v>44.6</v>
      </c>
      <c r="N6117" s="38">
        <v>0.6</v>
      </c>
      <c r="Q6117" s="1">
        <v>0</v>
      </c>
      <c r="R6117" s="1"/>
      <c r="S6117" s="1"/>
      <c r="T6117" s="1"/>
      <c r="U6117" s="1"/>
      <c r="X6117" s="1"/>
      <c r="Y6117" s="1"/>
      <c r="AC6117" s="38">
        <v>2</v>
      </c>
    </row>
    <row r="6118" spans="1:29" x14ac:dyDescent="0.25">
      <c r="A6118" s="22">
        <v>44469</v>
      </c>
      <c r="B6118" s="1"/>
      <c r="C6118" s="1"/>
      <c r="D6118" s="1">
        <v>3.2</v>
      </c>
      <c r="F6118" s="1">
        <v>20.399999999999999</v>
      </c>
      <c r="G6118" s="1">
        <v>8.5</v>
      </c>
      <c r="H6118" s="1">
        <v>27.7</v>
      </c>
      <c r="I6118" s="1"/>
      <c r="J6118" s="1">
        <v>0</v>
      </c>
      <c r="K6118" s="1"/>
      <c r="L6118" s="1">
        <v>2.794</v>
      </c>
      <c r="M6118" s="1">
        <v>17.5</v>
      </c>
      <c r="N6118" s="38">
        <v>1.5999999999999999</v>
      </c>
      <c r="Q6118" s="1">
        <v>48.7</v>
      </c>
      <c r="R6118" s="1"/>
      <c r="S6118" s="1"/>
      <c r="T6118" s="1"/>
      <c r="U6118" s="1"/>
      <c r="X6118" s="1"/>
      <c r="Y6118" s="1"/>
      <c r="AC6118" s="38">
        <v>3</v>
      </c>
    </row>
    <row r="6119" spans="1:29" x14ac:dyDescent="0.25">
      <c r="A6119" s="22">
        <v>44470</v>
      </c>
      <c r="B6119" s="1">
        <v>0</v>
      </c>
      <c r="C6119" s="1">
        <v>16.100000000000001</v>
      </c>
      <c r="D6119" s="1">
        <v>22</v>
      </c>
      <c r="F6119" s="1">
        <v>15</v>
      </c>
      <c r="G6119" s="1">
        <v>13.5</v>
      </c>
      <c r="H6119" s="1">
        <v>24.6</v>
      </c>
      <c r="I6119" s="1">
        <v>23</v>
      </c>
      <c r="J6119" s="1">
        <v>16.8</v>
      </c>
      <c r="K6119" s="1">
        <v>28</v>
      </c>
      <c r="L6119" s="1">
        <v>64.515999999999991</v>
      </c>
      <c r="M6119" s="1">
        <v>18.2</v>
      </c>
      <c r="N6119" s="38">
        <v>40.799999999999997</v>
      </c>
      <c r="P6119" s="38">
        <v>51.053999999999995</v>
      </c>
      <c r="Q6119" s="1">
        <v>4.3</v>
      </c>
      <c r="R6119" s="1">
        <v>38</v>
      </c>
      <c r="S6119" s="1"/>
      <c r="T6119" s="1"/>
      <c r="U6119" s="1">
        <v>40</v>
      </c>
      <c r="X6119" s="1">
        <v>1.8</v>
      </c>
      <c r="Y6119" s="1"/>
      <c r="AC6119" s="38">
        <v>10</v>
      </c>
    </row>
    <row r="6120" spans="1:29" x14ac:dyDescent="0.25">
      <c r="A6120" s="22">
        <v>44471</v>
      </c>
      <c r="B6120" s="1">
        <v>0</v>
      </c>
      <c r="C6120" s="1">
        <v>8</v>
      </c>
      <c r="D6120" s="1">
        <v>13.6</v>
      </c>
      <c r="F6120" s="1">
        <v>6</v>
      </c>
      <c r="G6120" s="1">
        <v>22.4</v>
      </c>
      <c r="H6120" s="1">
        <v>10.5</v>
      </c>
      <c r="I6120" s="1">
        <v>8.8000000000000007</v>
      </c>
      <c r="J6120" s="1">
        <v>18.8</v>
      </c>
      <c r="K6120" s="1">
        <v>14.8</v>
      </c>
      <c r="L6120" s="1">
        <v>1.016</v>
      </c>
      <c r="M6120" s="1">
        <v>24.1</v>
      </c>
      <c r="N6120" s="38">
        <v>1.8</v>
      </c>
      <c r="P6120" s="38">
        <v>12.191999999999998</v>
      </c>
      <c r="Q6120" s="1">
        <v>1.2</v>
      </c>
      <c r="R6120" s="1">
        <v>0</v>
      </c>
      <c r="S6120" s="1"/>
      <c r="T6120" s="1"/>
      <c r="U6120" s="1">
        <v>4</v>
      </c>
      <c r="X6120" s="1">
        <v>0</v>
      </c>
      <c r="Y6120" s="1"/>
      <c r="AC6120" s="38">
        <v>15</v>
      </c>
    </row>
    <row r="6121" spans="1:29" x14ac:dyDescent="0.25">
      <c r="A6121" s="22">
        <v>44472</v>
      </c>
      <c r="B6121" s="1">
        <v>0</v>
      </c>
      <c r="C6121" s="1">
        <v>7.4</v>
      </c>
      <c r="D6121" s="1">
        <v>14</v>
      </c>
      <c r="F6121" s="1">
        <v>17.3</v>
      </c>
      <c r="G6121" s="1">
        <v>20.5</v>
      </c>
      <c r="H6121" s="1">
        <v>12.7</v>
      </c>
      <c r="I6121" s="1">
        <v>6.7</v>
      </c>
      <c r="J6121" s="1">
        <v>33.799999999999997</v>
      </c>
      <c r="K6121" s="1">
        <v>0.5</v>
      </c>
      <c r="L6121" s="1">
        <v>11.43</v>
      </c>
      <c r="M6121" s="1">
        <v>9.3000000000000007</v>
      </c>
      <c r="N6121" s="38">
        <v>11.8</v>
      </c>
      <c r="P6121" s="38">
        <v>9.1439999999999984</v>
      </c>
      <c r="Q6121" s="1">
        <v>0</v>
      </c>
      <c r="R6121" s="1">
        <v>0.1</v>
      </c>
      <c r="S6121" s="1"/>
      <c r="T6121" s="1"/>
      <c r="U6121" s="1">
        <v>0</v>
      </c>
      <c r="X6121" s="1">
        <v>0</v>
      </c>
      <c r="Y6121" s="1"/>
      <c r="AC6121" s="38">
        <v>9</v>
      </c>
    </row>
    <row r="6122" spans="1:29" x14ac:dyDescent="0.25">
      <c r="A6122" s="22">
        <v>44473</v>
      </c>
      <c r="B6122" s="1">
        <v>0</v>
      </c>
      <c r="C6122" s="1">
        <v>1</v>
      </c>
      <c r="D6122" s="1">
        <v>2.2000000000000002</v>
      </c>
      <c r="F6122" s="1">
        <v>2.4</v>
      </c>
      <c r="G6122" s="1">
        <v>6.3</v>
      </c>
      <c r="H6122" s="1">
        <v>4.9000000000000004</v>
      </c>
      <c r="I6122" s="1">
        <v>2.7</v>
      </c>
      <c r="J6122" s="1">
        <v>2.9</v>
      </c>
      <c r="K6122" s="1">
        <v>27.2</v>
      </c>
      <c r="L6122" s="1">
        <v>0</v>
      </c>
      <c r="M6122" s="1">
        <v>6</v>
      </c>
      <c r="N6122" s="38">
        <v>1.2</v>
      </c>
      <c r="P6122" s="38">
        <v>0</v>
      </c>
      <c r="Q6122" s="1">
        <v>0</v>
      </c>
      <c r="R6122" s="1">
        <v>0</v>
      </c>
      <c r="S6122" s="1"/>
      <c r="T6122" s="1"/>
      <c r="U6122" s="1">
        <v>10</v>
      </c>
      <c r="X6122" s="1">
        <v>34</v>
      </c>
      <c r="Y6122" s="1"/>
      <c r="AC6122" s="38">
        <v>0</v>
      </c>
    </row>
    <row r="6123" spans="1:29" x14ac:dyDescent="0.25">
      <c r="A6123" s="22">
        <v>44474</v>
      </c>
      <c r="B6123" s="1">
        <v>0</v>
      </c>
      <c r="C6123" s="1">
        <v>0</v>
      </c>
      <c r="D6123" s="1">
        <v>0.2</v>
      </c>
      <c r="F6123" s="1">
        <v>0</v>
      </c>
      <c r="G6123" s="1">
        <v>2.5</v>
      </c>
      <c r="H6123" s="1">
        <v>0</v>
      </c>
      <c r="I6123" s="1">
        <v>0</v>
      </c>
      <c r="J6123" s="1">
        <v>0</v>
      </c>
      <c r="K6123" s="1">
        <v>2.1</v>
      </c>
      <c r="L6123" s="1">
        <v>0</v>
      </c>
      <c r="M6123" s="1">
        <v>0</v>
      </c>
      <c r="N6123" s="38">
        <v>0.60000000000000009</v>
      </c>
      <c r="P6123" s="38">
        <v>0</v>
      </c>
      <c r="Q6123" s="1">
        <v>0.2</v>
      </c>
      <c r="R6123" s="1">
        <v>0</v>
      </c>
      <c r="S6123" s="1"/>
      <c r="T6123" s="1"/>
      <c r="U6123" s="1">
        <v>3</v>
      </c>
      <c r="X6123" s="38">
        <v>0</v>
      </c>
      <c r="Y6123" s="1"/>
      <c r="AC6123" s="38">
        <v>14</v>
      </c>
    </row>
    <row r="6124" spans="1:29" x14ac:dyDescent="0.25">
      <c r="A6124" s="22">
        <v>44475</v>
      </c>
      <c r="B6124" s="1">
        <v>0</v>
      </c>
      <c r="C6124" s="1">
        <v>5.2</v>
      </c>
      <c r="D6124" s="1">
        <v>1.6</v>
      </c>
      <c r="F6124" s="1">
        <v>0.2</v>
      </c>
      <c r="G6124" s="1">
        <v>8</v>
      </c>
      <c r="H6124" s="1">
        <v>1.7</v>
      </c>
      <c r="I6124" s="1">
        <v>5.0999999999999996</v>
      </c>
      <c r="J6124" s="1">
        <v>8.1999999999999993</v>
      </c>
      <c r="K6124" s="1">
        <v>0</v>
      </c>
      <c r="L6124" s="1">
        <v>3.0479999999999996</v>
      </c>
      <c r="M6124" s="1">
        <v>2</v>
      </c>
      <c r="N6124" s="38">
        <v>0.8</v>
      </c>
      <c r="P6124" s="38">
        <v>1.016</v>
      </c>
      <c r="Q6124" s="1">
        <v>11.9</v>
      </c>
      <c r="R6124" s="1">
        <v>13</v>
      </c>
      <c r="S6124" s="1"/>
      <c r="T6124" s="1"/>
      <c r="U6124" s="1">
        <v>0</v>
      </c>
      <c r="X6124" s="38">
        <v>0</v>
      </c>
      <c r="Y6124" s="1"/>
      <c r="AC6124" s="38">
        <v>4</v>
      </c>
    </row>
    <row r="6125" spans="1:29" x14ac:dyDescent="0.25">
      <c r="A6125" s="22">
        <v>44476</v>
      </c>
      <c r="B6125" s="1">
        <v>0</v>
      </c>
      <c r="C6125" s="1">
        <v>8.8000000000000007</v>
      </c>
      <c r="D6125" s="1">
        <v>26.6</v>
      </c>
      <c r="F6125" s="1">
        <v>3.1</v>
      </c>
      <c r="G6125" s="1">
        <v>25.6</v>
      </c>
      <c r="H6125" s="1">
        <v>7.5</v>
      </c>
      <c r="I6125" s="1">
        <v>5</v>
      </c>
      <c r="J6125" s="1">
        <v>5.9</v>
      </c>
      <c r="K6125" s="1">
        <v>1</v>
      </c>
      <c r="L6125" s="1">
        <v>12.446</v>
      </c>
      <c r="M6125" s="1">
        <v>6.2</v>
      </c>
      <c r="N6125" s="38">
        <v>7.8</v>
      </c>
      <c r="P6125" s="38">
        <v>11.683999999999999</v>
      </c>
      <c r="Q6125" s="1">
        <v>35.799999999999997</v>
      </c>
      <c r="R6125" s="1">
        <v>32.200000000000003</v>
      </c>
      <c r="S6125" s="1"/>
      <c r="T6125" s="1"/>
      <c r="U6125" s="1">
        <v>4</v>
      </c>
      <c r="X6125" s="38">
        <v>0</v>
      </c>
      <c r="Y6125" s="1"/>
      <c r="AC6125" s="38">
        <v>2</v>
      </c>
    </row>
    <row r="6126" spans="1:29" x14ac:dyDescent="0.25">
      <c r="A6126" s="22">
        <v>44477</v>
      </c>
      <c r="B6126" s="1">
        <v>0</v>
      </c>
      <c r="C6126" s="1">
        <v>28.4</v>
      </c>
      <c r="D6126" s="1">
        <v>29.4</v>
      </c>
      <c r="F6126" s="1">
        <v>26</v>
      </c>
      <c r="G6126" s="1">
        <v>6</v>
      </c>
      <c r="H6126" s="1">
        <v>22.5</v>
      </c>
      <c r="I6126" s="1">
        <v>18.2</v>
      </c>
      <c r="J6126" s="1">
        <v>24.8</v>
      </c>
      <c r="K6126" s="1">
        <v>6</v>
      </c>
      <c r="L6126" s="1">
        <v>35.559999999999995</v>
      </c>
      <c r="M6126" s="1">
        <v>22.4</v>
      </c>
      <c r="N6126" s="38">
        <v>23.799999999999994</v>
      </c>
      <c r="P6126" s="38">
        <v>34.036000000000001</v>
      </c>
      <c r="Q6126" s="1">
        <v>28.4</v>
      </c>
      <c r="R6126" s="1">
        <v>24.3</v>
      </c>
      <c r="S6126" s="1"/>
      <c r="T6126" s="1"/>
      <c r="U6126" s="1">
        <v>4</v>
      </c>
      <c r="X6126" s="38">
        <v>34</v>
      </c>
      <c r="Y6126" s="1"/>
      <c r="AC6126" s="38">
        <v>13</v>
      </c>
    </row>
    <row r="6127" spans="1:29" x14ac:dyDescent="0.25">
      <c r="A6127" s="22">
        <v>44478</v>
      </c>
      <c r="B6127" s="1">
        <v>0</v>
      </c>
      <c r="C6127" s="1">
        <v>30.8</v>
      </c>
      <c r="D6127" s="1">
        <v>34.799999999999997</v>
      </c>
      <c r="F6127" s="1">
        <v>4.4000000000000004</v>
      </c>
      <c r="G6127" s="1">
        <v>0</v>
      </c>
      <c r="H6127" s="1">
        <v>10.3</v>
      </c>
      <c r="I6127" s="1">
        <v>4.8</v>
      </c>
      <c r="J6127" s="1">
        <v>8</v>
      </c>
      <c r="K6127" s="1">
        <v>26.1</v>
      </c>
      <c r="L6127" s="1">
        <v>33.019999999999996</v>
      </c>
      <c r="M6127" s="1">
        <v>6.2</v>
      </c>
      <c r="N6127" s="38">
        <v>22.999999999999996</v>
      </c>
      <c r="P6127" s="38">
        <v>22.605999999999998</v>
      </c>
      <c r="Q6127" s="1">
        <v>7.6</v>
      </c>
      <c r="R6127" s="1">
        <v>2.1</v>
      </c>
      <c r="S6127" s="1"/>
      <c r="T6127" s="1"/>
      <c r="U6127" s="1">
        <v>45</v>
      </c>
      <c r="X6127" s="1">
        <v>20</v>
      </c>
      <c r="Y6127" s="1"/>
      <c r="AC6127" s="38">
        <v>1</v>
      </c>
    </row>
    <row r="6128" spans="1:29" x14ac:dyDescent="0.25">
      <c r="A6128" s="22">
        <v>44479</v>
      </c>
      <c r="B6128" s="1">
        <v>0</v>
      </c>
      <c r="C6128" s="1">
        <v>13.8</v>
      </c>
      <c r="D6128" s="1">
        <v>4.2</v>
      </c>
      <c r="F6128" s="1">
        <v>0.2</v>
      </c>
      <c r="G6128" s="1">
        <v>8.1999999999999993</v>
      </c>
      <c r="H6128" s="1">
        <v>0</v>
      </c>
      <c r="I6128" s="1">
        <v>0</v>
      </c>
      <c r="J6128" s="1">
        <v>5</v>
      </c>
      <c r="K6128" s="1">
        <v>22.2</v>
      </c>
      <c r="L6128" s="1">
        <v>14.224</v>
      </c>
      <c r="M6128" s="1">
        <v>3</v>
      </c>
      <c r="N6128" s="38">
        <v>12.599999999999998</v>
      </c>
      <c r="P6128" s="38">
        <v>18.287999999999997</v>
      </c>
      <c r="Q6128" s="1">
        <v>6.8</v>
      </c>
      <c r="R6128" s="1">
        <v>2.2000000000000002</v>
      </c>
      <c r="S6128" s="1"/>
      <c r="T6128" s="1"/>
      <c r="U6128" s="1">
        <v>35</v>
      </c>
      <c r="X6128" s="1">
        <v>6</v>
      </c>
      <c r="Y6128" s="1"/>
      <c r="AC6128" s="38">
        <v>0</v>
      </c>
    </row>
    <row r="6129" spans="1:29" x14ac:dyDescent="0.25">
      <c r="A6129" s="22">
        <v>44480</v>
      </c>
      <c r="B6129" s="1">
        <v>102</v>
      </c>
      <c r="C6129" s="1">
        <v>12.8</v>
      </c>
      <c r="D6129" s="1">
        <v>0</v>
      </c>
      <c r="F6129" s="1">
        <v>0</v>
      </c>
      <c r="G6129" s="1">
        <v>0.5</v>
      </c>
      <c r="H6129" s="1">
        <v>0.3</v>
      </c>
      <c r="I6129" s="1">
        <v>3.2</v>
      </c>
      <c r="J6129" s="1">
        <v>12.2</v>
      </c>
      <c r="K6129" s="1">
        <v>3</v>
      </c>
      <c r="L6129" s="1">
        <v>13.208</v>
      </c>
      <c r="M6129" s="1">
        <v>0.7</v>
      </c>
      <c r="N6129" s="38">
        <v>3.2</v>
      </c>
      <c r="P6129" s="38">
        <v>4.5719999999999992</v>
      </c>
      <c r="Q6129" s="1">
        <v>3.5</v>
      </c>
      <c r="R6129" s="1">
        <v>0</v>
      </c>
      <c r="S6129" s="1"/>
      <c r="T6129" s="1"/>
      <c r="U6129" s="1">
        <v>15</v>
      </c>
      <c r="X6129" s="1">
        <v>0</v>
      </c>
      <c r="Y6129" s="1"/>
      <c r="AC6129" s="38">
        <v>0</v>
      </c>
    </row>
    <row r="6130" spans="1:29" x14ac:dyDescent="0.25">
      <c r="A6130" s="22">
        <v>44481</v>
      </c>
      <c r="B6130" s="1">
        <v>0</v>
      </c>
      <c r="C6130" s="1">
        <v>72.8</v>
      </c>
      <c r="D6130" s="1">
        <v>3.6</v>
      </c>
      <c r="F6130" s="1">
        <v>0</v>
      </c>
      <c r="G6130" s="1">
        <v>5.5</v>
      </c>
      <c r="H6130" s="1">
        <v>0</v>
      </c>
      <c r="I6130" s="1">
        <v>0</v>
      </c>
      <c r="J6130" s="1">
        <v>0.3</v>
      </c>
      <c r="K6130" s="1">
        <v>15.5</v>
      </c>
      <c r="L6130" s="1">
        <v>1.27</v>
      </c>
      <c r="M6130" s="1">
        <v>0</v>
      </c>
      <c r="N6130" s="38">
        <v>2.2000000000000002</v>
      </c>
      <c r="P6130" s="38">
        <v>0</v>
      </c>
      <c r="Q6130" s="1">
        <v>0</v>
      </c>
      <c r="R6130" s="1">
        <v>0</v>
      </c>
      <c r="S6130" s="1"/>
      <c r="T6130" s="1"/>
      <c r="U6130" s="1">
        <v>8</v>
      </c>
      <c r="X6130" s="1">
        <v>4</v>
      </c>
      <c r="Y6130" s="1"/>
      <c r="AC6130" s="38">
        <v>0</v>
      </c>
    </row>
    <row r="6131" spans="1:29" x14ac:dyDescent="0.25">
      <c r="A6131" s="22">
        <v>44482</v>
      </c>
      <c r="B6131" s="1">
        <v>0</v>
      </c>
      <c r="C6131" s="1">
        <v>0.8</v>
      </c>
      <c r="D6131" s="1">
        <v>102.8</v>
      </c>
      <c r="F6131" s="1">
        <v>0</v>
      </c>
      <c r="G6131" s="1">
        <v>107.8</v>
      </c>
      <c r="H6131" s="1">
        <v>1.7</v>
      </c>
      <c r="I6131" s="1">
        <v>3.2</v>
      </c>
      <c r="J6131" s="1">
        <v>4</v>
      </c>
      <c r="K6131" s="1">
        <v>0</v>
      </c>
      <c r="L6131" s="1">
        <v>7.8739999999999997</v>
      </c>
      <c r="M6131" s="1">
        <v>4.8</v>
      </c>
      <c r="N6131" s="38">
        <v>96.000000000000014</v>
      </c>
      <c r="P6131" s="38">
        <v>0</v>
      </c>
      <c r="Q6131" s="1">
        <v>18.7</v>
      </c>
      <c r="R6131" s="1">
        <v>14.3</v>
      </c>
      <c r="S6131" s="1"/>
      <c r="T6131" s="1"/>
      <c r="U6131" s="1">
        <v>15</v>
      </c>
      <c r="X6131" s="1">
        <v>0</v>
      </c>
      <c r="Y6131" s="1"/>
      <c r="AC6131" s="38">
        <v>87</v>
      </c>
    </row>
    <row r="6132" spans="1:29" x14ac:dyDescent="0.25">
      <c r="A6132" s="22">
        <v>44483</v>
      </c>
      <c r="B6132" s="1">
        <v>0</v>
      </c>
      <c r="C6132" s="1">
        <v>128.4</v>
      </c>
      <c r="D6132" s="1">
        <v>0.4</v>
      </c>
      <c r="F6132" s="1">
        <v>56.8</v>
      </c>
      <c r="G6132" s="1">
        <v>1.5</v>
      </c>
      <c r="H6132" s="1">
        <v>85.7</v>
      </c>
      <c r="I6132" s="1">
        <v>109.8</v>
      </c>
      <c r="J6132" s="1">
        <v>100.1</v>
      </c>
      <c r="K6132" s="1">
        <v>5</v>
      </c>
      <c r="L6132" s="1">
        <v>2.794</v>
      </c>
      <c r="M6132" s="1">
        <v>102.3</v>
      </c>
      <c r="N6132" s="38">
        <v>0.2</v>
      </c>
      <c r="P6132" s="38">
        <v>0</v>
      </c>
      <c r="Q6132" s="1">
        <v>0</v>
      </c>
      <c r="R6132" s="1">
        <v>0</v>
      </c>
      <c r="S6132" s="1"/>
      <c r="T6132" s="1"/>
      <c r="U6132" s="1">
        <v>0</v>
      </c>
      <c r="X6132" s="1">
        <v>46</v>
      </c>
      <c r="Y6132" s="1"/>
      <c r="AC6132" s="38">
        <v>0</v>
      </c>
    </row>
    <row r="6133" spans="1:29" x14ac:dyDescent="0.25">
      <c r="A6133" s="22">
        <v>44484</v>
      </c>
      <c r="B6133" s="1">
        <v>0</v>
      </c>
      <c r="C6133" s="1">
        <v>0</v>
      </c>
      <c r="D6133" s="1">
        <v>0</v>
      </c>
      <c r="F6133" s="1">
        <v>0</v>
      </c>
      <c r="G6133" s="1">
        <v>1</v>
      </c>
      <c r="H6133" s="1">
        <v>0</v>
      </c>
      <c r="I6133" s="1">
        <v>0</v>
      </c>
      <c r="J6133" s="1">
        <v>0.3</v>
      </c>
      <c r="K6133" s="1">
        <v>111.2</v>
      </c>
      <c r="L6133" s="1">
        <v>0.50800000000000001</v>
      </c>
      <c r="M6133" s="1">
        <v>0.2</v>
      </c>
      <c r="N6133" s="38">
        <v>0.2</v>
      </c>
      <c r="P6133" s="38">
        <v>1.778</v>
      </c>
      <c r="Q6133" s="1">
        <v>0.1</v>
      </c>
      <c r="R6133" s="1">
        <v>0</v>
      </c>
      <c r="S6133" s="1"/>
      <c r="T6133" s="1"/>
      <c r="U6133" s="1">
        <v>80</v>
      </c>
      <c r="X6133" s="1">
        <v>0</v>
      </c>
      <c r="Y6133" s="1"/>
      <c r="AC6133" s="38">
        <v>0</v>
      </c>
    </row>
    <row r="6134" spans="1:29" x14ac:dyDescent="0.25">
      <c r="A6134" s="22">
        <v>44485</v>
      </c>
      <c r="B6134" s="1">
        <v>0</v>
      </c>
      <c r="C6134" s="1">
        <v>0</v>
      </c>
      <c r="D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  <c r="K6134" s="1">
        <v>1</v>
      </c>
      <c r="L6134" s="1">
        <v>0</v>
      </c>
      <c r="M6134" s="1">
        <v>0</v>
      </c>
      <c r="N6134" s="38">
        <v>0</v>
      </c>
      <c r="P6134" s="38">
        <v>0</v>
      </c>
      <c r="Q6134" s="1">
        <v>0</v>
      </c>
      <c r="R6134" s="1">
        <v>0</v>
      </c>
      <c r="S6134" s="1"/>
      <c r="T6134" s="1"/>
      <c r="U6134" s="1">
        <v>0</v>
      </c>
      <c r="X6134" s="1">
        <v>0</v>
      </c>
      <c r="Y6134" s="1"/>
      <c r="AC6134" s="38">
        <v>0</v>
      </c>
    </row>
    <row r="6135" spans="1:29" x14ac:dyDescent="0.25">
      <c r="A6135" s="22">
        <v>44486</v>
      </c>
      <c r="B6135" s="1">
        <v>0</v>
      </c>
      <c r="C6135" s="1">
        <v>0</v>
      </c>
      <c r="D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38">
        <v>0</v>
      </c>
      <c r="P6135" s="38">
        <v>0</v>
      </c>
      <c r="Q6135" s="1">
        <v>0</v>
      </c>
      <c r="R6135" s="1">
        <v>0</v>
      </c>
      <c r="S6135" s="1"/>
      <c r="T6135" s="1"/>
      <c r="U6135" s="1">
        <v>0</v>
      </c>
      <c r="X6135" s="1">
        <v>0</v>
      </c>
      <c r="Y6135" s="1"/>
      <c r="AC6135" s="38">
        <v>0</v>
      </c>
    </row>
    <row r="6136" spans="1:29" x14ac:dyDescent="0.25">
      <c r="A6136" s="22">
        <v>44487</v>
      </c>
      <c r="B6136" s="1">
        <v>0</v>
      </c>
      <c r="C6136" s="1">
        <v>0</v>
      </c>
      <c r="D6136" s="1">
        <v>3.1</v>
      </c>
      <c r="F6136" s="1">
        <v>0</v>
      </c>
      <c r="G6136" s="1">
        <v>21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38">
        <v>0</v>
      </c>
      <c r="P6136" s="38">
        <v>1.016</v>
      </c>
      <c r="Q6136" s="1">
        <v>0</v>
      </c>
      <c r="R6136" s="1">
        <v>0</v>
      </c>
      <c r="S6136" s="1"/>
      <c r="T6136" s="1"/>
      <c r="U6136" s="1">
        <v>0</v>
      </c>
      <c r="X6136" s="1">
        <v>0</v>
      </c>
      <c r="Y6136" s="1"/>
      <c r="AC6136" s="38">
        <v>0</v>
      </c>
    </row>
    <row r="6137" spans="1:29" x14ac:dyDescent="0.25">
      <c r="A6137" s="22">
        <v>44488</v>
      </c>
      <c r="B6137" s="1">
        <v>0</v>
      </c>
      <c r="C6137" s="1">
        <v>2.8</v>
      </c>
      <c r="D6137" s="1">
        <v>4.4000000000000004</v>
      </c>
      <c r="F6137" s="1">
        <v>13</v>
      </c>
      <c r="G6137" s="1">
        <v>12</v>
      </c>
      <c r="H6137" s="1">
        <v>9</v>
      </c>
      <c r="I6137" s="1">
        <v>16.899999999999999</v>
      </c>
      <c r="J6137" s="1">
        <v>10.3</v>
      </c>
      <c r="K6137" s="1">
        <v>0</v>
      </c>
      <c r="L6137" s="1">
        <v>0</v>
      </c>
      <c r="M6137" s="1">
        <v>12.2</v>
      </c>
      <c r="N6137" s="38">
        <v>13</v>
      </c>
      <c r="P6137" s="38">
        <v>3.8099999999999996</v>
      </c>
      <c r="Q6137" s="1">
        <v>6.3</v>
      </c>
      <c r="R6137" s="1">
        <v>3</v>
      </c>
      <c r="S6137" s="1"/>
      <c r="T6137" s="1"/>
      <c r="U6137" s="1">
        <v>0</v>
      </c>
      <c r="X6137" s="1">
        <v>0</v>
      </c>
      <c r="Y6137" s="1"/>
      <c r="AC6137" s="38">
        <v>7</v>
      </c>
    </row>
    <row r="6138" spans="1:29" x14ac:dyDescent="0.25">
      <c r="A6138" s="22">
        <v>44489</v>
      </c>
      <c r="B6138" s="1">
        <v>0</v>
      </c>
      <c r="C6138" s="1">
        <v>1.8</v>
      </c>
      <c r="D6138" s="1">
        <v>8.8000000000000007</v>
      </c>
      <c r="F6138" s="1">
        <v>0.1</v>
      </c>
      <c r="G6138" s="1">
        <v>1.5</v>
      </c>
      <c r="H6138" s="1">
        <v>2.8</v>
      </c>
      <c r="I6138" s="1">
        <v>8</v>
      </c>
      <c r="J6138" s="1">
        <v>16</v>
      </c>
      <c r="K6138" s="1">
        <v>8</v>
      </c>
      <c r="L6138" s="1">
        <v>0</v>
      </c>
      <c r="M6138" s="1">
        <v>8.1</v>
      </c>
      <c r="N6138" s="38">
        <v>6.8000000000000016</v>
      </c>
      <c r="P6138" s="38">
        <v>9.6519999999999992</v>
      </c>
      <c r="Q6138" s="1">
        <v>6.7</v>
      </c>
      <c r="R6138" s="1">
        <v>2.1</v>
      </c>
      <c r="S6138" s="1"/>
      <c r="T6138" s="1"/>
      <c r="U6138" s="1">
        <v>0</v>
      </c>
      <c r="X6138" s="1">
        <v>0</v>
      </c>
      <c r="Y6138" s="1"/>
      <c r="AC6138" s="38">
        <v>2</v>
      </c>
    </row>
    <row r="6139" spans="1:29" x14ac:dyDescent="0.25">
      <c r="A6139" s="22">
        <v>44490</v>
      </c>
      <c r="B6139" s="1">
        <v>15</v>
      </c>
      <c r="C6139" s="1">
        <v>30.4</v>
      </c>
      <c r="D6139" s="1">
        <v>1.6</v>
      </c>
      <c r="F6139" s="1">
        <v>4.0999999999999996</v>
      </c>
      <c r="G6139" s="1">
        <v>5.9</v>
      </c>
      <c r="H6139" s="1">
        <v>1</v>
      </c>
      <c r="I6139" s="1">
        <v>2</v>
      </c>
      <c r="J6139" s="1">
        <v>7</v>
      </c>
      <c r="K6139" s="1">
        <v>10</v>
      </c>
      <c r="L6139" s="1">
        <v>0</v>
      </c>
      <c r="M6139" s="1">
        <v>0.8</v>
      </c>
      <c r="N6139" s="38">
        <v>4.6000000000000005</v>
      </c>
      <c r="P6139" s="38">
        <v>0</v>
      </c>
      <c r="Q6139" s="1">
        <v>2.7</v>
      </c>
      <c r="R6139" s="1">
        <v>4</v>
      </c>
      <c r="S6139" s="1"/>
      <c r="T6139" s="1"/>
      <c r="U6139" s="1">
        <v>6</v>
      </c>
      <c r="X6139" s="1">
        <v>0</v>
      </c>
      <c r="Y6139" s="1"/>
      <c r="AC6139" s="38">
        <v>2</v>
      </c>
    </row>
    <row r="6140" spans="1:29" x14ac:dyDescent="0.25">
      <c r="A6140" s="22">
        <v>44491</v>
      </c>
      <c r="B6140" s="1">
        <v>0</v>
      </c>
      <c r="C6140" s="1">
        <v>2.4</v>
      </c>
      <c r="D6140" s="1">
        <v>20</v>
      </c>
      <c r="F6140" s="1">
        <v>1.4</v>
      </c>
      <c r="G6140" s="1">
        <v>15</v>
      </c>
      <c r="H6140" s="1">
        <v>3.5</v>
      </c>
      <c r="I6140" s="1">
        <v>3.2</v>
      </c>
      <c r="J6140" s="1">
        <v>9</v>
      </c>
      <c r="K6140" s="1">
        <v>11</v>
      </c>
      <c r="L6140" s="1">
        <v>9.9060000000000006</v>
      </c>
      <c r="M6140" s="1">
        <v>4.5999999999999996</v>
      </c>
      <c r="N6140" s="38">
        <v>18.799999999999997</v>
      </c>
      <c r="P6140" s="38">
        <v>3.0479999999999996</v>
      </c>
      <c r="Q6140" s="1">
        <v>2.5</v>
      </c>
      <c r="R6140" s="1">
        <v>0</v>
      </c>
      <c r="S6140" s="1"/>
      <c r="T6140" s="1"/>
      <c r="U6140" s="1">
        <v>12</v>
      </c>
      <c r="X6140" s="1">
        <v>18</v>
      </c>
      <c r="Y6140" s="1"/>
      <c r="AC6140" s="38">
        <v>16</v>
      </c>
    </row>
    <row r="6141" spans="1:29" x14ac:dyDescent="0.25">
      <c r="A6141" s="22">
        <v>44492</v>
      </c>
      <c r="B6141" s="1">
        <v>0</v>
      </c>
      <c r="C6141" s="1">
        <v>16.8</v>
      </c>
      <c r="D6141" s="1">
        <v>0</v>
      </c>
      <c r="F6141" s="1">
        <v>8</v>
      </c>
      <c r="G6141" s="1">
        <v>1</v>
      </c>
      <c r="H6141" s="1">
        <v>12.9</v>
      </c>
      <c r="I6141" s="1">
        <v>14.7</v>
      </c>
      <c r="J6141" s="1">
        <v>20.399999999999999</v>
      </c>
      <c r="K6141" s="1">
        <v>1.1000000000000001</v>
      </c>
      <c r="L6141" s="1">
        <v>19.049999999999997</v>
      </c>
      <c r="M6141" s="38">
        <v>14.6</v>
      </c>
      <c r="N6141" s="38">
        <v>3.4000000000000008</v>
      </c>
      <c r="P6141" s="38">
        <v>4.8259999999999996</v>
      </c>
      <c r="Q6141" s="1">
        <v>0</v>
      </c>
      <c r="R6141" s="1">
        <v>32</v>
      </c>
      <c r="S6141" s="1"/>
      <c r="T6141" s="1"/>
      <c r="U6141" s="1">
        <v>4</v>
      </c>
      <c r="X6141" s="1">
        <v>8</v>
      </c>
      <c r="Y6141" s="1"/>
      <c r="AC6141" s="38">
        <v>13</v>
      </c>
    </row>
    <row r="6142" spans="1:29" x14ac:dyDescent="0.25">
      <c r="A6142" s="22">
        <v>44493</v>
      </c>
      <c r="B6142" s="1">
        <v>0</v>
      </c>
      <c r="C6142" s="1">
        <v>0.8</v>
      </c>
      <c r="D6142" s="1">
        <v>54.2</v>
      </c>
      <c r="F6142" s="1">
        <v>0</v>
      </c>
      <c r="G6142" s="1">
        <v>64</v>
      </c>
      <c r="H6142" s="1">
        <v>0</v>
      </c>
      <c r="I6142" s="1">
        <v>1.6</v>
      </c>
      <c r="J6142" s="1">
        <v>0</v>
      </c>
      <c r="K6142" s="1">
        <v>20.5</v>
      </c>
      <c r="L6142" s="1">
        <v>3.302</v>
      </c>
      <c r="M6142" s="1">
        <v>0</v>
      </c>
      <c r="N6142" s="38">
        <v>8</v>
      </c>
      <c r="P6142" s="38">
        <v>36.321999999999996</v>
      </c>
      <c r="Q6142" s="1">
        <v>32.200000000000003</v>
      </c>
      <c r="R6142" s="1">
        <v>0</v>
      </c>
      <c r="S6142" s="1"/>
      <c r="T6142" s="1"/>
      <c r="U6142" s="1">
        <v>13</v>
      </c>
      <c r="X6142" s="1">
        <v>0</v>
      </c>
      <c r="Y6142" s="1"/>
      <c r="AC6142" s="38">
        <v>0</v>
      </c>
    </row>
    <row r="6143" spans="1:29" x14ac:dyDescent="0.25">
      <c r="A6143" s="22">
        <v>44494</v>
      </c>
      <c r="B6143" s="1">
        <v>0</v>
      </c>
      <c r="C6143" s="1">
        <v>52.8</v>
      </c>
      <c r="D6143" s="1">
        <v>2.4</v>
      </c>
      <c r="F6143" s="1">
        <v>27</v>
      </c>
      <c r="G6143" s="1">
        <v>3.1</v>
      </c>
      <c r="H6143" s="1">
        <v>22.7</v>
      </c>
      <c r="I6143" s="1">
        <v>28.5</v>
      </c>
      <c r="J6143" s="1">
        <v>70.7</v>
      </c>
      <c r="K6143" s="1">
        <v>0</v>
      </c>
      <c r="L6143" s="1">
        <v>33.019999999999996</v>
      </c>
      <c r="M6143" s="1">
        <v>28.5</v>
      </c>
      <c r="N6143" s="38">
        <v>56.000000000000021</v>
      </c>
      <c r="P6143" s="38">
        <v>0</v>
      </c>
      <c r="Q6143" s="1">
        <v>0.1</v>
      </c>
      <c r="R6143" s="1">
        <v>0</v>
      </c>
      <c r="S6143" s="1"/>
      <c r="T6143" s="1"/>
      <c r="U6143" s="1">
        <v>5</v>
      </c>
      <c r="X6143" s="1">
        <v>29</v>
      </c>
      <c r="Y6143" s="1"/>
      <c r="AC6143" s="38">
        <v>10</v>
      </c>
    </row>
    <row r="6144" spans="1:29" x14ac:dyDescent="0.25">
      <c r="A6144" s="22">
        <v>44495</v>
      </c>
      <c r="B6144" s="1">
        <v>0</v>
      </c>
      <c r="C6144" s="1">
        <v>0.8</v>
      </c>
      <c r="D6144" s="1">
        <v>0</v>
      </c>
      <c r="F6144" s="1">
        <v>4</v>
      </c>
      <c r="G6144" s="1">
        <v>1.5</v>
      </c>
      <c r="H6144" s="1">
        <v>1.3</v>
      </c>
      <c r="I6144" s="1">
        <v>3.4</v>
      </c>
      <c r="J6144" s="1">
        <v>4</v>
      </c>
      <c r="K6144" s="1">
        <v>72</v>
      </c>
      <c r="L6144" s="1">
        <v>1.5239999999999998</v>
      </c>
      <c r="M6144" s="1">
        <v>30.9</v>
      </c>
      <c r="N6144" s="38">
        <v>0.2</v>
      </c>
      <c r="P6144" s="38">
        <v>0</v>
      </c>
      <c r="Q6144" s="1">
        <v>0.2</v>
      </c>
      <c r="R6144" s="1">
        <v>0</v>
      </c>
      <c r="S6144" s="1"/>
      <c r="T6144" s="1"/>
      <c r="U6144" s="1">
        <v>10</v>
      </c>
      <c r="X6144" s="1">
        <v>13</v>
      </c>
      <c r="Y6144" s="1"/>
      <c r="AC6144" s="38">
        <v>0</v>
      </c>
    </row>
    <row r="6145" spans="1:29" x14ac:dyDescent="0.25">
      <c r="A6145" s="22">
        <v>44496</v>
      </c>
      <c r="B6145" s="1">
        <v>0</v>
      </c>
      <c r="C6145" s="1">
        <v>0</v>
      </c>
      <c r="D6145" s="1">
        <v>1.2</v>
      </c>
      <c r="F6145" s="1">
        <v>0</v>
      </c>
      <c r="G6145" s="1">
        <v>0.5</v>
      </c>
      <c r="H6145" s="1">
        <v>1</v>
      </c>
      <c r="I6145" s="1">
        <v>0.5</v>
      </c>
      <c r="J6145" s="1">
        <v>0</v>
      </c>
      <c r="K6145" s="1">
        <v>1.4</v>
      </c>
      <c r="L6145" s="1">
        <v>0</v>
      </c>
      <c r="M6145" s="1">
        <v>2.1</v>
      </c>
      <c r="N6145" s="38">
        <v>0.2</v>
      </c>
      <c r="P6145" s="38">
        <v>0</v>
      </c>
      <c r="Q6145" s="1">
        <v>0</v>
      </c>
      <c r="R6145" s="1">
        <v>0</v>
      </c>
      <c r="S6145" s="1"/>
      <c r="T6145" s="1"/>
      <c r="U6145" s="1">
        <v>40</v>
      </c>
      <c r="X6145" s="1">
        <v>0</v>
      </c>
      <c r="Y6145" s="1"/>
      <c r="AC6145" s="38">
        <v>0</v>
      </c>
    </row>
    <row r="6146" spans="1:29" x14ac:dyDescent="0.25">
      <c r="A6146" s="22">
        <v>44497</v>
      </c>
      <c r="B6146" s="1">
        <v>0</v>
      </c>
      <c r="C6146" s="1">
        <v>0.4</v>
      </c>
      <c r="D6146" s="1">
        <v>0</v>
      </c>
      <c r="F6146" s="1">
        <v>0</v>
      </c>
      <c r="G6146" s="1">
        <v>0</v>
      </c>
      <c r="H6146" s="1">
        <v>0</v>
      </c>
      <c r="I6146" s="1">
        <v>0.8</v>
      </c>
      <c r="J6146" s="1">
        <v>0</v>
      </c>
      <c r="K6146" s="1">
        <v>0</v>
      </c>
      <c r="L6146" s="1">
        <v>0</v>
      </c>
      <c r="M6146" s="1">
        <v>0</v>
      </c>
      <c r="N6146" s="38">
        <v>0</v>
      </c>
      <c r="P6146" s="38">
        <v>0</v>
      </c>
      <c r="Q6146" s="1">
        <v>0</v>
      </c>
      <c r="R6146" s="1">
        <v>0</v>
      </c>
      <c r="S6146" s="1"/>
      <c r="T6146" s="1"/>
      <c r="U6146" s="1">
        <v>0</v>
      </c>
      <c r="X6146" s="1">
        <v>38</v>
      </c>
      <c r="Y6146" s="1"/>
      <c r="AC6146" s="38">
        <v>0</v>
      </c>
    </row>
    <row r="6147" spans="1:29" x14ac:dyDescent="0.25">
      <c r="A6147" s="22">
        <v>44498</v>
      </c>
      <c r="B6147" s="1">
        <v>40</v>
      </c>
      <c r="C6147" s="1">
        <v>0</v>
      </c>
      <c r="D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4.2</v>
      </c>
      <c r="K6147" s="1">
        <v>0</v>
      </c>
      <c r="L6147" s="1">
        <v>0</v>
      </c>
      <c r="M6147" s="1">
        <v>0</v>
      </c>
      <c r="N6147" s="38">
        <v>1.4</v>
      </c>
      <c r="P6147" s="38">
        <v>0</v>
      </c>
      <c r="Q6147" s="1">
        <v>0.7</v>
      </c>
      <c r="R6147" s="1">
        <v>0</v>
      </c>
      <c r="S6147" s="1"/>
      <c r="T6147" s="1"/>
      <c r="U6147" s="1">
        <v>0</v>
      </c>
      <c r="X6147" s="1">
        <v>0</v>
      </c>
      <c r="Y6147" s="1"/>
      <c r="AC6147" s="38">
        <v>0</v>
      </c>
    </row>
    <row r="6148" spans="1:29" x14ac:dyDescent="0.25">
      <c r="A6148" s="22">
        <v>44499</v>
      </c>
      <c r="B6148" s="1">
        <v>0</v>
      </c>
      <c r="C6148" s="1">
        <v>0</v>
      </c>
      <c r="D6148" s="1">
        <v>0</v>
      </c>
      <c r="F6148" s="1">
        <v>0.4</v>
      </c>
      <c r="G6148" s="1">
        <v>0.5</v>
      </c>
      <c r="H6148" s="1">
        <v>3</v>
      </c>
      <c r="I6148" s="1">
        <v>0</v>
      </c>
      <c r="J6148" s="1">
        <v>0.2</v>
      </c>
      <c r="K6148" s="1">
        <v>2</v>
      </c>
      <c r="L6148" s="1">
        <v>3.0479999999999996</v>
      </c>
      <c r="M6148" s="1">
        <v>0.6</v>
      </c>
      <c r="N6148" s="38">
        <v>0.8</v>
      </c>
      <c r="P6148" s="38">
        <v>1.016</v>
      </c>
      <c r="Q6148" s="1">
        <v>0</v>
      </c>
      <c r="R6148" s="1">
        <v>0</v>
      </c>
      <c r="S6148" s="1"/>
      <c r="T6148" s="1"/>
      <c r="U6148" s="1">
        <v>0</v>
      </c>
      <c r="X6148" s="1">
        <v>2.7</v>
      </c>
      <c r="Y6148" s="1"/>
      <c r="AC6148" s="38">
        <v>0</v>
      </c>
    </row>
    <row r="6149" spans="1:29" x14ac:dyDescent="0.25">
      <c r="A6149" s="22">
        <v>44500</v>
      </c>
      <c r="B6149" s="1">
        <v>0</v>
      </c>
      <c r="C6149" s="1">
        <v>0</v>
      </c>
      <c r="D6149" s="1">
        <v>0</v>
      </c>
      <c r="F6149" s="1">
        <v>0</v>
      </c>
      <c r="G6149" s="1">
        <v>3.9</v>
      </c>
      <c r="H6149" s="1">
        <v>1.8</v>
      </c>
      <c r="I6149" s="1">
        <v>1.9</v>
      </c>
      <c r="J6149" s="1">
        <v>1.5</v>
      </c>
      <c r="K6149" s="1">
        <v>0</v>
      </c>
      <c r="L6149" s="1">
        <v>0.7619999999999999</v>
      </c>
      <c r="M6149" s="1">
        <v>3</v>
      </c>
      <c r="N6149" s="38">
        <v>27.399999999999995</v>
      </c>
      <c r="P6149" s="38">
        <v>0</v>
      </c>
      <c r="Q6149" s="1">
        <v>20.3</v>
      </c>
      <c r="R6149" s="1">
        <v>0</v>
      </c>
      <c r="S6149" s="1"/>
      <c r="T6149" s="1"/>
      <c r="U6149" s="1">
        <v>19</v>
      </c>
      <c r="X6149" s="1">
        <v>0</v>
      </c>
      <c r="Y6149" s="1"/>
      <c r="AC6149" s="38">
        <v>0</v>
      </c>
    </row>
    <row r="6150" spans="1:29" x14ac:dyDescent="0.25">
      <c r="A6150" s="22">
        <v>44501</v>
      </c>
      <c r="B6150" s="1">
        <v>51</v>
      </c>
      <c r="C6150" s="1">
        <v>16.399999999999999</v>
      </c>
      <c r="D6150" s="1">
        <v>26.2</v>
      </c>
      <c r="F6150" s="1">
        <v>2.2000000000000002</v>
      </c>
      <c r="G6150" s="1">
        <v>11.5</v>
      </c>
      <c r="H6150" s="1">
        <v>3.7</v>
      </c>
      <c r="I6150" s="1">
        <v>2.2000000000000002</v>
      </c>
      <c r="J6150" s="1">
        <v>24</v>
      </c>
      <c r="K6150" s="1"/>
      <c r="L6150" s="1">
        <v>88.899999999999991</v>
      </c>
      <c r="M6150" s="1">
        <v>2.8</v>
      </c>
      <c r="N6150" s="38">
        <v>22.999999999999993</v>
      </c>
      <c r="Q6150" s="1">
        <v>2</v>
      </c>
      <c r="R6150" s="1">
        <v>2</v>
      </c>
      <c r="S6150" s="1">
        <v>1.2</v>
      </c>
      <c r="T6150" s="1"/>
      <c r="U6150" s="1">
        <v>50</v>
      </c>
      <c r="X6150" s="1"/>
      <c r="Y6150" s="1">
        <v>5.8</v>
      </c>
      <c r="AC6150" s="38">
        <v>0</v>
      </c>
    </row>
    <row r="6151" spans="1:29" x14ac:dyDescent="0.25">
      <c r="A6151" s="22">
        <v>44502</v>
      </c>
      <c r="B6151" s="1"/>
      <c r="C6151" s="1">
        <v>4</v>
      </c>
      <c r="D6151" s="1">
        <v>0</v>
      </c>
      <c r="F6151" s="1">
        <v>1.2</v>
      </c>
      <c r="G6151" s="1">
        <v>2</v>
      </c>
      <c r="H6151" s="1">
        <v>2.2999999999999998</v>
      </c>
      <c r="I6151" s="1">
        <v>2</v>
      </c>
      <c r="J6151" s="1">
        <v>8.4</v>
      </c>
      <c r="K6151" s="1"/>
      <c r="L6151" s="1">
        <v>8.8899999999999988</v>
      </c>
      <c r="M6151" s="1">
        <v>2.5</v>
      </c>
      <c r="N6151" s="38">
        <v>12.6</v>
      </c>
      <c r="Q6151" s="1">
        <v>0</v>
      </c>
      <c r="R6151" s="1">
        <v>0</v>
      </c>
      <c r="S6151" s="1">
        <v>0.4</v>
      </c>
      <c r="T6151" s="1"/>
      <c r="U6151" s="1">
        <v>5</v>
      </c>
      <c r="X6151" s="1"/>
      <c r="Y6151" s="1">
        <v>6.6</v>
      </c>
      <c r="AC6151" s="38">
        <v>3</v>
      </c>
    </row>
    <row r="6152" spans="1:29" x14ac:dyDescent="0.25">
      <c r="A6152" s="22">
        <v>44503</v>
      </c>
      <c r="B6152" s="1"/>
      <c r="C6152" s="1">
        <v>1.6</v>
      </c>
      <c r="D6152" s="1">
        <v>8.8000000000000007</v>
      </c>
      <c r="F6152" s="1">
        <v>3.2</v>
      </c>
      <c r="G6152" s="1">
        <v>7.5</v>
      </c>
      <c r="H6152" s="1">
        <v>3.6</v>
      </c>
      <c r="I6152" s="1">
        <v>7.4</v>
      </c>
      <c r="J6152" s="1">
        <v>4.8</v>
      </c>
      <c r="K6152" s="1"/>
      <c r="L6152" s="1">
        <v>1.27</v>
      </c>
      <c r="M6152" s="1">
        <v>6.1</v>
      </c>
      <c r="N6152" s="38">
        <v>1.4</v>
      </c>
      <c r="Q6152" s="1">
        <v>0</v>
      </c>
      <c r="R6152" s="1">
        <v>4</v>
      </c>
      <c r="S6152" s="1">
        <v>0.8</v>
      </c>
      <c r="T6152" s="1"/>
      <c r="U6152" s="1">
        <v>7</v>
      </c>
      <c r="X6152" s="1"/>
      <c r="Y6152" s="1">
        <v>16.7</v>
      </c>
      <c r="AC6152" s="38">
        <v>0</v>
      </c>
    </row>
    <row r="6153" spans="1:29" x14ac:dyDescent="0.25">
      <c r="A6153" s="22">
        <v>44504</v>
      </c>
      <c r="B6153" s="1"/>
      <c r="C6153" s="1">
        <v>0</v>
      </c>
      <c r="D6153" s="1">
        <v>0.8</v>
      </c>
      <c r="F6153" s="1">
        <v>0.4</v>
      </c>
      <c r="G6153" s="1">
        <v>1</v>
      </c>
      <c r="H6153" s="1">
        <v>1.1000000000000001</v>
      </c>
      <c r="I6153" s="1">
        <v>0.6</v>
      </c>
      <c r="J6153" s="1">
        <v>1</v>
      </c>
      <c r="K6153" s="1"/>
      <c r="L6153" s="1">
        <v>0</v>
      </c>
      <c r="M6153" s="1">
        <v>0.3</v>
      </c>
      <c r="N6153" s="38">
        <v>8.8000000000000007</v>
      </c>
      <c r="Q6153" s="1">
        <v>5</v>
      </c>
      <c r="R6153" s="1">
        <v>0</v>
      </c>
      <c r="S6153" s="1">
        <v>0</v>
      </c>
      <c r="T6153" s="1"/>
      <c r="U6153" s="1">
        <v>10</v>
      </c>
      <c r="X6153" s="1"/>
      <c r="Y6153" s="1">
        <v>0</v>
      </c>
      <c r="AC6153" s="38">
        <v>0</v>
      </c>
    </row>
    <row r="6154" spans="1:29" x14ac:dyDescent="0.25">
      <c r="A6154" s="22">
        <v>44505</v>
      </c>
      <c r="B6154" s="1"/>
      <c r="C6154" s="1">
        <v>6.4</v>
      </c>
      <c r="D6154" s="1">
        <v>12.2</v>
      </c>
      <c r="F6154" s="1">
        <v>12</v>
      </c>
      <c r="G6154" s="1">
        <v>17.5</v>
      </c>
      <c r="H6154" s="1">
        <v>13.7</v>
      </c>
      <c r="I6154" s="1">
        <v>11.7</v>
      </c>
      <c r="J6154" s="1">
        <v>19.8</v>
      </c>
      <c r="K6154" s="1"/>
      <c r="L6154" s="1">
        <v>17.272000000000002</v>
      </c>
      <c r="M6154" s="1">
        <v>12</v>
      </c>
      <c r="N6154" s="38">
        <v>26.2</v>
      </c>
      <c r="Q6154" s="1">
        <v>1.7</v>
      </c>
      <c r="R6154" s="1">
        <v>2</v>
      </c>
      <c r="S6154" s="1">
        <v>3</v>
      </c>
      <c r="T6154" s="1"/>
      <c r="U6154" s="1">
        <v>12</v>
      </c>
      <c r="X6154" s="1"/>
      <c r="Y6154" s="1">
        <v>12.7</v>
      </c>
      <c r="AC6154" s="38">
        <v>6</v>
      </c>
    </row>
    <row r="6155" spans="1:29" x14ac:dyDescent="0.25">
      <c r="A6155" s="22">
        <v>44506</v>
      </c>
      <c r="B6155" s="1"/>
      <c r="C6155" s="1">
        <v>12.4</v>
      </c>
      <c r="D6155" s="1">
        <v>8.1</v>
      </c>
      <c r="F6155" s="1">
        <v>0.4</v>
      </c>
      <c r="G6155" s="1">
        <v>9</v>
      </c>
      <c r="H6155" s="1">
        <v>0</v>
      </c>
      <c r="I6155" s="1">
        <v>1.8</v>
      </c>
      <c r="J6155" s="1">
        <v>18.8</v>
      </c>
      <c r="K6155" s="1"/>
      <c r="L6155" s="1">
        <v>0</v>
      </c>
      <c r="M6155" s="1">
        <v>6.2</v>
      </c>
      <c r="N6155" s="38">
        <v>2.6</v>
      </c>
      <c r="Q6155" s="1">
        <v>0.2</v>
      </c>
      <c r="R6155" s="1">
        <v>0</v>
      </c>
      <c r="S6155" s="1">
        <v>0</v>
      </c>
      <c r="T6155" s="1"/>
      <c r="U6155" s="1">
        <v>0</v>
      </c>
      <c r="X6155" s="1"/>
      <c r="Y6155" s="1">
        <v>0</v>
      </c>
      <c r="AC6155" s="38">
        <v>0</v>
      </c>
    </row>
    <row r="6156" spans="1:29" x14ac:dyDescent="0.25">
      <c r="A6156" s="22">
        <v>44507</v>
      </c>
      <c r="B6156" s="1"/>
      <c r="C6156" s="1">
        <v>0</v>
      </c>
      <c r="D6156" s="1">
        <v>2.1</v>
      </c>
      <c r="F6156" s="1">
        <v>0</v>
      </c>
      <c r="G6156" s="1">
        <v>1.3</v>
      </c>
      <c r="H6156" s="1">
        <v>3.9</v>
      </c>
      <c r="I6156" s="1">
        <v>1.5</v>
      </c>
      <c r="J6156" s="1">
        <v>1.4</v>
      </c>
      <c r="K6156" s="1"/>
      <c r="L6156" s="1">
        <v>0</v>
      </c>
      <c r="M6156" s="1">
        <v>2.5</v>
      </c>
      <c r="N6156" s="38">
        <v>0</v>
      </c>
      <c r="Q6156" s="1">
        <v>0</v>
      </c>
      <c r="R6156" s="1">
        <v>0</v>
      </c>
      <c r="S6156" s="1">
        <v>0</v>
      </c>
      <c r="T6156" s="1"/>
      <c r="U6156" s="1">
        <v>0</v>
      </c>
      <c r="X6156" s="1"/>
      <c r="Y6156" s="1">
        <v>2.4</v>
      </c>
      <c r="AC6156" s="38">
        <v>0</v>
      </c>
    </row>
    <row r="6157" spans="1:29" x14ac:dyDescent="0.25">
      <c r="A6157" s="22">
        <v>44508</v>
      </c>
      <c r="B6157" s="1"/>
      <c r="C6157" s="1">
        <v>0.4</v>
      </c>
      <c r="D6157" s="1">
        <v>0</v>
      </c>
      <c r="F6157" s="1">
        <v>0.1</v>
      </c>
      <c r="G6157" s="1">
        <v>0</v>
      </c>
      <c r="H6157" s="1">
        <v>0</v>
      </c>
      <c r="I6157" s="1">
        <v>0</v>
      </c>
      <c r="J6157" s="1">
        <v>3.9</v>
      </c>
      <c r="K6157" s="1"/>
      <c r="L6157" s="1">
        <v>0</v>
      </c>
      <c r="M6157" s="1">
        <v>0</v>
      </c>
      <c r="N6157" s="38">
        <v>0</v>
      </c>
      <c r="Q6157" s="1">
        <v>1.5</v>
      </c>
      <c r="R6157" s="1">
        <v>0</v>
      </c>
      <c r="S6157" s="1">
        <v>0</v>
      </c>
      <c r="T6157" s="1"/>
      <c r="U6157" s="1">
        <v>1</v>
      </c>
      <c r="X6157" s="1"/>
      <c r="Y6157" s="1">
        <v>10.4</v>
      </c>
      <c r="AC6157" s="38">
        <v>0</v>
      </c>
    </row>
    <row r="6158" spans="1:29" x14ac:dyDescent="0.25">
      <c r="A6158" s="22">
        <v>44509</v>
      </c>
      <c r="B6158" s="1"/>
      <c r="C6158" s="1">
        <v>0</v>
      </c>
      <c r="D6158" s="1">
        <v>2</v>
      </c>
      <c r="F6158" s="1">
        <v>0</v>
      </c>
      <c r="G6158" s="1">
        <v>1.5</v>
      </c>
      <c r="H6158" s="1">
        <v>0</v>
      </c>
      <c r="I6158" s="1">
        <v>0.2</v>
      </c>
      <c r="J6158" s="1">
        <v>0.7</v>
      </c>
      <c r="K6158" s="1"/>
      <c r="L6158" s="1">
        <v>0</v>
      </c>
      <c r="M6158" s="1">
        <v>0</v>
      </c>
      <c r="N6158" s="38">
        <v>2.4</v>
      </c>
      <c r="Q6158" s="1">
        <v>9.6</v>
      </c>
      <c r="R6158" s="1">
        <v>4.0999999999999996</v>
      </c>
      <c r="S6158" s="1">
        <v>0</v>
      </c>
      <c r="T6158" s="1"/>
      <c r="U6158" s="1">
        <v>5</v>
      </c>
      <c r="X6158" s="1">
        <v>1.6</v>
      </c>
      <c r="Y6158" s="1">
        <v>0</v>
      </c>
      <c r="AC6158" s="38">
        <v>1</v>
      </c>
    </row>
    <row r="6159" spans="1:29" x14ac:dyDescent="0.25">
      <c r="A6159" s="22">
        <v>44510</v>
      </c>
      <c r="B6159" s="1">
        <v>43</v>
      </c>
      <c r="C6159" s="1">
        <v>24.8</v>
      </c>
      <c r="D6159" s="1">
        <v>9.1999999999999993</v>
      </c>
      <c r="F6159" s="1">
        <v>16.2</v>
      </c>
      <c r="G6159" s="1">
        <v>15</v>
      </c>
      <c r="H6159" s="1">
        <v>17.899999999999999</v>
      </c>
      <c r="I6159" s="1">
        <v>12</v>
      </c>
      <c r="J6159" s="1">
        <v>34</v>
      </c>
      <c r="K6159" s="1"/>
      <c r="L6159" s="1">
        <v>0</v>
      </c>
      <c r="M6159" s="1">
        <v>16.5</v>
      </c>
      <c r="N6159" s="38">
        <v>21.599999999999998</v>
      </c>
      <c r="Q6159" s="1">
        <v>1.2</v>
      </c>
      <c r="R6159" s="1">
        <v>0.1</v>
      </c>
      <c r="S6159" s="1">
        <v>0</v>
      </c>
      <c r="T6159" s="1"/>
      <c r="U6159" s="1">
        <v>15</v>
      </c>
      <c r="X6159" s="1"/>
      <c r="Y6159" s="1">
        <v>0</v>
      </c>
      <c r="AC6159" s="38">
        <v>25</v>
      </c>
    </row>
    <row r="6160" spans="1:29" x14ac:dyDescent="0.25">
      <c r="A6160" s="22">
        <v>44511</v>
      </c>
      <c r="B6160" s="1"/>
      <c r="C6160" s="1">
        <v>2</v>
      </c>
      <c r="D6160" s="1">
        <v>3.6</v>
      </c>
      <c r="F6160" s="1">
        <v>3</v>
      </c>
      <c r="G6160" s="1">
        <v>6.2</v>
      </c>
      <c r="H6160" s="1">
        <v>5.0999999999999996</v>
      </c>
      <c r="I6160" s="1">
        <v>3</v>
      </c>
      <c r="J6160" s="1">
        <v>2.2000000000000002</v>
      </c>
      <c r="K6160" s="1"/>
      <c r="L6160" s="1">
        <v>0</v>
      </c>
      <c r="M6160" s="1">
        <v>5</v>
      </c>
      <c r="N6160" s="38">
        <v>0</v>
      </c>
      <c r="Q6160" s="1">
        <v>0.7</v>
      </c>
      <c r="R6160" s="1">
        <v>1.2</v>
      </c>
      <c r="S6160" s="1">
        <v>0</v>
      </c>
      <c r="T6160" s="1"/>
      <c r="U6160" s="1">
        <v>1</v>
      </c>
      <c r="X6160" s="1"/>
      <c r="Y6160" s="1">
        <v>12.1</v>
      </c>
      <c r="AC6160" s="38">
        <v>0</v>
      </c>
    </row>
    <row r="6161" spans="1:29" x14ac:dyDescent="0.25">
      <c r="A6161" s="22">
        <v>44512</v>
      </c>
      <c r="B6161" s="1"/>
      <c r="C6161" s="1">
        <v>2.4</v>
      </c>
      <c r="D6161" s="1">
        <v>2</v>
      </c>
      <c r="F6161" s="1">
        <v>1</v>
      </c>
      <c r="G6161" s="1">
        <v>3</v>
      </c>
      <c r="H6161" s="1">
        <v>0</v>
      </c>
      <c r="I6161" s="1">
        <v>4.7</v>
      </c>
      <c r="J6161" s="1">
        <v>2</v>
      </c>
      <c r="K6161" s="1"/>
      <c r="L6161" s="1">
        <v>0</v>
      </c>
      <c r="M6161" s="1">
        <v>0.8</v>
      </c>
      <c r="N6161" s="38">
        <v>2</v>
      </c>
      <c r="Q6161" s="1">
        <v>2.5</v>
      </c>
      <c r="R6161" s="1">
        <v>0</v>
      </c>
      <c r="S6161" s="1">
        <v>3</v>
      </c>
      <c r="T6161" s="1"/>
      <c r="U6161" s="1">
        <v>0</v>
      </c>
      <c r="X6161" s="1"/>
      <c r="Y6161" s="1">
        <v>49.2</v>
      </c>
      <c r="AC6161" s="38">
        <v>1</v>
      </c>
    </row>
    <row r="6162" spans="1:29" x14ac:dyDescent="0.25">
      <c r="A6162" s="22">
        <v>44513</v>
      </c>
      <c r="B6162" s="1"/>
      <c r="C6162" s="1">
        <v>3.2</v>
      </c>
      <c r="D6162" s="1">
        <v>6</v>
      </c>
      <c r="F6162" s="1">
        <v>0.1</v>
      </c>
      <c r="G6162" s="1">
        <v>3.5</v>
      </c>
      <c r="H6162" s="1">
        <v>1.4</v>
      </c>
      <c r="I6162" s="1">
        <v>1</v>
      </c>
      <c r="J6162" s="1">
        <v>4.3</v>
      </c>
      <c r="K6162" s="1"/>
      <c r="L6162" s="1">
        <v>0</v>
      </c>
      <c r="M6162" s="1">
        <v>0.2</v>
      </c>
      <c r="N6162" s="38">
        <v>1</v>
      </c>
      <c r="Q6162" s="1">
        <v>2.2000000000000002</v>
      </c>
      <c r="R6162" s="1">
        <v>0</v>
      </c>
      <c r="S6162" s="1">
        <v>0.4</v>
      </c>
      <c r="T6162" s="1"/>
      <c r="U6162" s="1">
        <v>0</v>
      </c>
      <c r="X6162" s="1"/>
      <c r="Y6162" s="1">
        <v>48</v>
      </c>
      <c r="AC6162" s="38">
        <v>0</v>
      </c>
    </row>
    <row r="6163" spans="1:29" x14ac:dyDescent="0.25">
      <c r="A6163" s="22">
        <v>44514</v>
      </c>
      <c r="B6163" s="1"/>
      <c r="C6163" s="1">
        <v>8.8000000000000007</v>
      </c>
      <c r="D6163" s="1">
        <v>2.8</v>
      </c>
      <c r="F6163" s="1">
        <v>1.5</v>
      </c>
      <c r="G6163" s="1">
        <v>7.2</v>
      </c>
      <c r="H6163" s="1">
        <v>2.9</v>
      </c>
      <c r="I6163" s="1">
        <v>6.4</v>
      </c>
      <c r="J6163" s="1">
        <v>4</v>
      </c>
      <c r="K6163" s="1"/>
      <c r="L6163" s="1">
        <v>3.0479999999999996</v>
      </c>
      <c r="M6163" s="1">
        <v>6.5</v>
      </c>
      <c r="N6163" s="38">
        <v>7.0000000000000009</v>
      </c>
      <c r="Q6163" s="1">
        <v>4</v>
      </c>
      <c r="R6163" s="1">
        <v>6</v>
      </c>
      <c r="S6163" s="1">
        <v>0</v>
      </c>
      <c r="T6163" s="1"/>
      <c r="U6163" s="1">
        <v>5</v>
      </c>
      <c r="X6163" s="1"/>
      <c r="Y6163" s="1">
        <v>5</v>
      </c>
      <c r="AC6163" s="38">
        <v>7</v>
      </c>
    </row>
    <row r="6164" spans="1:29" x14ac:dyDescent="0.25">
      <c r="A6164" s="22">
        <v>44515</v>
      </c>
      <c r="B6164" s="1">
        <v>21.1</v>
      </c>
      <c r="C6164" s="1">
        <v>7.2</v>
      </c>
      <c r="D6164" s="1">
        <v>15</v>
      </c>
      <c r="F6164" s="1">
        <v>2.4</v>
      </c>
      <c r="G6164" s="1">
        <v>8</v>
      </c>
      <c r="H6164" s="1">
        <v>2</v>
      </c>
      <c r="I6164" s="1">
        <v>0</v>
      </c>
      <c r="J6164" s="1">
        <v>5.8</v>
      </c>
      <c r="K6164" s="1"/>
      <c r="L6164" s="1">
        <v>4.0640000000000001</v>
      </c>
      <c r="M6164" s="1">
        <v>4.5999999999999996</v>
      </c>
      <c r="N6164" s="38">
        <v>7.2000000000000011</v>
      </c>
      <c r="Q6164" s="1">
        <v>2.5</v>
      </c>
      <c r="R6164" s="1">
        <v>4</v>
      </c>
      <c r="S6164" s="1">
        <v>0.4</v>
      </c>
      <c r="T6164" s="1"/>
      <c r="U6164" s="1">
        <v>3</v>
      </c>
      <c r="X6164" s="1"/>
      <c r="Y6164" s="1">
        <v>0.1</v>
      </c>
      <c r="AC6164" s="38">
        <v>1</v>
      </c>
    </row>
    <row r="6165" spans="1:29" x14ac:dyDescent="0.25">
      <c r="A6165" s="22">
        <v>44516</v>
      </c>
      <c r="B6165" s="1"/>
      <c r="C6165" s="1">
        <v>6.2</v>
      </c>
      <c r="D6165" s="1">
        <v>12.4</v>
      </c>
      <c r="F6165" s="1">
        <v>0</v>
      </c>
      <c r="G6165" s="1">
        <v>2</v>
      </c>
      <c r="H6165" s="1">
        <v>0</v>
      </c>
      <c r="I6165" s="1">
        <v>4.8</v>
      </c>
      <c r="J6165" s="1">
        <v>8.3000000000000007</v>
      </c>
      <c r="K6165" s="1"/>
      <c r="L6165" s="1">
        <v>0</v>
      </c>
      <c r="M6165" s="1">
        <v>0.2</v>
      </c>
      <c r="N6165" s="38">
        <v>7.2000000000000011</v>
      </c>
      <c r="Q6165" s="1">
        <v>2</v>
      </c>
      <c r="R6165" s="1">
        <v>2</v>
      </c>
      <c r="S6165" s="1">
        <v>0</v>
      </c>
      <c r="T6165" s="1"/>
      <c r="U6165" s="1">
        <v>0</v>
      </c>
      <c r="X6165" s="1"/>
      <c r="Y6165" s="1">
        <v>5.5</v>
      </c>
      <c r="AC6165" s="38">
        <v>1</v>
      </c>
    </row>
    <row r="6166" spans="1:29" x14ac:dyDescent="0.25">
      <c r="A6166" s="22">
        <v>44517</v>
      </c>
      <c r="B6166" s="1"/>
      <c r="C6166" s="1">
        <v>1</v>
      </c>
      <c r="D6166" s="1">
        <v>8</v>
      </c>
      <c r="F6166" s="1">
        <v>0</v>
      </c>
      <c r="G6166" s="1">
        <v>1.5</v>
      </c>
      <c r="H6166" s="1">
        <v>0</v>
      </c>
      <c r="I6166" s="1">
        <v>2.2000000000000002</v>
      </c>
      <c r="J6166" s="1">
        <v>2.7</v>
      </c>
      <c r="K6166" s="1"/>
      <c r="L6166" s="1">
        <v>0</v>
      </c>
      <c r="M6166" s="1">
        <v>0.8</v>
      </c>
      <c r="N6166" s="38">
        <v>1</v>
      </c>
      <c r="Q6166" s="1">
        <v>0</v>
      </c>
      <c r="R6166" s="1">
        <v>4</v>
      </c>
      <c r="S6166" s="1">
        <v>0.4</v>
      </c>
      <c r="T6166" s="1"/>
      <c r="U6166" s="1">
        <v>8</v>
      </c>
      <c r="X6166" s="1"/>
      <c r="Y6166" s="1">
        <v>9.9</v>
      </c>
      <c r="AC6166" s="38">
        <v>0</v>
      </c>
    </row>
    <row r="6167" spans="1:29" x14ac:dyDescent="0.25">
      <c r="A6167" s="22">
        <v>44518</v>
      </c>
      <c r="B6167" s="1"/>
      <c r="C6167" s="1">
        <v>8.8000000000000007</v>
      </c>
      <c r="D6167" s="1">
        <v>20.8</v>
      </c>
      <c r="F6167" s="1">
        <v>0</v>
      </c>
      <c r="G6167" s="1">
        <v>5.2</v>
      </c>
      <c r="H6167" s="1">
        <v>2.2999999999999998</v>
      </c>
      <c r="I6167" s="1">
        <v>3</v>
      </c>
      <c r="J6167" s="1">
        <v>8.1999999999999993</v>
      </c>
      <c r="K6167" s="1"/>
      <c r="L6167" s="1">
        <v>4.3180000000000005</v>
      </c>
      <c r="M6167" s="1">
        <v>4.5</v>
      </c>
      <c r="N6167" s="38">
        <v>14.399999999999999</v>
      </c>
      <c r="Q6167" s="1">
        <v>7.1</v>
      </c>
      <c r="R6167" s="1">
        <v>5</v>
      </c>
      <c r="S6167" s="1">
        <v>0.4</v>
      </c>
      <c r="T6167" s="1"/>
      <c r="U6167" s="1">
        <v>14</v>
      </c>
      <c r="X6167" s="1">
        <v>18</v>
      </c>
      <c r="Y6167" s="1">
        <v>7.6</v>
      </c>
      <c r="AC6167" s="38">
        <v>1</v>
      </c>
    </row>
    <row r="6168" spans="1:29" x14ac:dyDescent="0.25">
      <c r="A6168" s="22">
        <v>44519</v>
      </c>
      <c r="B6168" s="1">
        <v>24</v>
      </c>
      <c r="C6168" s="1">
        <v>19</v>
      </c>
      <c r="D6168" s="1">
        <v>14</v>
      </c>
      <c r="F6168" s="1">
        <v>6.1</v>
      </c>
      <c r="G6168" s="1">
        <v>8.5</v>
      </c>
      <c r="H6168" s="1">
        <v>5.8</v>
      </c>
      <c r="I6168" s="1">
        <v>7</v>
      </c>
      <c r="J6168" s="1">
        <v>13.2</v>
      </c>
      <c r="K6168" s="1"/>
      <c r="L6168" s="1">
        <v>2.794</v>
      </c>
      <c r="M6168" s="1">
        <v>10.199999999999999</v>
      </c>
      <c r="N6168" s="38">
        <v>8.5999999999999979</v>
      </c>
      <c r="Q6168" s="1">
        <v>5.3</v>
      </c>
      <c r="R6168" s="1">
        <v>2</v>
      </c>
      <c r="S6168" s="1">
        <v>0</v>
      </c>
      <c r="T6168" s="1"/>
      <c r="U6168" s="1">
        <v>6</v>
      </c>
      <c r="X6168" s="1"/>
      <c r="Y6168" s="1">
        <v>0.2</v>
      </c>
      <c r="AC6168" s="38">
        <v>6</v>
      </c>
    </row>
    <row r="6169" spans="1:29" x14ac:dyDescent="0.25">
      <c r="A6169" s="22">
        <v>44520</v>
      </c>
      <c r="B6169" s="1"/>
      <c r="C6169" s="1">
        <v>1.4</v>
      </c>
      <c r="D6169" s="1">
        <v>10</v>
      </c>
      <c r="F6169" s="1">
        <v>0.1</v>
      </c>
      <c r="G6169" s="1">
        <v>10.5</v>
      </c>
      <c r="H6169" s="1">
        <v>5.2</v>
      </c>
      <c r="I6169" s="1">
        <v>4.8</v>
      </c>
      <c r="J6169" s="1">
        <v>6.6</v>
      </c>
      <c r="K6169" s="1"/>
      <c r="L6169" s="1">
        <v>3.0479999999999996</v>
      </c>
      <c r="M6169" s="1">
        <v>5.9</v>
      </c>
      <c r="N6169" s="38">
        <v>2</v>
      </c>
      <c r="Q6169" s="1">
        <v>0</v>
      </c>
      <c r="R6169" s="1">
        <v>2</v>
      </c>
      <c r="S6169" s="1">
        <v>0</v>
      </c>
      <c r="T6169" s="1"/>
      <c r="U6169" s="1">
        <v>15</v>
      </c>
      <c r="X6169" s="1"/>
      <c r="Y6169" s="1">
        <v>0</v>
      </c>
      <c r="AC6169" s="38">
        <v>0</v>
      </c>
    </row>
    <row r="6170" spans="1:29" x14ac:dyDescent="0.25">
      <c r="A6170" s="22">
        <v>44521</v>
      </c>
      <c r="B6170" s="1"/>
      <c r="C6170" s="1">
        <v>0</v>
      </c>
      <c r="D6170" s="1">
        <v>0</v>
      </c>
      <c r="F6170" s="1">
        <v>0</v>
      </c>
      <c r="G6170" s="1">
        <v>2.1</v>
      </c>
      <c r="H6170" s="1">
        <v>0</v>
      </c>
      <c r="I6170" s="1">
        <v>0</v>
      </c>
      <c r="J6170" s="1">
        <v>1</v>
      </c>
      <c r="K6170" s="1"/>
      <c r="L6170" s="1">
        <v>3.8099999999999996</v>
      </c>
      <c r="M6170" s="1">
        <v>0.3</v>
      </c>
      <c r="N6170" s="38">
        <v>0.2</v>
      </c>
      <c r="Q6170" s="1">
        <v>0</v>
      </c>
      <c r="R6170" s="1">
        <v>0</v>
      </c>
      <c r="S6170" s="1">
        <v>0</v>
      </c>
      <c r="T6170" s="1"/>
      <c r="U6170" s="1">
        <v>0</v>
      </c>
      <c r="X6170" s="1"/>
      <c r="Y6170" s="1">
        <v>3</v>
      </c>
      <c r="AC6170" s="38">
        <v>0</v>
      </c>
    </row>
    <row r="6171" spans="1:29" x14ac:dyDescent="0.25">
      <c r="A6171" s="22">
        <v>44522</v>
      </c>
      <c r="B6171" s="1"/>
      <c r="C6171" s="1">
        <v>0</v>
      </c>
      <c r="D6171" s="1">
        <v>0.4</v>
      </c>
      <c r="F6171" s="1">
        <v>0</v>
      </c>
      <c r="G6171" s="1">
        <v>0.5</v>
      </c>
      <c r="H6171" s="1">
        <v>0</v>
      </c>
      <c r="I6171" s="1">
        <v>0</v>
      </c>
      <c r="J6171" s="1">
        <v>1.8</v>
      </c>
      <c r="K6171" s="1"/>
      <c r="L6171" s="1">
        <v>0</v>
      </c>
      <c r="M6171" s="1">
        <v>0</v>
      </c>
      <c r="N6171" s="38">
        <v>2.1999999999999997</v>
      </c>
      <c r="Q6171" s="1">
        <v>0</v>
      </c>
      <c r="R6171" s="1">
        <v>1</v>
      </c>
      <c r="S6171" s="1">
        <v>0</v>
      </c>
      <c r="T6171" s="1"/>
      <c r="U6171" s="1">
        <v>10</v>
      </c>
      <c r="X6171" s="1"/>
      <c r="Y6171" s="1">
        <v>0.1</v>
      </c>
      <c r="AC6171" s="38">
        <v>1</v>
      </c>
    </row>
    <row r="6172" spans="1:29" x14ac:dyDescent="0.25">
      <c r="A6172" s="22">
        <v>44523</v>
      </c>
      <c r="B6172" s="1"/>
      <c r="C6172" s="1">
        <v>0</v>
      </c>
      <c r="D6172" s="1">
        <v>0</v>
      </c>
      <c r="F6172" s="1">
        <v>0</v>
      </c>
      <c r="G6172" s="1">
        <v>0</v>
      </c>
      <c r="H6172" s="1">
        <v>1</v>
      </c>
      <c r="I6172" s="1">
        <v>0</v>
      </c>
      <c r="J6172" s="1">
        <v>0</v>
      </c>
      <c r="K6172" s="1"/>
      <c r="L6172" s="1">
        <v>0.7619999999999999</v>
      </c>
      <c r="M6172" s="1">
        <v>2</v>
      </c>
      <c r="N6172" s="38">
        <v>5.0000000000000009</v>
      </c>
      <c r="Q6172" s="1">
        <v>13.4</v>
      </c>
      <c r="R6172" s="1">
        <v>9</v>
      </c>
      <c r="S6172" s="1">
        <v>0</v>
      </c>
      <c r="T6172" s="1"/>
      <c r="U6172" s="1">
        <v>6</v>
      </c>
      <c r="X6172" s="1">
        <v>2.2999999999999998</v>
      </c>
      <c r="Y6172" s="1">
        <v>2.5</v>
      </c>
      <c r="AC6172" s="38">
        <v>0</v>
      </c>
    </row>
    <row r="6173" spans="1:29" x14ac:dyDescent="0.25">
      <c r="A6173" s="22">
        <v>44524</v>
      </c>
      <c r="B6173" s="1"/>
      <c r="C6173" s="1">
        <v>3.6</v>
      </c>
      <c r="D6173" s="1">
        <v>4.2</v>
      </c>
      <c r="F6173" s="1">
        <v>0.3</v>
      </c>
      <c r="G6173" s="1">
        <v>1.5</v>
      </c>
      <c r="H6173" s="1">
        <v>0.9</v>
      </c>
      <c r="I6173" s="1">
        <v>0.3</v>
      </c>
      <c r="J6173" s="1">
        <v>0.6</v>
      </c>
      <c r="K6173" s="1"/>
      <c r="L6173" s="1">
        <v>3.8099999999999996</v>
      </c>
      <c r="M6173" s="1">
        <v>0.6</v>
      </c>
      <c r="N6173" s="38">
        <v>3.6</v>
      </c>
      <c r="Q6173" s="1">
        <v>1.6</v>
      </c>
      <c r="R6173" s="1">
        <v>1</v>
      </c>
      <c r="S6173" s="1">
        <v>0</v>
      </c>
      <c r="T6173" s="1"/>
      <c r="U6173" s="1">
        <v>0</v>
      </c>
      <c r="X6173" s="1"/>
      <c r="Y6173" s="1">
        <v>16.5</v>
      </c>
      <c r="AC6173" s="38">
        <v>0</v>
      </c>
    </row>
    <row r="6174" spans="1:29" x14ac:dyDescent="0.25">
      <c r="A6174" s="22">
        <v>44525</v>
      </c>
      <c r="B6174" s="1"/>
      <c r="C6174" s="1">
        <v>1.6</v>
      </c>
      <c r="D6174" s="1">
        <v>1</v>
      </c>
      <c r="F6174" s="1">
        <v>1.1000000000000001</v>
      </c>
      <c r="G6174" s="1">
        <v>1.3</v>
      </c>
      <c r="H6174" s="1">
        <v>3.3</v>
      </c>
      <c r="I6174" s="1">
        <v>0</v>
      </c>
      <c r="J6174" s="1">
        <v>6.7</v>
      </c>
      <c r="K6174" s="1"/>
      <c r="L6174" s="1">
        <v>3.556</v>
      </c>
      <c r="M6174" s="1">
        <v>0.2</v>
      </c>
      <c r="N6174" s="38">
        <v>2.2000000000000002</v>
      </c>
      <c r="Q6174" s="1">
        <v>2.2000000000000002</v>
      </c>
      <c r="R6174" s="1">
        <v>1</v>
      </c>
      <c r="S6174" s="1">
        <v>0</v>
      </c>
      <c r="T6174" s="1"/>
      <c r="U6174" s="1">
        <v>0</v>
      </c>
      <c r="X6174" s="1"/>
      <c r="Y6174" s="1">
        <v>0</v>
      </c>
      <c r="AC6174" s="38">
        <v>29</v>
      </c>
    </row>
    <row r="6175" spans="1:29" x14ac:dyDescent="0.25">
      <c r="A6175" s="22">
        <v>44526</v>
      </c>
      <c r="B6175" s="1"/>
      <c r="C6175" s="1">
        <v>4.4000000000000004</v>
      </c>
      <c r="D6175" s="1">
        <v>3.6</v>
      </c>
      <c r="F6175" s="1">
        <v>0</v>
      </c>
      <c r="G6175" s="1">
        <v>2.5</v>
      </c>
      <c r="H6175" s="1">
        <v>0</v>
      </c>
      <c r="I6175" s="1">
        <v>6.4</v>
      </c>
      <c r="J6175" s="1">
        <v>1.2</v>
      </c>
      <c r="K6175" s="1"/>
      <c r="L6175" s="1">
        <v>3.556</v>
      </c>
      <c r="M6175" s="1">
        <v>2.6</v>
      </c>
      <c r="N6175" s="38">
        <v>0.4</v>
      </c>
      <c r="Q6175" s="1">
        <v>13.4</v>
      </c>
      <c r="R6175" s="1">
        <v>15</v>
      </c>
      <c r="S6175" s="1">
        <v>0</v>
      </c>
      <c r="T6175" s="1"/>
      <c r="U6175" s="1">
        <v>8</v>
      </c>
      <c r="X6175" s="1"/>
      <c r="Y6175" s="1">
        <v>0</v>
      </c>
      <c r="AC6175" s="38">
        <v>0</v>
      </c>
    </row>
    <row r="6176" spans="1:29" x14ac:dyDescent="0.25">
      <c r="A6176" s="22">
        <v>44527</v>
      </c>
      <c r="B6176" s="1"/>
      <c r="C6176" s="1">
        <v>0</v>
      </c>
      <c r="D6176" s="1">
        <v>0</v>
      </c>
      <c r="F6176" s="1">
        <v>0.2</v>
      </c>
      <c r="G6176" s="1">
        <v>4.0999999999999996</v>
      </c>
      <c r="H6176" s="1">
        <v>1.1000000000000001</v>
      </c>
      <c r="I6176" s="1">
        <v>0.1</v>
      </c>
      <c r="J6176" s="1">
        <v>0.7</v>
      </c>
      <c r="K6176" s="1"/>
      <c r="L6176" s="1">
        <v>18.795999999999999</v>
      </c>
      <c r="M6176" s="1">
        <v>0.2</v>
      </c>
      <c r="N6176" s="38">
        <v>11.6</v>
      </c>
      <c r="Q6176" s="1">
        <v>6.8</v>
      </c>
      <c r="R6176" s="1">
        <v>4</v>
      </c>
      <c r="S6176" s="1">
        <v>0</v>
      </c>
      <c r="T6176" s="1"/>
      <c r="U6176" s="1">
        <v>7</v>
      </c>
      <c r="X6176" s="1"/>
      <c r="Y6176" s="1">
        <v>0</v>
      </c>
      <c r="AC6176" s="38">
        <v>0</v>
      </c>
    </row>
    <row r="6177" spans="1:29" x14ac:dyDescent="0.25">
      <c r="A6177" s="22">
        <v>44528</v>
      </c>
      <c r="B6177" s="1"/>
      <c r="C6177" s="1">
        <v>18</v>
      </c>
      <c r="D6177" s="1">
        <v>13.6</v>
      </c>
      <c r="F6177" s="1">
        <v>5</v>
      </c>
      <c r="G6177" s="1">
        <v>0</v>
      </c>
      <c r="H6177" s="1">
        <v>10</v>
      </c>
      <c r="I6177" s="1">
        <v>5.8</v>
      </c>
      <c r="J6177" s="1">
        <v>5.7</v>
      </c>
      <c r="K6177" s="1"/>
      <c r="L6177" s="1">
        <v>0</v>
      </c>
      <c r="M6177" s="1">
        <v>2</v>
      </c>
      <c r="N6177" s="38">
        <v>2.8000000000000003</v>
      </c>
      <c r="Q6177" s="1">
        <v>4.5</v>
      </c>
      <c r="R6177" s="1">
        <v>4.3</v>
      </c>
      <c r="S6177" s="1">
        <v>0</v>
      </c>
      <c r="T6177" s="1"/>
      <c r="U6177" s="1">
        <v>0</v>
      </c>
      <c r="X6177" s="1"/>
      <c r="Y6177" s="1">
        <v>0</v>
      </c>
      <c r="AC6177" s="38">
        <v>2</v>
      </c>
    </row>
    <row r="6178" spans="1:29" x14ac:dyDescent="0.25">
      <c r="A6178" s="22">
        <v>44529</v>
      </c>
      <c r="B6178" s="1"/>
      <c r="C6178" s="1">
        <v>6.8</v>
      </c>
      <c r="D6178" s="1">
        <v>11.2</v>
      </c>
      <c r="F6178" s="1">
        <v>1.3</v>
      </c>
      <c r="G6178" s="1">
        <v>6.5</v>
      </c>
      <c r="H6178" s="1">
        <v>1.1000000000000001</v>
      </c>
      <c r="I6178" s="1">
        <v>6.2</v>
      </c>
      <c r="J6178" s="1">
        <v>18.5</v>
      </c>
      <c r="K6178" s="1"/>
      <c r="L6178" s="1">
        <v>1.5239999999999998</v>
      </c>
      <c r="M6178" s="1">
        <v>2.4</v>
      </c>
      <c r="N6178" s="38">
        <v>13.4</v>
      </c>
      <c r="Q6178" s="1">
        <v>0</v>
      </c>
      <c r="R6178" s="1">
        <v>0</v>
      </c>
      <c r="S6178" s="1">
        <v>0</v>
      </c>
      <c r="T6178" s="1"/>
      <c r="U6178" s="1">
        <v>8</v>
      </c>
      <c r="X6178" s="1">
        <v>7.3</v>
      </c>
      <c r="Y6178" s="1">
        <v>0</v>
      </c>
      <c r="AC6178" s="38">
        <v>0</v>
      </c>
    </row>
    <row r="6179" spans="1:29" x14ac:dyDescent="0.25">
      <c r="A6179" s="22">
        <v>44530</v>
      </c>
      <c r="B6179" s="1"/>
      <c r="C6179" s="1">
        <v>0</v>
      </c>
      <c r="D6179" s="1">
        <v>0</v>
      </c>
      <c r="F6179" s="1">
        <v>0</v>
      </c>
      <c r="G6179" s="1">
        <v>0.5</v>
      </c>
      <c r="H6179" s="1">
        <v>0</v>
      </c>
      <c r="I6179" s="1">
        <v>0.8</v>
      </c>
      <c r="J6179" s="1">
        <v>0</v>
      </c>
      <c r="K6179" s="1"/>
      <c r="L6179" s="1">
        <v>0</v>
      </c>
      <c r="M6179" s="1">
        <v>0.7</v>
      </c>
      <c r="N6179" s="38">
        <v>9.1999999999999993</v>
      </c>
      <c r="Q6179" s="1">
        <v>90.6</v>
      </c>
      <c r="R6179" s="1">
        <v>101.3</v>
      </c>
      <c r="S6179" s="1">
        <v>27.8</v>
      </c>
      <c r="T6179" s="1"/>
      <c r="U6179" s="1">
        <v>0</v>
      </c>
      <c r="X6179" s="1"/>
      <c r="Y6179" s="1">
        <v>6.8</v>
      </c>
      <c r="AC6179" s="38">
        <v>19</v>
      </c>
    </row>
    <row r="6180" spans="1:29" x14ac:dyDescent="0.25">
      <c r="A6180" s="22">
        <v>44531</v>
      </c>
      <c r="B6180" s="1">
        <v>136</v>
      </c>
      <c r="C6180" s="1">
        <v>75.5</v>
      </c>
      <c r="D6180" s="1">
        <v>74</v>
      </c>
      <c r="F6180" s="1">
        <v>26.2</v>
      </c>
      <c r="G6180" s="1">
        <v>34.5</v>
      </c>
      <c r="H6180" s="1">
        <v>30</v>
      </c>
      <c r="I6180" s="1">
        <v>35.799999999999997</v>
      </c>
      <c r="J6180" s="1">
        <v>34.1</v>
      </c>
      <c r="K6180" s="1">
        <v>34</v>
      </c>
      <c r="L6180" s="1">
        <v>70.400000000000006</v>
      </c>
      <c r="M6180" s="1">
        <v>32.299999999999997</v>
      </c>
      <c r="N6180" s="38">
        <v>45.8</v>
      </c>
      <c r="Q6180" s="1">
        <v>5.8</v>
      </c>
      <c r="R6180" s="1">
        <v>8.8000000000000007</v>
      </c>
      <c r="S6180" s="1">
        <v>14</v>
      </c>
      <c r="T6180" s="1">
        <v>9.4</v>
      </c>
      <c r="U6180" s="1">
        <v>58</v>
      </c>
      <c r="X6180" s="1">
        <v>2.4</v>
      </c>
      <c r="Y6180" s="1"/>
      <c r="AC6180" s="38">
        <v>5</v>
      </c>
    </row>
    <row r="6181" spans="1:29" x14ac:dyDescent="0.25">
      <c r="A6181" s="22">
        <v>44532</v>
      </c>
      <c r="B6181" s="1">
        <v>0</v>
      </c>
      <c r="C6181" s="1">
        <v>7.2</v>
      </c>
      <c r="D6181" s="1">
        <v>6.8</v>
      </c>
      <c r="F6181" s="1">
        <v>1.1000000000000001</v>
      </c>
      <c r="G6181" s="1">
        <v>4.2</v>
      </c>
      <c r="H6181" s="1">
        <v>4.9000000000000004</v>
      </c>
      <c r="I6181" s="1">
        <v>1.2</v>
      </c>
      <c r="J6181" s="1">
        <v>7</v>
      </c>
      <c r="K6181" s="1">
        <v>8</v>
      </c>
      <c r="L6181" s="1">
        <v>3</v>
      </c>
      <c r="M6181" s="1">
        <v>4.5</v>
      </c>
      <c r="N6181" s="38">
        <v>5.4</v>
      </c>
      <c r="Q6181" s="1">
        <v>6.6</v>
      </c>
      <c r="R6181" s="1">
        <v>8</v>
      </c>
      <c r="S6181" s="1">
        <v>0</v>
      </c>
      <c r="T6181" s="1">
        <v>2</v>
      </c>
      <c r="U6181" s="1">
        <v>10</v>
      </c>
      <c r="X6181" s="1">
        <v>0</v>
      </c>
      <c r="Y6181" s="1"/>
      <c r="AC6181" s="38">
        <v>4</v>
      </c>
    </row>
    <row r="6182" spans="1:29" x14ac:dyDescent="0.25">
      <c r="A6182" s="22">
        <v>44533</v>
      </c>
      <c r="B6182" s="1">
        <v>0</v>
      </c>
      <c r="C6182" s="1">
        <v>13</v>
      </c>
      <c r="D6182" s="1">
        <v>20</v>
      </c>
      <c r="F6182" s="1">
        <v>0</v>
      </c>
      <c r="G6182" s="1">
        <v>6</v>
      </c>
      <c r="H6182" s="1">
        <v>1.5</v>
      </c>
      <c r="I6182" s="1">
        <v>4.2</v>
      </c>
      <c r="J6182" s="1">
        <v>11</v>
      </c>
      <c r="K6182" s="1">
        <v>10.8</v>
      </c>
      <c r="L6182" s="1">
        <v>3</v>
      </c>
      <c r="M6182" s="1">
        <v>2</v>
      </c>
      <c r="N6182" s="38">
        <v>17.2</v>
      </c>
      <c r="Q6182" s="1">
        <v>16.7</v>
      </c>
      <c r="R6182" s="1">
        <v>10</v>
      </c>
      <c r="S6182" s="1">
        <v>20.6</v>
      </c>
      <c r="T6182" s="1">
        <v>8.4</v>
      </c>
      <c r="U6182" s="1">
        <v>4</v>
      </c>
      <c r="X6182" s="1">
        <v>1.3</v>
      </c>
      <c r="Y6182" s="1"/>
      <c r="AC6182" s="38">
        <v>8</v>
      </c>
    </row>
    <row r="6183" spans="1:29" x14ac:dyDescent="0.25">
      <c r="A6183" s="22">
        <v>44534</v>
      </c>
      <c r="B6183" s="1">
        <v>0</v>
      </c>
      <c r="C6183" s="1">
        <v>13.6</v>
      </c>
      <c r="D6183" s="1">
        <v>3.6</v>
      </c>
      <c r="F6183" s="1">
        <v>2.2000000000000002</v>
      </c>
      <c r="G6183" s="1">
        <v>12.6</v>
      </c>
      <c r="H6183" s="1">
        <v>4.3</v>
      </c>
      <c r="I6183" s="1">
        <v>0</v>
      </c>
      <c r="J6183" s="1">
        <v>8</v>
      </c>
      <c r="K6183" s="1">
        <v>10.199999999999999</v>
      </c>
      <c r="L6183" s="1">
        <v>2</v>
      </c>
      <c r="M6183" s="1">
        <v>8</v>
      </c>
      <c r="N6183" s="38">
        <v>5.0000000000000009</v>
      </c>
      <c r="Q6183" s="1">
        <v>0</v>
      </c>
      <c r="R6183" s="1">
        <v>0.7</v>
      </c>
      <c r="S6183" s="1">
        <v>0.2</v>
      </c>
      <c r="T6183" s="1">
        <v>2.6</v>
      </c>
      <c r="U6183" s="1">
        <v>5</v>
      </c>
      <c r="X6183" s="1">
        <v>0.5</v>
      </c>
      <c r="Y6183" s="1"/>
      <c r="AC6183" s="38">
        <v>1</v>
      </c>
    </row>
    <row r="6184" spans="1:29" x14ac:dyDescent="0.25">
      <c r="A6184" s="22">
        <v>44535</v>
      </c>
      <c r="B6184" s="1">
        <v>0</v>
      </c>
      <c r="C6184" s="1">
        <v>3.8</v>
      </c>
      <c r="D6184" s="1">
        <v>13.6</v>
      </c>
      <c r="F6184" s="1">
        <v>0</v>
      </c>
      <c r="G6184" s="1">
        <v>1.8</v>
      </c>
      <c r="H6184" s="1">
        <v>0</v>
      </c>
      <c r="I6184" s="1">
        <v>7.2</v>
      </c>
      <c r="J6184" s="1">
        <v>4.0999999999999996</v>
      </c>
      <c r="K6184" s="1">
        <v>2.4</v>
      </c>
      <c r="L6184" s="1">
        <v>1</v>
      </c>
      <c r="M6184" s="1">
        <v>0.2</v>
      </c>
      <c r="N6184" s="38">
        <v>2.6000000000000005</v>
      </c>
      <c r="Q6184" s="1">
        <v>12.7</v>
      </c>
      <c r="R6184" s="1">
        <v>12.1</v>
      </c>
      <c r="S6184" s="1">
        <v>1</v>
      </c>
      <c r="T6184" s="1">
        <v>1.4</v>
      </c>
      <c r="U6184" s="1">
        <v>15</v>
      </c>
      <c r="X6184" s="1">
        <v>0</v>
      </c>
      <c r="Y6184" s="1"/>
      <c r="AC6184" s="38">
        <v>7</v>
      </c>
    </row>
    <row r="6185" spans="1:29" x14ac:dyDescent="0.25">
      <c r="A6185" s="22">
        <v>44536</v>
      </c>
      <c r="B6185" s="1">
        <v>35</v>
      </c>
      <c r="C6185" s="1">
        <v>17.2</v>
      </c>
      <c r="D6185" s="1">
        <v>1</v>
      </c>
      <c r="F6185" s="1">
        <v>7.3</v>
      </c>
      <c r="G6185" s="1">
        <v>15.2</v>
      </c>
      <c r="H6185" s="1">
        <v>7.8</v>
      </c>
      <c r="I6185" s="1">
        <v>12.2</v>
      </c>
      <c r="J6185" s="1">
        <v>13.9</v>
      </c>
      <c r="K6185" s="1">
        <v>1.2</v>
      </c>
      <c r="L6185" s="1">
        <v>4.8</v>
      </c>
      <c r="M6185" s="1">
        <v>10.9</v>
      </c>
      <c r="N6185" s="38">
        <v>8.9999999999999982</v>
      </c>
      <c r="Q6185" s="1">
        <v>0</v>
      </c>
      <c r="R6185" s="1">
        <v>0.1</v>
      </c>
      <c r="S6185" s="1">
        <v>0.4</v>
      </c>
      <c r="T6185" s="1">
        <v>0.4</v>
      </c>
      <c r="U6185" s="1">
        <v>40</v>
      </c>
      <c r="X6185" s="1">
        <v>1.5</v>
      </c>
      <c r="Y6185" s="1"/>
      <c r="AC6185" s="38">
        <v>12</v>
      </c>
    </row>
    <row r="6186" spans="1:29" x14ac:dyDescent="0.25">
      <c r="A6186" s="22">
        <v>44537</v>
      </c>
      <c r="B6186" s="1">
        <v>0</v>
      </c>
      <c r="C6186" s="1">
        <v>0</v>
      </c>
      <c r="D6186" s="1">
        <v>4.4000000000000004</v>
      </c>
      <c r="F6186" s="1">
        <v>0</v>
      </c>
      <c r="G6186" s="1">
        <v>0.5</v>
      </c>
      <c r="H6186" s="1">
        <v>0</v>
      </c>
      <c r="I6186" s="1">
        <v>0</v>
      </c>
      <c r="J6186" s="1">
        <v>2.5</v>
      </c>
      <c r="K6186" s="1">
        <v>2.4</v>
      </c>
      <c r="L6186" s="1">
        <v>0</v>
      </c>
      <c r="M6186" s="1">
        <v>0.7</v>
      </c>
      <c r="N6186" s="38">
        <v>1</v>
      </c>
      <c r="Q6186" s="1">
        <v>2.4</v>
      </c>
      <c r="R6186" s="1">
        <v>1.7</v>
      </c>
      <c r="S6186" s="1">
        <v>0.4</v>
      </c>
      <c r="T6186" s="1">
        <v>1.6</v>
      </c>
      <c r="U6186" s="1">
        <v>0</v>
      </c>
      <c r="X6186" s="1">
        <v>0</v>
      </c>
      <c r="Y6186" s="1"/>
      <c r="AC6186" s="38">
        <v>0</v>
      </c>
    </row>
    <row r="6187" spans="1:29" x14ac:dyDescent="0.25">
      <c r="A6187" s="22">
        <v>44538</v>
      </c>
      <c r="B6187" s="1">
        <v>4</v>
      </c>
      <c r="C6187" s="1">
        <v>3.6</v>
      </c>
      <c r="D6187" s="1">
        <v>19.2</v>
      </c>
      <c r="F6187" s="1">
        <v>4.0999999999999996</v>
      </c>
      <c r="G6187" s="1">
        <v>5</v>
      </c>
      <c r="H6187" s="1">
        <v>4.8</v>
      </c>
      <c r="I6187" s="1">
        <v>3</v>
      </c>
      <c r="J6187" s="1">
        <v>2</v>
      </c>
      <c r="K6187" s="1">
        <v>4.3</v>
      </c>
      <c r="L6187" s="1">
        <v>1.4</v>
      </c>
      <c r="M6187" s="1">
        <v>15.3</v>
      </c>
      <c r="N6187" s="38">
        <v>11.399999999999999</v>
      </c>
      <c r="Q6187" s="1">
        <v>10.4</v>
      </c>
      <c r="R6187" s="1">
        <v>10.1</v>
      </c>
      <c r="S6187" s="1">
        <v>0.2</v>
      </c>
      <c r="T6187" s="1">
        <v>0.2</v>
      </c>
      <c r="U6187" s="1">
        <v>10</v>
      </c>
      <c r="X6187" s="1"/>
      <c r="Y6187" s="1"/>
      <c r="AC6187" s="38">
        <v>3</v>
      </c>
    </row>
    <row r="6188" spans="1:29" x14ac:dyDescent="0.25">
      <c r="A6188" s="22">
        <v>44539</v>
      </c>
      <c r="B6188" s="1">
        <v>0</v>
      </c>
      <c r="C6188" s="1">
        <v>13.2</v>
      </c>
      <c r="D6188" s="1">
        <v>0</v>
      </c>
      <c r="F6188" s="1">
        <v>13.3</v>
      </c>
      <c r="G6188" s="1">
        <v>12</v>
      </c>
      <c r="H6188" s="1">
        <v>15.1</v>
      </c>
      <c r="I6188" s="1">
        <v>5.9</v>
      </c>
      <c r="J6188" s="1">
        <v>26.1</v>
      </c>
      <c r="K6188" s="1">
        <v>30.3</v>
      </c>
      <c r="L6188" s="1">
        <v>1.8</v>
      </c>
      <c r="M6188" s="1">
        <v>0.3</v>
      </c>
      <c r="N6188" s="38">
        <v>25.999999999999996</v>
      </c>
      <c r="Q6188" s="1">
        <v>0</v>
      </c>
      <c r="R6188" s="1">
        <v>0.1</v>
      </c>
      <c r="S6188" s="1">
        <v>1.4</v>
      </c>
      <c r="T6188" s="1">
        <v>1.4</v>
      </c>
      <c r="U6188" s="1">
        <v>20</v>
      </c>
      <c r="X6188" s="1">
        <v>0.4</v>
      </c>
      <c r="Y6188" s="1"/>
      <c r="AC6188" s="38">
        <v>2</v>
      </c>
    </row>
    <row r="6189" spans="1:29" x14ac:dyDescent="0.25">
      <c r="A6189" s="22">
        <v>44540</v>
      </c>
      <c r="B6189" s="1">
        <v>0</v>
      </c>
      <c r="C6189" s="1">
        <v>4.8</v>
      </c>
      <c r="D6189" s="1">
        <v>0</v>
      </c>
      <c r="F6189" s="1">
        <v>0</v>
      </c>
      <c r="G6189" s="1">
        <v>0.5</v>
      </c>
      <c r="H6189" s="1">
        <v>0</v>
      </c>
      <c r="I6189" s="1">
        <v>0</v>
      </c>
      <c r="J6189" s="1">
        <v>1.4</v>
      </c>
      <c r="K6189" s="1">
        <v>1</v>
      </c>
      <c r="L6189" s="1">
        <v>0</v>
      </c>
      <c r="M6189" s="1">
        <v>0</v>
      </c>
      <c r="N6189" s="38">
        <v>0</v>
      </c>
      <c r="Q6189" s="1">
        <v>0</v>
      </c>
      <c r="R6189" s="1">
        <v>0</v>
      </c>
      <c r="S6189" s="1">
        <v>0</v>
      </c>
      <c r="T6189" s="1">
        <v>0</v>
      </c>
      <c r="U6189" s="1">
        <v>0</v>
      </c>
      <c r="X6189" s="1">
        <v>0</v>
      </c>
      <c r="Y6189" s="1"/>
      <c r="AC6189" s="38">
        <v>0</v>
      </c>
    </row>
    <row r="6190" spans="1:29" x14ac:dyDescent="0.25">
      <c r="A6190" s="22">
        <v>44541</v>
      </c>
      <c r="B6190" s="1">
        <v>0</v>
      </c>
      <c r="C6190" s="1">
        <v>0</v>
      </c>
      <c r="D6190" s="1">
        <v>18.8</v>
      </c>
      <c r="F6190" s="1">
        <v>0</v>
      </c>
      <c r="G6190" s="1">
        <v>0</v>
      </c>
      <c r="H6190" s="1">
        <v>0</v>
      </c>
      <c r="I6190" s="1">
        <v>3.2</v>
      </c>
      <c r="J6190" s="1">
        <v>0</v>
      </c>
      <c r="K6190" s="1">
        <v>0</v>
      </c>
      <c r="L6190" s="1">
        <v>0</v>
      </c>
      <c r="M6190" s="1">
        <v>12.7</v>
      </c>
      <c r="N6190" s="38">
        <v>0.2</v>
      </c>
      <c r="Q6190" s="1">
        <v>12.1</v>
      </c>
      <c r="R6190" s="1">
        <v>10.1</v>
      </c>
      <c r="S6190" s="1">
        <v>0</v>
      </c>
      <c r="T6190" s="1">
        <v>0</v>
      </c>
      <c r="U6190" s="1">
        <v>2</v>
      </c>
      <c r="X6190" s="1">
        <v>120</v>
      </c>
      <c r="Y6190" s="1"/>
      <c r="AC6190" s="38">
        <v>0</v>
      </c>
    </row>
    <row r="6191" spans="1:29" x14ac:dyDescent="0.25">
      <c r="A6191" s="22">
        <v>44542</v>
      </c>
      <c r="B6191" s="1">
        <v>0</v>
      </c>
      <c r="C6191" s="1">
        <v>8.8000000000000007</v>
      </c>
      <c r="D6191" s="1">
        <v>17.600000000000001</v>
      </c>
      <c r="F6191" s="1">
        <v>7.3</v>
      </c>
      <c r="G6191" s="1">
        <v>14.2</v>
      </c>
      <c r="H6191" s="1">
        <v>9.1999999999999993</v>
      </c>
      <c r="I6191" s="1">
        <v>12.8</v>
      </c>
      <c r="J6191" s="1">
        <v>13.8</v>
      </c>
      <c r="K6191" s="1">
        <v>7.2</v>
      </c>
      <c r="L6191" s="1">
        <v>32.6</v>
      </c>
      <c r="M6191" s="1">
        <v>68.8</v>
      </c>
      <c r="N6191" s="38">
        <v>35.800000000000011</v>
      </c>
      <c r="Q6191" s="1">
        <v>49.2</v>
      </c>
      <c r="R6191" s="1">
        <v>42.9</v>
      </c>
      <c r="S6191" s="1">
        <v>3.2</v>
      </c>
      <c r="T6191" s="1">
        <v>0.8</v>
      </c>
      <c r="U6191" s="1">
        <v>15</v>
      </c>
      <c r="X6191" s="1">
        <v>60</v>
      </c>
      <c r="Y6191" s="1"/>
      <c r="AC6191" s="38">
        <v>24</v>
      </c>
    </row>
    <row r="6192" spans="1:29" x14ac:dyDescent="0.25">
      <c r="A6192" s="22">
        <v>44543</v>
      </c>
      <c r="B6192" s="1">
        <v>104</v>
      </c>
      <c r="C6192" s="1">
        <v>37.6</v>
      </c>
      <c r="D6192" s="1">
        <v>43</v>
      </c>
      <c r="F6192" s="1">
        <v>54.1</v>
      </c>
      <c r="G6192" s="1">
        <v>64.5</v>
      </c>
      <c r="H6192" s="1">
        <v>72.099999999999994</v>
      </c>
      <c r="I6192" s="1">
        <v>51</v>
      </c>
      <c r="J6192" s="1">
        <v>72.8</v>
      </c>
      <c r="K6192" s="1">
        <v>48</v>
      </c>
      <c r="L6192" s="1">
        <v>29.8</v>
      </c>
      <c r="M6192" s="1">
        <v>44.1</v>
      </c>
      <c r="N6192" s="38">
        <v>85.800000000000082</v>
      </c>
      <c r="Q6192" s="1">
        <v>48</v>
      </c>
      <c r="R6192" s="1">
        <v>38.299999999999997</v>
      </c>
      <c r="S6192" s="1">
        <v>34.6</v>
      </c>
      <c r="T6192" s="1">
        <v>68.8</v>
      </c>
      <c r="U6192" s="1">
        <v>56</v>
      </c>
      <c r="X6192" s="1">
        <v>60</v>
      </c>
      <c r="Y6192" s="1"/>
      <c r="AC6192" s="38">
        <v>34</v>
      </c>
    </row>
    <row r="6193" spans="1:29" x14ac:dyDescent="0.25">
      <c r="A6193" s="22">
        <v>44544</v>
      </c>
      <c r="B6193" s="1">
        <v>34</v>
      </c>
      <c r="C6193" s="1">
        <v>40</v>
      </c>
      <c r="D6193" s="1">
        <v>62.8</v>
      </c>
      <c r="F6193" s="1">
        <v>36.1</v>
      </c>
      <c r="G6193" s="1">
        <v>65.5</v>
      </c>
      <c r="H6193" s="1">
        <v>39.200000000000003</v>
      </c>
      <c r="I6193" s="1">
        <v>37.5</v>
      </c>
      <c r="J6193" s="1">
        <v>40.200000000000003</v>
      </c>
      <c r="K6193" s="1">
        <v>51.6</v>
      </c>
      <c r="L6193" s="1">
        <v>13.8</v>
      </c>
      <c r="M6193" s="1">
        <v>4.7</v>
      </c>
      <c r="N6193" s="38">
        <v>36.6</v>
      </c>
      <c r="Q6193" s="1">
        <v>5</v>
      </c>
      <c r="R6193" s="1">
        <v>2</v>
      </c>
      <c r="S6193" s="1">
        <v>0</v>
      </c>
      <c r="T6193" s="1">
        <v>0.2</v>
      </c>
      <c r="U6193" s="1">
        <v>70</v>
      </c>
      <c r="X6193" s="1">
        <v>0</v>
      </c>
      <c r="Y6193" s="1"/>
      <c r="AC6193" s="38">
        <v>3</v>
      </c>
    </row>
    <row r="6194" spans="1:29" x14ac:dyDescent="0.25">
      <c r="A6194" s="22">
        <v>44545</v>
      </c>
      <c r="B6194" s="1">
        <v>11</v>
      </c>
      <c r="C6194" s="1">
        <v>53.4</v>
      </c>
      <c r="D6194" s="1">
        <v>19.600000000000001</v>
      </c>
      <c r="F6194" s="1">
        <v>4</v>
      </c>
      <c r="G6194" s="1">
        <v>9</v>
      </c>
      <c r="H6194" s="1">
        <v>4</v>
      </c>
      <c r="I6194" s="1">
        <v>10.8</v>
      </c>
      <c r="J6194" s="1">
        <v>16.7</v>
      </c>
      <c r="K6194" s="1">
        <v>30</v>
      </c>
      <c r="L6194" s="1">
        <v>0.6</v>
      </c>
      <c r="M6194" s="1">
        <v>0.5</v>
      </c>
      <c r="N6194" s="38">
        <v>11.199999999999998</v>
      </c>
      <c r="Q6194" s="1">
        <v>0.1</v>
      </c>
      <c r="R6194" s="1">
        <v>0</v>
      </c>
      <c r="S6194" s="1">
        <v>1.8</v>
      </c>
      <c r="T6194" s="1">
        <v>1.2</v>
      </c>
      <c r="U6194" s="1">
        <v>18</v>
      </c>
      <c r="X6194" s="1">
        <v>34</v>
      </c>
      <c r="Y6194" s="1"/>
      <c r="AC6194" s="38">
        <v>3</v>
      </c>
    </row>
    <row r="6195" spans="1:29" x14ac:dyDescent="0.25">
      <c r="A6195" s="22">
        <v>44546</v>
      </c>
      <c r="B6195" s="1">
        <v>0</v>
      </c>
      <c r="C6195" s="1">
        <v>2</v>
      </c>
      <c r="D6195" s="1">
        <v>1.2</v>
      </c>
      <c r="F6195" s="1">
        <v>0</v>
      </c>
      <c r="G6195" s="1">
        <v>0</v>
      </c>
      <c r="H6195" s="1">
        <v>0</v>
      </c>
      <c r="I6195" s="1">
        <v>0</v>
      </c>
      <c r="J6195" s="1">
        <v>1.4</v>
      </c>
      <c r="K6195" s="1">
        <v>0.5</v>
      </c>
      <c r="L6195" s="1">
        <v>2</v>
      </c>
      <c r="M6195" s="1">
        <v>4</v>
      </c>
      <c r="N6195" s="38">
        <v>0.8</v>
      </c>
      <c r="Q6195" s="1">
        <v>5.5</v>
      </c>
      <c r="R6195" s="1">
        <v>4.0999999999999996</v>
      </c>
      <c r="S6195" s="1">
        <v>0.4</v>
      </c>
      <c r="T6195" s="1">
        <v>0</v>
      </c>
      <c r="U6195" s="1">
        <v>0</v>
      </c>
      <c r="X6195" s="1">
        <v>0</v>
      </c>
      <c r="Y6195" s="1"/>
      <c r="AC6195" s="38">
        <v>1</v>
      </c>
    </row>
    <row r="6196" spans="1:29" x14ac:dyDescent="0.25">
      <c r="A6196" s="22">
        <v>44547</v>
      </c>
      <c r="B6196" s="1">
        <v>8</v>
      </c>
      <c r="C6196" s="1">
        <v>8.4</v>
      </c>
      <c r="D6196" s="1">
        <v>9.6</v>
      </c>
      <c r="F6196" s="1">
        <v>4.3</v>
      </c>
      <c r="G6196" s="1">
        <v>14.5</v>
      </c>
      <c r="H6196" s="1">
        <v>2.1</v>
      </c>
      <c r="I6196" s="1">
        <v>3.8</v>
      </c>
      <c r="J6196" s="1">
        <v>2.4</v>
      </c>
      <c r="K6196" s="1">
        <v>2.7</v>
      </c>
      <c r="L6196" s="1">
        <v>4</v>
      </c>
      <c r="M6196" s="1">
        <v>10.3</v>
      </c>
      <c r="N6196" s="38">
        <v>13.999999999999998</v>
      </c>
      <c r="Q6196" s="1">
        <v>9.9</v>
      </c>
      <c r="R6196" s="1">
        <v>10</v>
      </c>
      <c r="S6196" s="1">
        <v>2.8</v>
      </c>
      <c r="T6196" s="1">
        <v>0.4</v>
      </c>
      <c r="U6196" s="1">
        <v>10</v>
      </c>
      <c r="X6196" s="1">
        <v>0</v>
      </c>
      <c r="Y6196" s="1"/>
      <c r="AC6196" s="38">
        <v>0</v>
      </c>
    </row>
    <row r="6197" spans="1:29" x14ac:dyDescent="0.25">
      <c r="A6197" s="22">
        <v>44548</v>
      </c>
      <c r="B6197" s="1">
        <v>0</v>
      </c>
      <c r="C6197" s="1">
        <v>4.8</v>
      </c>
      <c r="D6197" s="1">
        <v>14</v>
      </c>
      <c r="F6197" s="1">
        <v>5.3</v>
      </c>
      <c r="G6197" s="1">
        <v>0</v>
      </c>
      <c r="H6197" s="1">
        <v>6.2</v>
      </c>
      <c r="I6197" s="1">
        <v>8.4</v>
      </c>
      <c r="J6197" s="1">
        <v>20</v>
      </c>
      <c r="K6197" s="1">
        <v>0</v>
      </c>
      <c r="L6197" s="1">
        <v>0.4</v>
      </c>
      <c r="M6197" s="1">
        <v>0.2</v>
      </c>
      <c r="N6197" s="38">
        <v>18.999999999999993</v>
      </c>
      <c r="Q6197" s="1">
        <v>7.6</v>
      </c>
      <c r="R6197" s="1">
        <v>0</v>
      </c>
      <c r="S6197" s="1">
        <v>0.8</v>
      </c>
      <c r="T6197" s="1">
        <v>0.2</v>
      </c>
      <c r="U6197" s="1">
        <v>13</v>
      </c>
      <c r="X6197" s="1">
        <v>0</v>
      </c>
      <c r="Y6197" s="1"/>
      <c r="AC6197" s="38">
        <v>1</v>
      </c>
    </row>
    <row r="6198" spans="1:29" x14ac:dyDescent="0.25">
      <c r="A6198" s="22">
        <v>44549</v>
      </c>
      <c r="B6198" s="1">
        <v>0</v>
      </c>
      <c r="C6198" s="1">
        <v>0.8</v>
      </c>
      <c r="D6198" s="1">
        <v>0</v>
      </c>
      <c r="F6198" s="1">
        <v>0</v>
      </c>
      <c r="G6198" s="1">
        <v>0</v>
      </c>
      <c r="H6198" s="1">
        <v>0</v>
      </c>
      <c r="I6198" s="1">
        <v>0.8</v>
      </c>
      <c r="J6198" s="1">
        <v>2</v>
      </c>
      <c r="K6198" s="1">
        <v>0</v>
      </c>
      <c r="L6198" s="1">
        <v>0</v>
      </c>
      <c r="M6198" s="1">
        <v>0.5</v>
      </c>
      <c r="N6198" s="38">
        <v>1.5999999999999999</v>
      </c>
      <c r="Q6198" s="1">
        <v>0.2</v>
      </c>
      <c r="R6198" s="1">
        <v>0</v>
      </c>
      <c r="S6198" s="1">
        <v>0</v>
      </c>
      <c r="T6198" s="1">
        <v>0</v>
      </c>
      <c r="U6198" s="1">
        <v>0</v>
      </c>
      <c r="X6198" s="1">
        <v>0</v>
      </c>
      <c r="Y6198" s="1"/>
      <c r="AC6198" s="38">
        <v>0</v>
      </c>
    </row>
    <row r="6199" spans="1:29" x14ac:dyDescent="0.25">
      <c r="A6199" s="22">
        <v>44550</v>
      </c>
      <c r="B6199" s="1">
        <v>6</v>
      </c>
      <c r="C6199" s="1">
        <v>1</v>
      </c>
      <c r="D6199" s="1">
        <v>0.8</v>
      </c>
      <c r="F6199" s="1">
        <v>0</v>
      </c>
      <c r="G6199" s="1">
        <v>0</v>
      </c>
      <c r="H6199" s="1">
        <v>0.1</v>
      </c>
      <c r="I6199" s="1">
        <v>0</v>
      </c>
      <c r="J6199" s="1">
        <v>0</v>
      </c>
      <c r="K6199" s="1">
        <v>0.2</v>
      </c>
      <c r="L6199" s="1">
        <v>0</v>
      </c>
      <c r="M6199" s="1">
        <v>0</v>
      </c>
      <c r="N6199" s="38">
        <v>0</v>
      </c>
      <c r="Q6199" s="1">
        <v>0</v>
      </c>
      <c r="R6199" s="1">
        <v>0.1</v>
      </c>
      <c r="S6199" s="1">
        <v>0</v>
      </c>
      <c r="T6199" s="1">
        <v>0</v>
      </c>
      <c r="U6199" s="1">
        <v>0</v>
      </c>
      <c r="X6199" s="1">
        <v>0</v>
      </c>
      <c r="Y6199" s="1"/>
      <c r="AC6199" s="38">
        <v>0</v>
      </c>
    </row>
    <row r="6200" spans="1:29" x14ac:dyDescent="0.25">
      <c r="A6200" s="22">
        <v>44551</v>
      </c>
      <c r="B6200" s="1">
        <v>3</v>
      </c>
      <c r="C6200" s="1">
        <v>0</v>
      </c>
      <c r="D6200" s="1">
        <v>1</v>
      </c>
      <c r="F6200" s="1">
        <v>0</v>
      </c>
      <c r="G6200" s="1">
        <v>4.5</v>
      </c>
      <c r="H6200" s="1">
        <v>0</v>
      </c>
      <c r="I6200" s="1">
        <v>0</v>
      </c>
      <c r="J6200" s="1">
        <v>1.2</v>
      </c>
      <c r="K6200" s="1">
        <v>0</v>
      </c>
      <c r="L6200" s="1">
        <v>0</v>
      </c>
      <c r="M6200" s="1">
        <v>4.4000000000000004</v>
      </c>
      <c r="N6200" s="38">
        <v>4.8000000000000007</v>
      </c>
      <c r="Q6200" s="1">
        <v>3</v>
      </c>
      <c r="R6200" s="1">
        <v>2</v>
      </c>
      <c r="S6200" s="1">
        <v>1.4</v>
      </c>
      <c r="T6200" s="1">
        <v>0.4</v>
      </c>
      <c r="U6200" s="1">
        <v>0</v>
      </c>
      <c r="X6200" s="1">
        <v>0</v>
      </c>
      <c r="Y6200" s="1"/>
      <c r="AC6200" s="38">
        <v>0</v>
      </c>
    </row>
    <row r="6201" spans="1:29" x14ac:dyDescent="0.25">
      <c r="A6201" s="22">
        <v>44552</v>
      </c>
      <c r="B6201" s="1">
        <v>6</v>
      </c>
      <c r="C6201" s="1">
        <v>9.6</v>
      </c>
      <c r="D6201" s="1">
        <v>9.6</v>
      </c>
      <c r="F6201" s="1">
        <v>4.2</v>
      </c>
      <c r="G6201" s="1">
        <v>0</v>
      </c>
      <c r="H6201" s="1">
        <v>4.9000000000000004</v>
      </c>
      <c r="I6201" s="1">
        <v>1.6</v>
      </c>
      <c r="J6201" s="1">
        <v>0.2</v>
      </c>
      <c r="K6201" s="1">
        <v>4</v>
      </c>
      <c r="L6201" s="1">
        <v>0</v>
      </c>
      <c r="M6201" s="1">
        <v>0.5</v>
      </c>
      <c r="N6201" s="38">
        <v>1.2</v>
      </c>
      <c r="Q6201" s="1">
        <v>0.1</v>
      </c>
      <c r="R6201" s="1">
        <v>0</v>
      </c>
      <c r="S6201" s="1">
        <v>0</v>
      </c>
      <c r="T6201" s="1">
        <v>0</v>
      </c>
      <c r="U6201" s="1">
        <v>0</v>
      </c>
      <c r="X6201" s="1">
        <v>0</v>
      </c>
      <c r="Y6201" s="1"/>
      <c r="AC6201" s="38">
        <v>0</v>
      </c>
    </row>
    <row r="6202" spans="1:29" x14ac:dyDescent="0.25">
      <c r="A6202" s="22">
        <v>44553</v>
      </c>
      <c r="B6202" s="1">
        <v>0</v>
      </c>
      <c r="C6202" s="1">
        <v>1</v>
      </c>
      <c r="D6202" s="1">
        <v>0.4</v>
      </c>
      <c r="F6202" s="1">
        <v>0.2</v>
      </c>
      <c r="G6202" s="1">
        <v>0.1</v>
      </c>
      <c r="H6202" s="1">
        <v>0</v>
      </c>
      <c r="I6202" s="1">
        <v>0.2</v>
      </c>
      <c r="J6202" s="1">
        <v>1.2</v>
      </c>
      <c r="K6202" s="1">
        <v>0.2</v>
      </c>
      <c r="L6202" s="1">
        <v>1.8</v>
      </c>
      <c r="M6202" s="1">
        <v>6.8</v>
      </c>
      <c r="N6202" s="38">
        <v>2.2000000000000002</v>
      </c>
      <c r="Q6202" s="1">
        <v>2.5</v>
      </c>
      <c r="R6202" s="1">
        <v>6.2</v>
      </c>
      <c r="S6202" s="1">
        <v>0</v>
      </c>
      <c r="T6202" s="1">
        <v>0.6</v>
      </c>
      <c r="U6202" s="1">
        <v>0</v>
      </c>
      <c r="X6202" s="1">
        <v>0</v>
      </c>
      <c r="Y6202" s="1"/>
      <c r="AC6202" s="38">
        <v>0</v>
      </c>
    </row>
    <row r="6203" spans="1:29" x14ac:dyDescent="0.25">
      <c r="A6203" s="22">
        <v>44554</v>
      </c>
      <c r="B6203" s="1">
        <v>12</v>
      </c>
      <c r="C6203" s="1">
        <v>5.6</v>
      </c>
      <c r="D6203" s="1">
        <v>8</v>
      </c>
      <c r="F6203" s="1">
        <v>13.2</v>
      </c>
      <c r="G6203" s="1">
        <v>5.9</v>
      </c>
      <c r="H6203" s="1">
        <v>10</v>
      </c>
      <c r="I6203" s="1">
        <v>4.0999999999999996</v>
      </c>
      <c r="J6203" s="1">
        <v>9.1999999999999993</v>
      </c>
      <c r="K6203" s="1">
        <v>6</v>
      </c>
      <c r="L6203" s="1">
        <v>4</v>
      </c>
      <c r="M6203" s="1">
        <v>24.8</v>
      </c>
      <c r="N6203" s="38">
        <v>25.199999999999985</v>
      </c>
      <c r="Q6203" s="1">
        <v>16.5</v>
      </c>
      <c r="R6203" s="1">
        <v>0</v>
      </c>
      <c r="S6203" s="1">
        <v>1.2</v>
      </c>
      <c r="T6203" s="1">
        <v>1</v>
      </c>
      <c r="U6203" s="1">
        <v>0</v>
      </c>
      <c r="X6203" s="1">
        <v>1.2</v>
      </c>
      <c r="Y6203" s="1"/>
      <c r="AC6203" s="38">
        <v>9</v>
      </c>
    </row>
    <row r="6204" spans="1:29" x14ac:dyDescent="0.25">
      <c r="A6204" s="22">
        <v>44555</v>
      </c>
      <c r="B6204" s="1">
        <v>0</v>
      </c>
      <c r="C6204" s="1">
        <v>9.8000000000000007</v>
      </c>
      <c r="D6204" s="1">
        <v>25</v>
      </c>
      <c r="F6204" s="1">
        <v>16</v>
      </c>
      <c r="G6204" s="1">
        <v>25.5</v>
      </c>
      <c r="H6204" s="1">
        <v>22.4</v>
      </c>
      <c r="I6204" s="1">
        <v>14.2</v>
      </c>
      <c r="J6204" s="1">
        <v>20</v>
      </c>
      <c r="K6204" s="1">
        <v>9</v>
      </c>
      <c r="L6204" s="1">
        <v>0.2</v>
      </c>
      <c r="M6204" s="1">
        <v>0</v>
      </c>
      <c r="N6204" s="38">
        <v>12.199999999999996</v>
      </c>
      <c r="Q6204" s="1">
        <v>0</v>
      </c>
      <c r="R6204" s="1">
        <v>0.1</v>
      </c>
      <c r="S6204" s="1">
        <v>0</v>
      </c>
      <c r="T6204" s="1">
        <v>0.2</v>
      </c>
      <c r="U6204" s="1">
        <v>0</v>
      </c>
      <c r="X6204" s="1">
        <v>8.4</v>
      </c>
      <c r="Y6204" s="1"/>
      <c r="AC6204" s="38">
        <v>0</v>
      </c>
    </row>
    <row r="6205" spans="1:29" x14ac:dyDescent="0.25">
      <c r="A6205" s="22">
        <v>44556</v>
      </c>
      <c r="B6205" s="1">
        <v>0</v>
      </c>
      <c r="C6205" s="1">
        <v>0</v>
      </c>
      <c r="D6205" s="1">
        <v>0</v>
      </c>
      <c r="F6205" s="1">
        <v>0</v>
      </c>
      <c r="G6205" s="1">
        <v>0</v>
      </c>
      <c r="H6205" s="1">
        <v>0</v>
      </c>
      <c r="I6205" s="1">
        <v>0.4</v>
      </c>
      <c r="J6205" s="1">
        <v>0</v>
      </c>
      <c r="K6205" s="1">
        <v>0</v>
      </c>
      <c r="L6205" s="1">
        <v>0</v>
      </c>
      <c r="M6205" s="1">
        <v>0</v>
      </c>
      <c r="N6205" s="38">
        <v>0</v>
      </c>
      <c r="Q6205" s="1">
        <v>0</v>
      </c>
      <c r="R6205" s="1">
        <v>0</v>
      </c>
      <c r="S6205" s="1">
        <v>0</v>
      </c>
      <c r="T6205" s="1">
        <v>0</v>
      </c>
      <c r="U6205" s="1">
        <v>0</v>
      </c>
      <c r="X6205" s="1">
        <v>0.2</v>
      </c>
      <c r="Y6205" s="1"/>
      <c r="AC6205" s="38">
        <v>0</v>
      </c>
    </row>
    <row r="6206" spans="1:29" x14ac:dyDescent="0.25">
      <c r="A6206" s="22">
        <v>44557</v>
      </c>
      <c r="B6206" s="1">
        <v>0</v>
      </c>
      <c r="C6206" s="1">
        <v>0</v>
      </c>
      <c r="D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38">
        <v>0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  <c r="X6206" s="1">
        <v>0</v>
      </c>
      <c r="Y6206" s="1"/>
      <c r="AC6206" s="38">
        <v>0</v>
      </c>
    </row>
    <row r="6207" spans="1:29" x14ac:dyDescent="0.25">
      <c r="A6207" s="22">
        <v>44558</v>
      </c>
      <c r="B6207" s="1">
        <v>0</v>
      </c>
      <c r="C6207" s="1">
        <v>0</v>
      </c>
      <c r="D6207" s="1">
        <v>0</v>
      </c>
      <c r="F6207" s="1">
        <v>0</v>
      </c>
      <c r="G6207" s="1">
        <v>0.5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38">
        <v>0</v>
      </c>
      <c r="Q6207" s="1">
        <v>0</v>
      </c>
      <c r="R6207" s="1">
        <v>0</v>
      </c>
      <c r="S6207" s="1">
        <v>1.8</v>
      </c>
      <c r="T6207" s="1">
        <v>0</v>
      </c>
      <c r="U6207" s="1">
        <v>56</v>
      </c>
      <c r="X6207" s="1">
        <v>1.6</v>
      </c>
      <c r="Y6207" s="1"/>
      <c r="AC6207" s="38">
        <v>0</v>
      </c>
    </row>
    <row r="6208" spans="1:29" x14ac:dyDescent="0.25">
      <c r="A6208" s="22">
        <v>44559</v>
      </c>
      <c r="B6208" s="1">
        <v>0</v>
      </c>
      <c r="C6208" s="1">
        <v>1.2</v>
      </c>
      <c r="D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38">
        <v>0</v>
      </c>
      <c r="Q6208" s="1">
        <v>0</v>
      </c>
      <c r="R6208" s="1">
        <v>0</v>
      </c>
      <c r="S6208" s="1">
        <v>0</v>
      </c>
      <c r="T6208" s="1">
        <v>0</v>
      </c>
      <c r="U6208" s="1">
        <v>0</v>
      </c>
      <c r="X6208" s="1">
        <v>0</v>
      </c>
      <c r="Y6208" s="1"/>
      <c r="AC6208" s="38">
        <v>0</v>
      </c>
    </row>
    <row r="6209" spans="1:29" x14ac:dyDescent="0.25">
      <c r="A6209" s="22">
        <v>44560</v>
      </c>
      <c r="B6209" s="1">
        <v>0</v>
      </c>
      <c r="C6209" s="1">
        <v>0.4</v>
      </c>
      <c r="D6209" s="1">
        <v>1.2</v>
      </c>
      <c r="F6209" s="1">
        <v>0</v>
      </c>
      <c r="G6209" s="1">
        <v>0</v>
      </c>
      <c r="H6209" s="1">
        <v>0</v>
      </c>
      <c r="I6209" s="1">
        <v>0</v>
      </c>
      <c r="J6209" s="1">
        <v>1</v>
      </c>
      <c r="K6209" s="1">
        <v>0</v>
      </c>
      <c r="L6209" s="1">
        <v>0</v>
      </c>
      <c r="M6209" s="1">
        <v>0</v>
      </c>
      <c r="N6209" s="38">
        <v>0</v>
      </c>
      <c r="Q6209" s="1">
        <v>6.8</v>
      </c>
      <c r="R6209" s="1">
        <v>4.2</v>
      </c>
      <c r="S6209" s="1">
        <v>0</v>
      </c>
      <c r="T6209" s="1">
        <v>0.2</v>
      </c>
      <c r="U6209" s="1">
        <v>0</v>
      </c>
      <c r="X6209" s="1">
        <v>0</v>
      </c>
      <c r="Y6209" s="1"/>
      <c r="AC6209" s="38">
        <v>0</v>
      </c>
    </row>
    <row r="6210" spans="1:29" x14ac:dyDescent="0.25">
      <c r="A6210" s="22">
        <v>44561</v>
      </c>
      <c r="B6210" s="1">
        <v>18</v>
      </c>
      <c r="C6210" s="1">
        <v>3.2</v>
      </c>
      <c r="D6210" s="1">
        <v>2</v>
      </c>
      <c r="F6210" s="1">
        <v>1.9</v>
      </c>
      <c r="G6210" s="1">
        <v>3.1</v>
      </c>
      <c r="H6210" s="1">
        <v>3.2</v>
      </c>
      <c r="I6210" s="1">
        <v>3.8</v>
      </c>
      <c r="J6210" s="1">
        <v>3</v>
      </c>
      <c r="K6210" s="1">
        <v>3.2</v>
      </c>
      <c r="L6210" s="1">
        <v>1.6</v>
      </c>
      <c r="M6210" s="1">
        <v>2.6</v>
      </c>
      <c r="N6210" s="38">
        <v>6.8000000000000016</v>
      </c>
      <c r="Q6210" s="1">
        <v>1.5</v>
      </c>
      <c r="R6210" s="1">
        <v>10.1</v>
      </c>
      <c r="S6210" s="1">
        <v>1.4</v>
      </c>
      <c r="T6210" s="1">
        <v>0.6</v>
      </c>
      <c r="U6210" s="1">
        <v>0</v>
      </c>
      <c r="X6210" s="1">
        <v>3.2</v>
      </c>
      <c r="Y6210" s="1"/>
      <c r="AC6210" s="38">
        <v>8</v>
      </c>
    </row>
    <row r="6211" spans="1:29" x14ac:dyDescent="0.25">
      <c r="A6211" s="22">
        <v>44562</v>
      </c>
      <c r="B6211" s="6">
        <v>0</v>
      </c>
      <c r="C6211" s="6">
        <v>2</v>
      </c>
      <c r="D6211" s="6">
        <v>1</v>
      </c>
      <c r="E6211" s="7"/>
      <c r="F6211" s="6">
        <v>4.2</v>
      </c>
      <c r="G6211" s="6">
        <v>10.5</v>
      </c>
      <c r="H6211" s="6">
        <v>5.4</v>
      </c>
      <c r="I6211" s="6">
        <v>9.1999999999999993</v>
      </c>
      <c r="J6211" s="6">
        <v>0.8</v>
      </c>
      <c r="K6211" s="6">
        <v>3.6</v>
      </c>
      <c r="L6211" s="6">
        <v>2.032</v>
      </c>
      <c r="M6211" s="6"/>
      <c r="N6211" s="6">
        <v>11.8</v>
      </c>
      <c r="O6211" s="7"/>
      <c r="P6211" s="7"/>
      <c r="Q6211" s="6">
        <v>4.2</v>
      </c>
      <c r="R6211" s="6">
        <v>0</v>
      </c>
      <c r="S6211" s="6">
        <v>6</v>
      </c>
      <c r="T6211" s="7">
        <v>3.8</v>
      </c>
      <c r="U6211" s="6"/>
      <c r="V6211" s="7"/>
      <c r="W6211" s="7">
        <v>0</v>
      </c>
      <c r="X6211" s="6"/>
      <c r="Y6211" s="7">
        <v>0</v>
      </c>
      <c r="Z6211" s="7"/>
      <c r="AA6211" s="9"/>
      <c r="AC6211" s="38">
        <v>4</v>
      </c>
    </row>
    <row r="6212" spans="1:29" x14ac:dyDescent="0.25">
      <c r="A6212" s="22">
        <v>44563</v>
      </c>
      <c r="B6212" s="6">
        <v>0</v>
      </c>
      <c r="C6212" s="6">
        <v>0</v>
      </c>
      <c r="D6212" s="6">
        <v>15.2</v>
      </c>
      <c r="E6212" s="7"/>
      <c r="F6212" s="6">
        <v>2.4</v>
      </c>
      <c r="G6212" s="6">
        <v>5.0999999999999996</v>
      </c>
      <c r="H6212" s="6">
        <v>1.5</v>
      </c>
      <c r="I6212" s="6">
        <v>4.8</v>
      </c>
      <c r="J6212" s="6">
        <v>14.2</v>
      </c>
      <c r="K6212" s="6">
        <v>2.5</v>
      </c>
      <c r="L6212" s="6">
        <v>7.3659999999999988</v>
      </c>
      <c r="M6212" s="6"/>
      <c r="N6212" s="6">
        <v>0.4</v>
      </c>
      <c r="O6212" s="7"/>
      <c r="P6212" s="7"/>
      <c r="Q6212" s="6">
        <v>0</v>
      </c>
      <c r="R6212" s="6">
        <v>0</v>
      </c>
      <c r="S6212" s="6">
        <v>0</v>
      </c>
      <c r="T6212" s="7">
        <v>0</v>
      </c>
      <c r="U6212" s="6"/>
      <c r="V6212" s="7"/>
      <c r="W6212" s="7">
        <v>0</v>
      </c>
      <c r="X6212" s="6"/>
      <c r="Y6212" s="7">
        <v>0</v>
      </c>
      <c r="Z6212" s="7"/>
      <c r="AA6212" s="9"/>
      <c r="AC6212" s="38">
        <v>0</v>
      </c>
    </row>
    <row r="6213" spans="1:29" x14ac:dyDescent="0.25">
      <c r="A6213" s="22">
        <v>44564</v>
      </c>
      <c r="B6213" s="6">
        <v>0</v>
      </c>
      <c r="C6213" s="6">
        <v>14.8</v>
      </c>
      <c r="D6213" s="6">
        <v>1</v>
      </c>
      <c r="E6213" s="7"/>
      <c r="F6213" s="6">
        <v>1</v>
      </c>
      <c r="G6213" s="6">
        <v>1.1000000000000001</v>
      </c>
      <c r="H6213" s="6">
        <v>1.7</v>
      </c>
      <c r="I6213" s="6">
        <v>1</v>
      </c>
      <c r="J6213" s="6">
        <v>1</v>
      </c>
      <c r="K6213" s="6">
        <v>0.3</v>
      </c>
      <c r="L6213" s="6">
        <v>0</v>
      </c>
      <c r="M6213" s="6"/>
      <c r="N6213" s="6">
        <v>0.2</v>
      </c>
      <c r="O6213" s="7"/>
      <c r="P6213" s="7"/>
      <c r="Q6213" s="6">
        <v>0</v>
      </c>
      <c r="R6213" s="6">
        <v>0.1</v>
      </c>
      <c r="S6213" s="6">
        <v>0</v>
      </c>
      <c r="T6213" s="7">
        <v>0</v>
      </c>
      <c r="U6213" s="6"/>
      <c r="V6213" s="7"/>
      <c r="W6213" s="7">
        <v>0</v>
      </c>
      <c r="X6213" s="6"/>
      <c r="Y6213" s="7">
        <v>6</v>
      </c>
      <c r="Z6213" s="7"/>
      <c r="AA6213" s="9"/>
      <c r="AC6213" s="38">
        <v>2</v>
      </c>
    </row>
    <row r="6214" spans="1:29" x14ac:dyDescent="0.25">
      <c r="A6214" s="22">
        <v>44565</v>
      </c>
      <c r="B6214" s="6">
        <v>0</v>
      </c>
      <c r="C6214" s="6">
        <v>1.2</v>
      </c>
      <c r="D6214" s="6">
        <v>0</v>
      </c>
      <c r="E6214" s="7"/>
      <c r="F6214" s="6">
        <v>1</v>
      </c>
      <c r="G6214" s="6">
        <v>1.5</v>
      </c>
      <c r="H6214" s="6">
        <v>1.5</v>
      </c>
      <c r="I6214" s="6">
        <v>2.6</v>
      </c>
      <c r="J6214" s="6">
        <v>1.9</v>
      </c>
      <c r="K6214" s="6">
        <v>0.2</v>
      </c>
      <c r="L6214" s="6">
        <v>0</v>
      </c>
      <c r="M6214" s="6"/>
      <c r="N6214" s="6">
        <v>2.6</v>
      </c>
      <c r="O6214" s="7"/>
      <c r="P6214" s="7"/>
      <c r="Q6214" s="6">
        <v>3.2</v>
      </c>
      <c r="R6214" s="6">
        <v>8.8000000000000007</v>
      </c>
      <c r="S6214" s="6">
        <v>0</v>
      </c>
      <c r="T6214" s="7">
        <v>0</v>
      </c>
      <c r="U6214" s="6"/>
      <c r="V6214" s="7"/>
      <c r="W6214" s="7">
        <v>0</v>
      </c>
      <c r="X6214" s="6"/>
      <c r="Y6214" s="7">
        <v>0</v>
      </c>
      <c r="Z6214" s="7"/>
      <c r="AA6214" s="9"/>
      <c r="AC6214" s="38">
        <v>6</v>
      </c>
    </row>
    <row r="6215" spans="1:29" x14ac:dyDescent="0.25">
      <c r="A6215" s="22">
        <v>44566</v>
      </c>
      <c r="B6215" s="6">
        <v>0</v>
      </c>
      <c r="C6215" s="6">
        <v>6.8</v>
      </c>
      <c r="D6215" s="6">
        <v>16.2</v>
      </c>
      <c r="E6215" s="7"/>
      <c r="F6215" s="6">
        <v>8</v>
      </c>
      <c r="G6215" s="6">
        <v>7.5</v>
      </c>
      <c r="H6215" s="6">
        <v>9.1</v>
      </c>
      <c r="I6215" s="6">
        <v>5.2</v>
      </c>
      <c r="J6215" s="6">
        <v>0.8</v>
      </c>
      <c r="K6215" s="6">
        <v>10</v>
      </c>
      <c r="L6215" s="6">
        <v>6.6040000000000001</v>
      </c>
      <c r="M6215" s="6"/>
      <c r="N6215" s="6">
        <v>9.4</v>
      </c>
      <c r="O6215" s="7"/>
      <c r="P6215" s="7"/>
      <c r="Q6215" s="6">
        <v>7.8</v>
      </c>
      <c r="R6215" s="6">
        <v>0</v>
      </c>
      <c r="S6215" s="6">
        <v>2.2000000000000002</v>
      </c>
      <c r="T6215" s="7">
        <v>3.2</v>
      </c>
      <c r="U6215" s="6"/>
      <c r="V6215" s="7"/>
      <c r="W6215" s="7">
        <v>20</v>
      </c>
      <c r="X6215" s="6"/>
      <c r="Y6215" s="7">
        <v>10</v>
      </c>
      <c r="Z6215" s="7"/>
      <c r="AA6215" s="9"/>
      <c r="AC6215" s="38">
        <v>4</v>
      </c>
    </row>
    <row r="6216" spans="1:29" x14ac:dyDescent="0.25">
      <c r="A6216" s="22">
        <v>44567</v>
      </c>
      <c r="B6216" s="6">
        <v>0</v>
      </c>
      <c r="C6216" s="6">
        <v>0</v>
      </c>
      <c r="D6216" s="6">
        <v>0</v>
      </c>
      <c r="E6216" s="7"/>
      <c r="F6216" s="6">
        <v>0</v>
      </c>
      <c r="G6216" s="6">
        <v>0.2</v>
      </c>
      <c r="H6216" s="6">
        <v>0</v>
      </c>
      <c r="I6216" s="6">
        <v>0.6</v>
      </c>
      <c r="J6216" s="6">
        <v>1.4</v>
      </c>
      <c r="K6216" s="6">
        <v>0.2</v>
      </c>
      <c r="L6216" s="6">
        <v>0</v>
      </c>
      <c r="M6216" s="6"/>
      <c r="N6216" s="6">
        <v>0</v>
      </c>
      <c r="O6216" s="7"/>
      <c r="P6216" s="7"/>
      <c r="Q6216" s="6">
        <v>0</v>
      </c>
      <c r="R6216" s="6">
        <v>0</v>
      </c>
      <c r="S6216" s="6">
        <v>0</v>
      </c>
      <c r="T6216" s="7">
        <v>0</v>
      </c>
      <c r="U6216" s="6"/>
      <c r="V6216" s="7"/>
      <c r="W6216" s="7">
        <v>0</v>
      </c>
      <c r="X6216" s="6"/>
      <c r="Y6216" s="7">
        <v>0</v>
      </c>
      <c r="Z6216" s="7"/>
      <c r="AA6216" s="9"/>
      <c r="AC6216" s="38">
        <v>0</v>
      </c>
    </row>
    <row r="6217" spans="1:29" x14ac:dyDescent="0.25">
      <c r="A6217" s="22">
        <v>44568</v>
      </c>
      <c r="B6217" s="6">
        <v>0</v>
      </c>
      <c r="C6217" s="6">
        <v>0</v>
      </c>
      <c r="D6217" s="6">
        <v>0</v>
      </c>
      <c r="E6217" s="7"/>
      <c r="F6217" s="6">
        <v>0</v>
      </c>
      <c r="G6217" s="6">
        <v>0</v>
      </c>
      <c r="H6217" s="6">
        <v>0.5</v>
      </c>
      <c r="I6217" s="6">
        <v>0</v>
      </c>
      <c r="J6217" s="6">
        <v>0</v>
      </c>
      <c r="K6217" s="6">
        <v>0</v>
      </c>
      <c r="L6217" s="6">
        <v>0</v>
      </c>
      <c r="M6217" s="6"/>
      <c r="N6217" s="6">
        <v>0</v>
      </c>
      <c r="O6217" s="7"/>
      <c r="P6217" s="7"/>
      <c r="Q6217" s="6">
        <v>0</v>
      </c>
      <c r="R6217" s="6">
        <v>5</v>
      </c>
      <c r="S6217" s="6">
        <v>0</v>
      </c>
      <c r="T6217" s="7">
        <v>0</v>
      </c>
      <c r="U6217" s="6"/>
      <c r="V6217" s="7"/>
      <c r="W6217" s="7">
        <v>0</v>
      </c>
      <c r="X6217" s="6"/>
      <c r="Y6217" s="7">
        <v>0</v>
      </c>
      <c r="Z6217" s="7"/>
      <c r="AA6217" s="9"/>
      <c r="AC6217" s="38">
        <v>2</v>
      </c>
    </row>
    <row r="6218" spans="1:29" x14ac:dyDescent="0.25">
      <c r="A6218" s="22">
        <v>44569</v>
      </c>
      <c r="B6218" s="6">
        <v>20</v>
      </c>
      <c r="C6218" s="6">
        <v>1.2</v>
      </c>
      <c r="D6218" s="6">
        <v>10</v>
      </c>
      <c r="E6218" s="7"/>
      <c r="F6218" s="6">
        <v>1.5</v>
      </c>
      <c r="G6218" s="6">
        <v>7.5</v>
      </c>
      <c r="H6218" s="6">
        <v>1.3</v>
      </c>
      <c r="I6218" s="6">
        <v>2</v>
      </c>
      <c r="J6218" s="6">
        <v>0.5</v>
      </c>
      <c r="K6218" s="6">
        <v>0</v>
      </c>
      <c r="L6218" s="6">
        <v>7.3659999999999988</v>
      </c>
      <c r="M6218" s="6"/>
      <c r="N6218" s="6">
        <v>12</v>
      </c>
      <c r="O6218" s="7"/>
      <c r="P6218" s="7"/>
      <c r="Q6218" s="6">
        <v>3.8</v>
      </c>
      <c r="R6218" s="6">
        <v>3.8</v>
      </c>
      <c r="S6218" s="6">
        <v>2</v>
      </c>
      <c r="T6218" s="7">
        <v>0</v>
      </c>
      <c r="U6218" s="6"/>
      <c r="V6218" s="7"/>
      <c r="W6218" s="7">
        <v>20</v>
      </c>
      <c r="X6218" s="6"/>
      <c r="Y6218" s="7">
        <v>0</v>
      </c>
      <c r="Z6218" s="7"/>
      <c r="AA6218" s="9"/>
      <c r="AC6218" s="38">
        <v>3</v>
      </c>
    </row>
    <row r="6219" spans="1:29" x14ac:dyDescent="0.25">
      <c r="A6219" s="22">
        <v>44570</v>
      </c>
      <c r="B6219" s="6">
        <v>41</v>
      </c>
      <c r="C6219" s="6">
        <v>12.4</v>
      </c>
      <c r="D6219" s="6">
        <v>9.8000000000000007</v>
      </c>
      <c r="E6219" s="7"/>
      <c r="F6219" s="6">
        <v>1.2</v>
      </c>
      <c r="G6219" s="6">
        <v>2</v>
      </c>
      <c r="H6219" s="6">
        <v>1.5</v>
      </c>
      <c r="I6219" s="6">
        <v>4.0999999999999996</v>
      </c>
      <c r="J6219" s="6">
        <v>4.2</v>
      </c>
      <c r="K6219" s="6">
        <v>8.5</v>
      </c>
      <c r="L6219" s="6">
        <v>1.5239999999999998</v>
      </c>
      <c r="M6219" s="6"/>
      <c r="N6219" s="6">
        <v>11</v>
      </c>
      <c r="O6219" s="7"/>
      <c r="P6219" s="7"/>
      <c r="Q6219" s="6">
        <v>8.4</v>
      </c>
      <c r="R6219" s="6">
        <v>5.8</v>
      </c>
      <c r="S6219" s="6">
        <v>7.2</v>
      </c>
      <c r="T6219" s="7">
        <v>17</v>
      </c>
      <c r="U6219" s="6"/>
      <c r="V6219" s="7"/>
      <c r="W6219" s="7">
        <v>0</v>
      </c>
      <c r="X6219" s="6"/>
      <c r="Y6219" s="7">
        <v>6</v>
      </c>
      <c r="Z6219" s="7"/>
      <c r="AA6219" s="9"/>
      <c r="AC6219" s="38">
        <v>12</v>
      </c>
    </row>
    <row r="6220" spans="1:29" x14ac:dyDescent="0.25">
      <c r="A6220" s="22">
        <v>44571</v>
      </c>
      <c r="B6220" s="6">
        <v>0</v>
      </c>
      <c r="C6220" s="6">
        <v>13.6</v>
      </c>
      <c r="D6220" s="6">
        <v>9.4</v>
      </c>
      <c r="E6220" s="7"/>
      <c r="F6220" s="6">
        <v>9.1999999999999993</v>
      </c>
      <c r="G6220" s="6">
        <v>7.2</v>
      </c>
      <c r="H6220" s="6">
        <v>7.7</v>
      </c>
      <c r="I6220" s="6">
        <v>7.6</v>
      </c>
      <c r="J6220" s="6">
        <v>9</v>
      </c>
      <c r="K6220" s="6">
        <v>6.2</v>
      </c>
      <c r="L6220" s="6">
        <v>11.43</v>
      </c>
      <c r="M6220" s="6"/>
      <c r="N6220" s="6">
        <v>8.1999999999999993</v>
      </c>
      <c r="O6220" s="7"/>
      <c r="P6220" s="7"/>
      <c r="Q6220" s="6">
        <v>1</v>
      </c>
      <c r="R6220" s="6">
        <v>0</v>
      </c>
      <c r="S6220" s="6">
        <v>0.8</v>
      </c>
      <c r="T6220" s="7">
        <v>0.4</v>
      </c>
      <c r="U6220" s="6"/>
      <c r="V6220" s="7"/>
      <c r="W6220" s="7">
        <v>0</v>
      </c>
      <c r="X6220" s="6"/>
      <c r="Y6220" s="7">
        <v>2</v>
      </c>
      <c r="Z6220" s="7"/>
      <c r="AA6220" s="9"/>
      <c r="AC6220" s="38">
        <v>0</v>
      </c>
    </row>
    <row r="6221" spans="1:29" x14ac:dyDescent="0.25">
      <c r="A6221" s="22">
        <v>44572</v>
      </c>
      <c r="B6221" s="6">
        <v>6</v>
      </c>
      <c r="C6221" s="6">
        <v>2</v>
      </c>
      <c r="D6221" s="6">
        <v>1.1000000000000001</v>
      </c>
      <c r="E6221" s="7"/>
      <c r="F6221" s="6">
        <v>0.2</v>
      </c>
      <c r="G6221" s="6">
        <v>1.2</v>
      </c>
      <c r="H6221" s="6">
        <v>0</v>
      </c>
      <c r="I6221" s="6">
        <v>0.3</v>
      </c>
      <c r="J6221" s="6">
        <v>1.4</v>
      </c>
      <c r="K6221" s="6">
        <v>6.1</v>
      </c>
      <c r="L6221" s="6">
        <v>0</v>
      </c>
      <c r="M6221" s="6"/>
      <c r="N6221" s="6">
        <v>44</v>
      </c>
      <c r="O6221" s="7"/>
      <c r="P6221" s="7"/>
      <c r="Q6221" s="6">
        <v>4.5999999999999996</v>
      </c>
      <c r="R6221" s="6">
        <v>0</v>
      </c>
      <c r="S6221" s="6">
        <v>2</v>
      </c>
      <c r="T6221" s="7">
        <v>4</v>
      </c>
      <c r="U6221" s="6"/>
      <c r="V6221" s="7"/>
      <c r="W6221" s="7">
        <v>0</v>
      </c>
      <c r="X6221" s="6"/>
      <c r="Y6221" s="7">
        <v>2</v>
      </c>
      <c r="Z6221" s="7"/>
      <c r="AA6221" s="9"/>
      <c r="AC6221" s="38">
        <v>1</v>
      </c>
    </row>
    <row r="6222" spans="1:29" x14ac:dyDescent="0.25">
      <c r="A6222" s="22">
        <v>44573</v>
      </c>
      <c r="B6222" s="6">
        <v>6</v>
      </c>
      <c r="C6222" s="6">
        <v>11.6</v>
      </c>
      <c r="D6222" s="6">
        <v>35</v>
      </c>
      <c r="E6222" s="7"/>
      <c r="F6222" s="6">
        <v>20.3</v>
      </c>
      <c r="G6222" s="6">
        <v>30.5</v>
      </c>
      <c r="H6222" s="6">
        <v>36</v>
      </c>
      <c r="I6222" s="6">
        <v>20.8</v>
      </c>
      <c r="J6222" s="6">
        <v>42</v>
      </c>
      <c r="K6222" s="6">
        <v>50</v>
      </c>
      <c r="L6222" s="6">
        <v>1.016</v>
      </c>
      <c r="M6222" s="6"/>
      <c r="N6222" s="6">
        <v>12.8</v>
      </c>
      <c r="O6222" s="7"/>
      <c r="P6222" s="7"/>
      <c r="Q6222" s="6">
        <v>0.4</v>
      </c>
      <c r="R6222" s="6">
        <v>0</v>
      </c>
      <c r="S6222" s="6">
        <v>0.6</v>
      </c>
      <c r="T6222" s="7">
        <v>0</v>
      </c>
      <c r="U6222" s="6"/>
      <c r="V6222" s="7"/>
      <c r="W6222" s="7">
        <v>80</v>
      </c>
      <c r="X6222" s="6"/>
      <c r="Y6222" s="7">
        <v>28</v>
      </c>
      <c r="Z6222" s="7"/>
      <c r="AA6222" s="9"/>
      <c r="AC6222" s="38">
        <v>9</v>
      </c>
    </row>
    <row r="6223" spans="1:29" x14ac:dyDescent="0.25">
      <c r="A6223" s="22">
        <v>44574</v>
      </c>
      <c r="B6223" s="6">
        <v>0</v>
      </c>
      <c r="C6223" s="6">
        <v>0</v>
      </c>
      <c r="D6223" s="6">
        <v>0</v>
      </c>
      <c r="E6223" s="7"/>
      <c r="F6223" s="6">
        <v>1</v>
      </c>
      <c r="G6223" s="6">
        <v>0.2</v>
      </c>
      <c r="H6223" s="6">
        <v>2</v>
      </c>
      <c r="I6223" s="6">
        <v>0.2</v>
      </c>
      <c r="J6223" s="6">
        <v>1</v>
      </c>
      <c r="K6223" s="6">
        <v>0</v>
      </c>
      <c r="L6223" s="6">
        <v>0</v>
      </c>
      <c r="M6223" s="6"/>
      <c r="N6223" s="6">
        <v>0</v>
      </c>
      <c r="O6223" s="7"/>
      <c r="P6223" s="7"/>
      <c r="Q6223" s="6">
        <v>0</v>
      </c>
      <c r="R6223" s="6">
        <v>0</v>
      </c>
      <c r="S6223" s="6">
        <v>0</v>
      </c>
      <c r="T6223" s="7">
        <v>0</v>
      </c>
      <c r="U6223" s="6"/>
      <c r="V6223" s="7"/>
      <c r="W6223" s="7">
        <v>0</v>
      </c>
      <c r="X6223" s="6"/>
      <c r="Y6223" s="7">
        <v>2</v>
      </c>
      <c r="Z6223" s="7"/>
      <c r="AA6223" s="9"/>
      <c r="AC6223" s="38">
        <v>0</v>
      </c>
    </row>
    <row r="6224" spans="1:29" x14ac:dyDescent="0.25">
      <c r="A6224" s="22">
        <v>44575</v>
      </c>
      <c r="B6224" s="6">
        <v>4</v>
      </c>
      <c r="C6224" s="6">
        <v>0</v>
      </c>
      <c r="D6224" s="6">
        <v>1</v>
      </c>
      <c r="E6224" s="7"/>
      <c r="F6224" s="6">
        <v>0</v>
      </c>
      <c r="G6224" s="6">
        <v>2</v>
      </c>
      <c r="H6224" s="6">
        <v>0.2</v>
      </c>
      <c r="I6224" s="6">
        <v>0</v>
      </c>
      <c r="J6224" s="6">
        <v>2.9</v>
      </c>
      <c r="K6224" s="6">
        <v>0</v>
      </c>
      <c r="L6224" s="6">
        <v>3.8099999999999996</v>
      </c>
      <c r="M6224" s="6"/>
      <c r="N6224" s="6">
        <v>0.2</v>
      </c>
      <c r="O6224" s="7"/>
      <c r="P6224" s="7"/>
      <c r="Q6224" s="6">
        <v>0</v>
      </c>
      <c r="R6224" s="6">
        <v>5.0999999999999996</v>
      </c>
      <c r="S6224" s="6">
        <v>0</v>
      </c>
      <c r="T6224" s="7">
        <v>0</v>
      </c>
      <c r="U6224" s="6"/>
      <c r="V6224" s="7"/>
      <c r="W6224" s="7">
        <v>0</v>
      </c>
      <c r="X6224" s="6"/>
      <c r="Y6224" s="7">
        <v>0</v>
      </c>
      <c r="Z6224" s="7"/>
      <c r="AA6224" s="9"/>
      <c r="AC6224" s="38">
        <v>0</v>
      </c>
    </row>
    <row r="6225" spans="1:29" x14ac:dyDescent="0.25">
      <c r="A6225" s="22">
        <v>44576</v>
      </c>
      <c r="B6225" s="6">
        <v>0</v>
      </c>
      <c r="C6225" s="6">
        <v>32</v>
      </c>
      <c r="D6225" s="6">
        <v>33.6</v>
      </c>
      <c r="E6225" s="7"/>
      <c r="F6225" s="6">
        <v>4.4000000000000004</v>
      </c>
      <c r="G6225" s="6">
        <v>13.5</v>
      </c>
      <c r="H6225" s="6">
        <v>6</v>
      </c>
      <c r="I6225" s="6">
        <v>0</v>
      </c>
      <c r="J6225" s="6">
        <v>22.5</v>
      </c>
      <c r="K6225" s="6">
        <v>0</v>
      </c>
      <c r="L6225" s="6">
        <v>0</v>
      </c>
      <c r="M6225" s="6"/>
      <c r="N6225" s="6">
        <v>33.4</v>
      </c>
      <c r="O6225" s="7"/>
      <c r="P6225" s="7"/>
      <c r="Q6225" s="6">
        <v>12.8</v>
      </c>
      <c r="R6225" s="6">
        <v>1.5</v>
      </c>
      <c r="S6225" s="6">
        <v>0</v>
      </c>
      <c r="T6225" s="7">
        <v>0</v>
      </c>
      <c r="U6225" s="6"/>
      <c r="V6225" s="7"/>
      <c r="W6225" s="7">
        <v>30</v>
      </c>
      <c r="X6225" s="6"/>
      <c r="Y6225" s="7">
        <v>6</v>
      </c>
      <c r="Z6225" s="7"/>
      <c r="AA6225" s="9"/>
      <c r="AC6225" s="38">
        <v>1</v>
      </c>
    </row>
    <row r="6226" spans="1:29" x14ac:dyDescent="0.25">
      <c r="A6226" s="22">
        <v>44577</v>
      </c>
      <c r="B6226" s="6">
        <v>0</v>
      </c>
      <c r="C6226" s="6">
        <v>7.8</v>
      </c>
      <c r="D6226" s="6">
        <v>13.2</v>
      </c>
      <c r="E6226" s="7"/>
      <c r="F6226" s="6">
        <v>8.1</v>
      </c>
      <c r="G6226" s="6">
        <v>17.399999999999999</v>
      </c>
      <c r="H6226" s="6">
        <v>8.6</v>
      </c>
      <c r="I6226" s="6">
        <v>6.1</v>
      </c>
      <c r="J6226" s="6">
        <v>18</v>
      </c>
      <c r="K6226" s="6">
        <v>46.3</v>
      </c>
      <c r="L6226" s="6">
        <v>3.556</v>
      </c>
      <c r="M6226" s="6"/>
      <c r="N6226" s="6">
        <v>26.8</v>
      </c>
      <c r="O6226" s="7"/>
      <c r="P6226" s="7"/>
      <c r="Q6226" s="6">
        <v>6</v>
      </c>
      <c r="R6226" s="6">
        <v>7.8</v>
      </c>
      <c r="S6226" s="6">
        <v>0.8</v>
      </c>
      <c r="T6226" s="7">
        <v>5.2</v>
      </c>
      <c r="U6226" s="6"/>
      <c r="V6226" s="7"/>
      <c r="W6226" s="7">
        <v>40</v>
      </c>
      <c r="X6226" s="6"/>
      <c r="Y6226" s="7">
        <v>12</v>
      </c>
      <c r="Z6226" s="7"/>
      <c r="AA6226" s="9"/>
      <c r="AC6226" s="38">
        <v>0</v>
      </c>
    </row>
    <row r="6227" spans="1:29" x14ac:dyDescent="0.25">
      <c r="A6227" s="22">
        <v>44578</v>
      </c>
      <c r="B6227" s="6">
        <v>57</v>
      </c>
      <c r="C6227" s="6">
        <v>5.6</v>
      </c>
      <c r="D6227" s="6">
        <v>7.2</v>
      </c>
      <c r="E6227" s="7"/>
      <c r="F6227" s="6">
        <v>1.2</v>
      </c>
      <c r="G6227" s="6">
        <v>3.5</v>
      </c>
      <c r="H6227" s="6">
        <v>1.8</v>
      </c>
      <c r="I6227" s="6">
        <v>1.5</v>
      </c>
      <c r="J6227" s="6">
        <v>9.3000000000000007</v>
      </c>
      <c r="K6227" s="6">
        <v>10</v>
      </c>
      <c r="L6227" s="6">
        <v>3.0479999999999996</v>
      </c>
      <c r="M6227" s="6"/>
      <c r="N6227" s="6">
        <v>10.4</v>
      </c>
      <c r="O6227" s="7"/>
      <c r="P6227" s="7"/>
      <c r="Q6227" s="6">
        <v>5.2</v>
      </c>
      <c r="R6227" s="6">
        <v>14.9</v>
      </c>
      <c r="S6227" s="6">
        <v>6.4</v>
      </c>
      <c r="T6227" s="7">
        <v>4.8</v>
      </c>
      <c r="U6227" s="6"/>
      <c r="V6227" s="7"/>
      <c r="W6227" s="7">
        <v>10</v>
      </c>
      <c r="X6227" s="6"/>
      <c r="Y6227" s="7">
        <v>26</v>
      </c>
      <c r="Z6227" s="7"/>
      <c r="AA6227" s="9"/>
      <c r="AC6227" s="38">
        <v>12</v>
      </c>
    </row>
    <row r="6228" spans="1:29" x14ac:dyDescent="0.25">
      <c r="A6228" s="22">
        <v>44579</v>
      </c>
      <c r="B6228" s="6">
        <v>30.1</v>
      </c>
      <c r="C6228" s="6">
        <v>23.2</v>
      </c>
      <c r="D6228" s="6">
        <v>31</v>
      </c>
      <c r="E6228" s="7"/>
      <c r="F6228" s="6">
        <v>37.4</v>
      </c>
      <c r="G6228" s="6">
        <v>45.5</v>
      </c>
      <c r="H6228" s="6">
        <v>51</v>
      </c>
      <c r="I6228" s="6">
        <v>42.3</v>
      </c>
      <c r="J6228" s="6">
        <v>45.8</v>
      </c>
      <c r="K6228" s="6">
        <v>36</v>
      </c>
      <c r="L6228" s="6">
        <v>18.795999999999999</v>
      </c>
      <c r="M6228" s="6"/>
      <c r="N6228" s="6">
        <v>47</v>
      </c>
      <c r="O6228" s="7"/>
      <c r="P6228" s="7"/>
      <c r="Q6228" s="6">
        <v>14.8</v>
      </c>
      <c r="R6228" s="6">
        <v>1.7</v>
      </c>
      <c r="S6228" s="6">
        <v>6.2</v>
      </c>
      <c r="T6228" s="7">
        <v>11.8</v>
      </c>
      <c r="U6228" s="6"/>
      <c r="V6228" s="7"/>
      <c r="W6228" s="7">
        <v>40</v>
      </c>
      <c r="X6228" s="6"/>
      <c r="Y6228" s="7">
        <v>0</v>
      </c>
      <c r="Z6228" s="7"/>
      <c r="AA6228" s="9"/>
      <c r="AC6228" s="38">
        <v>23</v>
      </c>
    </row>
    <row r="6229" spans="1:29" x14ac:dyDescent="0.25">
      <c r="A6229" s="22">
        <v>44580</v>
      </c>
      <c r="B6229" s="6">
        <v>0</v>
      </c>
      <c r="C6229" s="6">
        <v>8.6</v>
      </c>
      <c r="D6229" s="6">
        <v>12.4</v>
      </c>
      <c r="E6229" s="7"/>
      <c r="F6229" s="6">
        <v>8.1999999999999993</v>
      </c>
      <c r="G6229" s="6">
        <v>16.5</v>
      </c>
      <c r="H6229" s="6">
        <v>11.2</v>
      </c>
      <c r="I6229" s="6">
        <v>7.4</v>
      </c>
      <c r="J6229" s="6">
        <v>20.5</v>
      </c>
      <c r="K6229" s="6">
        <v>16.8</v>
      </c>
      <c r="L6229" s="6">
        <v>8.8899999999999988</v>
      </c>
      <c r="M6229" s="6"/>
      <c r="N6229" s="6">
        <v>12.6</v>
      </c>
      <c r="O6229" s="7"/>
      <c r="P6229" s="7"/>
      <c r="Q6229" s="6">
        <v>2.8</v>
      </c>
      <c r="R6229" s="6">
        <v>0</v>
      </c>
      <c r="S6229" s="6">
        <v>0.2</v>
      </c>
      <c r="T6229" s="7">
        <v>0</v>
      </c>
      <c r="U6229" s="6"/>
      <c r="V6229" s="7"/>
      <c r="W6229" s="7">
        <v>10</v>
      </c>
      <c r="X6229" s="6"/>
      <c r="Y6229" s="7">
        <v>8</v>
      </c>
      <c r="Z6229" s="7"/>
      <c r="AA6229" s="9"/>
      <c r="AC6229" s="38">
        <v>5</v>
      </c>
    </row>
    <row r="6230" spans="1:29" x14ac:dyDescent="0.25">
      <c r="A6230" s="22">
        <v>44581</v>
      </c>
      <c r="B6230" s="6">
        <v>0</v>
      </c>
      <c r="C6230" s="6">
        <v>8.4</v>
      </c>
      <c r="D6230" s="6">
        <v>3.6</v>
      </c>
      <c r="E6230" s="7"/>
      <c r="F6230" s="6">
        <v>2.2000000000000002</v>
      </c>
      <c r="G6230" s="6">
        <v>4.2</v>
      </c>
      <c r="H6230" s="6">
        <v>1.1000000000000001</v>
      </c>
      <c r="I6230" s="6">
        <v>2.8</v>
      </c>
      <c r="J6230" s="6">
        <v>8.8000000000000007</v>
      </c>
      <c r="K6230" s="6">
        <v>4.8</v>
      </c>
      <c r="L6230" s="6">
        <v>0</v>
      </c>
      <c r="M6230" s="6"/>
      <c r="N6230" s="6">
        <v>3.4</v>
      </c>
      <c r="O6230" s="7"/>
      <c r="P6230" s="7"/>
      <c r="Q6230" s="6">
        <v>0</v>
      </c>
      <c r="R6230" s="6">
        <v>0</v>
      </c>
      <c r="S6230" s="6">
        <v>1.4</v>
      </c>
      <c r="T6230" s="7">
        <v>0.2</v>
      </c>
      <c r="U6230" s="6"/>
      <c r="V6230" s="7"/>
      <c r="W6230" s="7">
        <v>10</v>
      </c>
      <c r="X6230" s="6"/>
      <c r="Y6230" s="7">
        <v>2</v>
      </c>
      <c r="Z6230" s="7"/>
      <c r="AA6230" s="9"/>
      <c r="AC6230" s="38">
        <v>1</v>
      </c>
    </row>
    <row r="6231" spans="1:29" x14ac:dyDescent="0.25">
      <c r="A6231" s="22">
        <v>44582</v>
      </c>
      <c r="B6231" s="6">
        <v>0</v>
      </c>
      <c r="C6231" s="6">
        <v>0.4</v>
      </c>
      <c r="D6231" s="6">
        <v>0</v>
      </c>
      <c r="E6231" s="7"/>
      <c r="F6231" s="6">
        <v>1.5</v>
      </c>
      <c r="G6231" s="6">
        <v>3.5</v>
      </c>
      <c r="H6231" s="6">
        <v>2</v>
      </c>
      <c r="I6231" s="6">
        <v>1</v>
      </c>
      <c r="J6231" s="6">
        <v>1.4</v>
      </c>
      <c r="K6231" s="6">
        <v>1.8</v>
      </c>
      <c r="L6231" s="6">
        <v>1.27</v>
      </c>
      <c r="M6231" s="6"/>
      <c r="N6231" s="6">
        <v>4</v>
      </c>
      <c r="O6231" s="7"/>
      <c r="P6231" s="7"/>
      <c r="Q6231" s="6">
        <v>0.4</v>
      </c>
      <c r="R6231" s="6">
        <v>0</v>
      </c>
      <c r="S6231" s="6">
        <v>0.2</v>
      </c>
      <c r="T6231" s="7">
        <v>0</v>
      </c>
      <c r="U6231" s="6"/>
      <c r="V6231" s="7"/>
      <c r="W6231" s="7">
        <v>0</v>
      </c>
      <c r="X6231" s="6"/>
      <c r="Y6231" s="7">
        <v>0</v>
      </c>
      <c r="Z6231" s="7"/>
      <c r="AA6231" s="9"/>
      <c r="AC6231" s="38">
        <v>0</v>
      </c>
    </row>
    <row r="6232" spans="1:29" x14ac:dyDescent="0.25">
      <c r="A6232" s="22">
        <v>44583</v>
      </c>
      <c r="B6232" s="6">
        <v>0</v>
      </c>
      <c r="C6232" s="6">
        <v>0</v>
      </c>
      <c r="D6232" s="6">
        <v>1</v>
      </c>
      <c r="E6232" s="7"/>
      <c r="F6232" s="6">
        <v>0.1</v>
      </c>
      <c r="G6232" s="6">
        <v>3</v>
      </c>
      <c r="H6232" s="6">
        <v>0</v>
      </c>
      <c r="I6232" s="6">
        <v>1.5</v>
      </c>
      <c r="J6232" s="6">
        <v>0</v>
      </c>
      <c r="K6232" s="6">
        <v>2</v>
      </c>
      <c r="L6232" s="6">
        <v>0</v>
      </c>
      <c r="M6232" s="6"/>
      <c r="N6232" s="6">
        <v>1.2</v>
      </c>
      <c r="O6232" s="7"/>
      <c r="P6232" s="7"/>
      <c r="Q6232" s="6">
        <v>0.8</v>
      </c>
      <c r="R6232" s="6">
        <v>0</v>
      </c>
      <c r="S6232" s="6">
        <v>0</v>
      </c>
      <c r="T6232" s="7">
        <v>0</v>
      </c>
      <c r="U6232" s="6"/>
      <c r="V6232" s="7"/>
      <c r="W6232" s="7">
        <v>0</v>
      </c>
      <c r="X6232" s="6"/>
      <c r="Y6232" s="7">
        <v>0</v>
      </c>
      <c r="Z6232" s="7"/>
      <c r="AA6232" s="9"/>
      <c r="AC6232" s="38">
        <v>0</v>
      </c>
    </row>
    <row r="6233" spans="1:29" x14ac:dyDescent="0.25">
      <c r="A6233" s="22">
        <v>44584</v>
      </c>
      <c r="B6233" s="6">
        <v>0</v>
      </c>
      <c r="C6233" s="6">
        <v>2</v>
      </c>
      <c r="D6233" s="6">
        <v>0</v>
      </c>
      <c r="E6233" s="7"/>
      <c r="F6233" s="6">
        <v>0</v>
      </c>
      <c r="G6233" s="6">
        <v>0</v>
      </c>
      <c r="H6233" s="6">
        <v>0</v>
      </c>
      <c r="I6233" s="6">
        <v>0.2</v>
      </c>
      <c r="J6233" s="6">
        <v>2.2000000000000002</v>
      </c>
      <c r="K6233" s="6">
        <v>0</v>
      </c>
      <c r="L6233" s="6">
        <v>0</v>
      </c>
      <c r="M6233" s="6"/>
      <c r="N6233" s="6">
        <v>0.2</v>
      </c>
      <c r="O6233" s="7"/>
      <c r="P6233" s="7"/>
      <c r="Q6233" s="6">
        <v>0</v>
      </c>
      <c r="R6233" s="6">
        <v>0</v>
      </c>
      <c r="S6233" s="6">
        <v>0</v>
      </c>
      <c r="T6233" s="7">
        <v>0</v>
      </c>
      <c r="U6233" s="6"/>
      <c r="V6233" s="7"/>
      <c r="W6233" s="7">
        <v>0</v>
      </c>
      <c r="X6233" s="6"/>
      <c r="Y6233" s="7">
        <v>0</v>
      </c>
      <c r="Z6233" s="7"/>
      <c r="AA6233" s="9"/>
      <c r="AC6233" s="38">
        <v>0</v>
      </c>
    </row>
    <row r="6234" spans="1:29" x14ac:dyDescent="0.25">
      <c r="A6234" s="22">
        <v>44585</v>
      </c>
      <c r="B6234" s="6">
        <v>0</v>
      </c>
      <c r="C6234" s="6">
        <v>0.4</v>
      </c>
      <c r="D6234" s="6">
        <v>1</v>
      </c>
      <c r="E6234" s="7"/>
      <c r="F6234" s="6">
        <v>0</v>
      </c>
      <c r="G6234" s="6">
        <v>5.5</v>
      </c>
      <c r="H6234" s="6">
        <v>0</v>
      </c>
      <c r="I6234" s="6">
        <v>0</v>
      </c>
      <c r="J6234" s="6">
        <v>2.2000000000000002</v>
      </c>
      <c r="K6234" s="6">
        <v>0.6</v>
      </c>
      <c r="L6234" s="6">
        <v>0</v>
      </c>
      <c r="M6234" s="6"/>
      <c r="N6234" s="6">
        <v>1</v>
      </c>
      <c r="O6234" s="7"/>
      <c r="P6234" s="7"/>
      <c r="Q6234" s="6">
        <v>0.4</v>
      </c>
      <c r="R6234" s="6">
        <v>3.3</v>
      </c>
      <c r="S6234" s="6">
        <v>0</v>
      </c>
      <c r="T6234" s="7">
        <v>0.2</v>
      </c>
      <c r="U6234" s="6"/>
      <c r="V6234" s="7"/>
      <c r="W6234" s="7">
        <v>20</v>
      </c>
      <c r="X6234" s="6"/>
      <c r="Y6234" s="7">
        <v>0</v>
      </c>
      <c r="Z6234" s="7"/>
      <c r="AA6234" s="9"/>
      <c r="AC6234" s="38">
        <v>0</v>
      </c>
    </row>
    <row r="6235" spans="1:29" x14ac:dyDescent="0.25">
      <c r="A6235" s="22">
        <v>44586</v>
      </c>
      <c r="B6235" s="6">
        <v>0</v>
      </c>
      <c r="C6235" s="6">
        <v>5.2</v>
      </c>
      <c r="D6235" s="6">
        <v>8.1</v>
      </c>
      <c r="E6235" s="7"/>
      <c r="F6235" s="6">
        <v>0</v>
      </c>
      <c r="G6235" s="6">
        <v>2.5</v>
      </c>
      <c r="H6235" s="6">
        <v>0</v>
      </c>
      <c r="I6235" s="6">
        <v>2.1</v>
      </c>
      <c r="J6235" s="6">
        <v>5</v>
      </c>
      <c r="K6235" s="6">
        <v>2.8</v>
      </c>
      <c r="L6235" s="6">
        <v>0</v>
      </c>
      <c r="M6235" s="6"/>
      <c r="N6235" s="6">
        <v>4.8</v>
      </c>
      <c r="O6235" s="7"/>
      <c r="P6235" s="7"/>
      <c r="Q6235" s="6">
        <v>3</v>
      </c>
      <c r="R6235" s="6">
        <v>0.2</v>
      </c>
      <c r="S6235" s="6">
        <v>0</v>
      </c>
      <c r="T6235" s="7">
        <v>0</v>
      </c>
      <c r="U6235" s="6"/>
      <c r="V6235" s="7"/>
      <c r="W6235" s="7">
        <v>0</v>
      </c>
      <c r="X6235" s="6"/>
      <c r="Y6235" s="7">
        <v>0</v>
      </c>
      <c r="Z6235" s="7"/>
      <c r="AA6235" s="9"/>
      <c r="AC6235" s="38">
        <v>0</v>
      </c>
    </row>
    <row r="6236" spans="1:29" x14ac:dyDescent="0.25">
      <c r="A6236" s="22">
        <v>44587</v>
      </c>
      <c r="B6236" s="6">
        <v>0</v>
      </c>
      <c r="C6236" s="6">
        <v>6.4</v>
      </c>
      <c r="D6236" s="6">
        <v>4</v>
      </c>
      <c r="E6236" s="7"/>
      <c r="F6236" s="6">
        <v>0</v>
      </c>
      <c r="G6236" s="6">
        <v>0</v>
      </c>
      <c r="H6236" s="6">
        <v>0.3</v>
      </c>
      <c r="I6236" s="6">
        <v>3.2</v>
      </c>
      <c r="J6236" s="6">
        <v>0.6</v>
      </c>
      <c r="K6236" s="6">
        <v>4.4000000000000004</v>
      </c>
      <c r="L6236" s="6">
        <v>0</v>
      </c>
      <c r="M6236" s="6"/>
      <c r="N6236" s="6">
        <v>2.8</v>
      </c>
      <c r="O6236" s="7"/>
      <c r="P6236" s="7"/>
      <c r="Q6236" s="6">
        <v>2</v>
      </c>
      <c r="R6236" s="6">
        <v>8.1999999999999993</v>
      </c>
      <c r="S6236" s="6">
        <v>0</v>
      </c>
      <c r="T6236" s="7">
        <v>0</v>
      </c>
      <c r="U6236" s="6"/>
      <c r="V6236" s="7"/>
      <c r="W6236" s="7">
        <v>40</v>
      </c>
      <c r="X6236" s="6"/>
      <c r="Y6236" s="7">
        <v>2</v>
      </c>
      <c r="Z6236" s="7"/>
      <c r="AA6236" s="9"/>
      <c r="AC6236" s="38">
        <v>0</v>
      </c>
    </row>
    <row r="6237" spans="1:29" x14ac:dyDescent="0.25">
      <c r="A6237" s="22">
        <v>44588</v>
      </c>
      <c r="B6237" s="6">
        <v>0</v>
      </c>
      <c r="C6237" s="6">
        <v>4.4000000000000004</v>
      </c>
      <c r="D6237" s="6">
        <v>4.5</v>
      </c>
      <c r="E6237" s="7"/>
      <c r="F6237" s="6">
        <v>7.1</v>
      </c>
      <c r="G6237" s="6">
        <v>3.9</v>
      </c>
      <c r="H6237" s="6">
        <v>5</v>
      </c>
      <c r="I6237" s="6">
        <v>1.4</v>
      </c>
      <c r="J6237" s="6">
        <v>4.0999999999999996</v>
      </c>
      <c r="K6237" s="6">
        <v>4.2</v>
      </c>
      <c r="L6237" s="6">
        <v>9.6519999999999992</v>
      </c>
      <c r="M6237" s="6"/>
      <c r="N6237" s="6">
        <v>29.4</v>
      </c>
      <c r="O6237" s="7"/>
      <c r="P6237" s="7"/>
      <c r="Q6237" s="6">
        <v>28</v>
      </c>
      <c r="R6237" s="6">
        <v>26.2</v>
      </c>
      <c r="S6237" s="6">
        <v>4.8</v>
      </c>
      <c r="T6237" s="7">
        <v>11.6</v>
      </c>
      <c r="U6237" s="6"/>
      <c r="V6237" s="7"/>
      <c r="W6237" s="7">
        <v>0</v>
      </c>
      <c r="X6237" s="6"/>
      <c r="Y6237" s="7">
        <v>6</v>
      </c>
      <c r="Z6237" s="7"/>
      <c r="AA6237" s="9"/>
      <c r="AC6237" s="38">
        <v>2</v>
      </c>
    </row>
    <row r="6238" spans="1:29" x14ac:dyDescent="0.25">
      <c r="A6238" s="22">
        <v>44589</v>
      </c>
      <c r="B6238" s="6">
        <v>30.1</v>
      </c>
      <c r="C6238" s="6">
        <v>14</v>
      </c>
      <c r="D6238" s="6">
        <v>26.1</v>
      </c>
      <c r="E6238" s="7"/>
      <c r="F6238" s="6">
        <v>10.199999999999999</v>
      </c>
      <c r="G6238" s="6">
        <v>12.5</v>
      </c>
      <c r="H6238" s="6">
        <v>14</v>
      </c>
      <c r="I6238" s="6">
        <v>10.199999999999999</v>
      </c>
      <c r="J6238" s="6">
        <v>21.8</v>
      </c>
      <c r="K6238" s="6">
        <v>20.8</v>
      </c>
      <c r="L6238" s="6">
        <v>30.733999999999998</v>
      </c>
      <c r="M6238" s="6"/>
      <c r="N6238" s="6">
        <v>8.6</v>
      </c>
      <c r="O6238" s="7"/>
      <c r="P6238" s="7"/>
      <c r="Q6238" s="6">
        <v>4.4000000000000004</v>
      </c>
      <c r="R6238" s="6">
        <v>0</v>
      </c>
      <c r="S6238" s="6">
        <v>0.6</v>
      </c>
      <c r="T6238" s="7">
        <v>8</v>
      </c>
      <c r="U6238" s="6"/>
      <c r="V6238" s="7"/>
      <c r="W6238" s="7">
        <v>0</v>
      </c>
      <c r="X6238" s="6"/>
      <c r="Y6238" s="7">
        <v>12</v>
      </c>
      <c r="Z6238" s="7"/>
      <c r="AA6238" s="9"/>
      <c r="AC6238" s="38">
        <v>0</v>
      </c>
    </row>
    <row r="6239" spans="1:29" x14ac:dyDescent="0.25">
      <c r="A6239" s="22">
        <v>44590</v>
      </c>
      <c r="B6239" s="6">
        <v>0</v>
      </c>
      <c r="C6239" s="6">
        <v>0.4</v>
      </c>
      <c r="D6239" s="6">
        <v>1</v>
      </c>
      <c r="E6239" s="7"/>
      <c r="F6239" s="6">
        <v>0</v>
      </c>
      <c r="G6239" s="6">
        <v>0.5</v>
      </c>
      <c r="H6239" s="6">
        <v>0.1</v>
      </c>
      <c r="I6239" s="6">
        <v>1.5</v>
      </c>
      <c r="J6239" s="6">
        <v>0</v>
      </c>
      <c r="K6239" s="6">
        <v>1.6</v>
      </c>
      <c r="L6239" s="6">
        <v>0.254</v>
      </c>
      <c r="M6239" s="6"/>
      <c r="N6239" s="6">
        <v>2.2000000000000002</v>
      </c>
      <c r="O6239" s="7"/>
      <c r="P6239" s="7"/>
      <c r="Q6239" s="6">
        <v>0</v>
      </c>
      <c r="R6239" s="6">
        <v>4.5</v>
      </c>
      <c r="S6239" s="6">
        <v>0.2</v>
      </c>
      <c r="T6239" s="7">
        <v>1.2</v>
      </c>
      <c r="U6239" s="6"/>
      <c r="V6239" s="7"/>
      <c r="W6239" s="7">
        <v>0</v>
      </c>
      <c r="X6239" s="6"/>
      <c r="Y6239" s="7">
        <v>0</v>
      </c>
      <c r="Z6239" s="7"/>
      <c r="AA6239" s="9"/>
      <c r="AC6239" s="38">
        <v>0</v>
      </c>
    </row>
    <row r="6240" spans="1:29" x14ac:dyDescent="0.25">
      <c r="A6240" s="22">
        <v>44591</v>
      </c>
      <c r="B6240" s="6">
        <v>0</v>
      </c>
      <c r="C6240" s="6">
        <v>4.8</v>
      </c>
      <c r="D6240" s="6">
        <v>7.6</v>
      </c>
      <c r="E6240" s="7"/>
      <c r="F6240" s="6">
        <v>4.2</v>
      </c>
      <c r="G6240" s="6">
        <v>0.2</v>
      </c>
      <c r="H6240" s="6">
        <v>8.1</v>
      </c>
      <c r="I6240" s="6">
        <v>0</v>
      </c>
      <c r="J6240" s="6">
        <v>2.2000000000000002</v>
      </c>
      <c r="K6240" s="6">
        <v>10</v>
      </c>
      <c r="L6240" s="6">
        <v>0.7619999999999999</v>
      </c>
      <c r="M6240" s="6"/>
      <c r="N6240" s="6">
        <v>21.8</v>
      </c>
      <c r="O6240" s="7"/>
      <c r="P6240" s="7"/>
      <c r="Q6240" s="6">
        <v>11.6</v>
      </c>
      <c r="R6240" s="6">
        <v>6.8</v>
      </c>
      <c r="S6240" s="6">
        <v>1.2</v>
      </c>
      <c r="T6240" s="7">
        <v>1.89</v>
      </c>
      <c r="U6240" s="6"/>
      <c r="V6240" s="7"/>
      <c r="W6240" s="7">
        <v>0</v>
      </c>
      <c r="X6240" s="6"/>
      <c r="Y6240" s="7">
        <v>0</v>
      </c>
      <c r="Z6240" s="7"/>
      <c r="AA6240" s="9"/>
      <c r="AC6240" s="38">
        <v>6</v>
      </c>
    </row>
    <row r="6241" spans="1:29" x14ac:dyDescent="0.25">
      <c r="A6241" s="22">
        <v>44592</v>
      </c>
      <c r="B6241" s="6">
        <v>17</v>
      </c>
      <c r="C6241" s="6">
        <v>5.6</v>
      </c>
      <c r="D6241" s="6">
        <v>4.8</v>
      </c>
      <c r="E6241" s="7"/>
      <c r="F6241" s="6">
        <v>5.4</v>
      </c>
      <c r="G6241" s="6">
        <v>8.5</v>
      </c>
      <c r="H6241" s="6">
        <v>6.9</v>
      </c>
      <c r="I6241" s="6">
        <v>6.2</v>
      </c>
      <c r="J6241" s="6">
        <v>12.2</v>
      </c>
      <c r="K6241" s="6">
        <v>6.2</v>
      </c>
      <c r="L6241" s="6">
        <v>12.953999999999999</v>
      </c>
      <c r="M6241" s="6"/>
      <c r="N6241" s="6">
        <v>4</v>
      </c>
      <c r="O6241" s="7"/>
      <c r="P6241" s="7"/>
      <c r="Q6241" s="6">
        <v>5</v>
      </c>
      <c r="R6241" s="6">
        <v>5.8</v>
      </c>
      <c r="S6241" s="6">
        <v>0.6</v>
      </c>
      <c r="T6241" s="7">
        <v>2.6</v>
      </c>
      <c r="U6241" s="6"/>
      <c r="V6241" s="7"/>
      <c r="W6241" s="7">
        <v>0</v>
      </c>
      <c r="X6241" s="6"/>
      <c r="Y6241" s="7">
        <v>8</v>
      </c>
      <c r="Z6241" s="7"/>
      <c r="AA6241" s="9"/>
      <c r="AC6241" s="38">
        <v>0</v>
      </c>
    </row>
    <row r="6242" spans="1:29" x14ac:dyDescent="0.25">
      <c r="A6242" s="22">
        <v>44593</v>
      </c>
      <c r="B6242" s="6">
        <v>0</v>
      </c>
      <c r="C6242" s="6">
        <v>4.4000000000000004</v>
      </c>
      <c r="D6242" s="6">
        <v>4</v>
      </c>
      <c r="E6242" s="7">
        <v>0</v>
      </c>
      <c r="F6242" s="6">
        <v>4.2</v>
      </c>
      <c r="G6242" s="6"/>
      <c r="H6242" s="6">
        <v>3.7</v>
      </c>
      <c r="I6242" s="6">
        <v>0.1</v>
      </c>
      <c r="J6242" s="6">
        <v>4.9000000000000004</v>
      </c>
      <c r="K6242" s="6">
        <v>10</v>
      </c>
      <c r="L6242" s="7">
        <v>4.8259999999999996</v>
      </c>
      <c r="M6242" s="6"/>
      <c r="N6242" s="6">
        <v>16.8</v>
      </c>
      <c r="O6242" s="7"/>
      <c r="P6242" s="7">
        <v>1.5</v>
      </c>
      <c r="Q6242" s="6">
        <v>6</v>
      </c>
      <c r="R6242" s="6">
        <v>2</v>
      </c>
      <c r="S6242" s="6">
        <v>2</v>
      </c>
      <c r="T6242" s="7">
        <v>3.2</v>
      </c>
      <c r="U6242" s="6">
        <v>10</v>
      </c>
      <c r="V6242" s="7">
        <v>2.2999999999999998</v>
      </c>
      <c r="W6242" s="7"/>
      <c r="X6242" s="6">
        <v>8.3000000000000007</v>
      </c>
      <c r="Y6242" s="7">
        <v>2</v>
      </c>
      <c r="Z6242" s="7"/>
      <c r="AA6242" s="9"/>
      <c r="AC6242" s="38">
        <v>0</v>
      </c>
    </row>
    <row r="6243" spans="1:29" x14ac:dyDescent="0.25">
      <c r="A6243" s="22">
        <v>44594</v>
      </c>
      <c r="B6243" s="6">
        <v>0</v>
      </c>
      <c r="C6243" s="6">
        <v>6</v>
      </c>
      <c r="D6243" s="6">
        <v>10.8</v>
      </c>
      <c r="E6243" s="7">
        <v>14</v>
      </c>
      <c r="F6243" s="6">
        <v>0</v>
      </c>
      <c r="G6243" s="6"/>
      <c r="H6243" s="6">
        <v>0.5</v>
      </c>
      <c r="I6243" s="6">
        <v>6.1</v>
      </c>
      <c r="J6243" s="6">
        <v>20.8</v>
      </c>
      <c r="K6243" s="6">
        <v>0.8</v>
      </c>
      <c r="L6243" s="7">
        <v>0.7619999999999999</v>
      </c>
      <c r="M6243" s="6"/>
      <c r="N6243" s="6">
        <v>0.6</v>
      </c>
      <c r="O6243" s="7"/>
      <c r="P6243" s="7">
        <v>0</v>
      </c>
      <c r="Q6243" s="6">
        <v>0</v>
      </c>
      <c r="R6243" s="6">
        <v>0</v>
      </c>
      <c r="S6243" s="6">
        <v>0</v>
      </c>
      <c r="T6243" s="7">
        <v>0.2</v>
      </c>
      <c r="U6243" s="6">
        <v>5</v>
      </c>
      <c r="V6243" s="7">
        <v>4.2</v>
      </c>
      <c r="W6243" s="7"/>
      <c r="X6243" s="6">
        <v>1.1000000000000001</v>
      </c>
      <c r="Y6243" s="7">
        <v>0</v>
      </c>
      <c r="Z6243" s="7"/>
      <c r="AA6243" s="9"/>
      <c r="AC6243" s="38">
        <v>0</v>
      </c>
    </row>
    <row r="6244" spans="1:29" x14ac:dyDescent="0.25">
      <c r="A6244" s="22">
        <v>44595</v>
      </c>
      <c r="B6244" s="6">
        <v>0</v>
      </c>
      <c r="C6244" s="6">
        <v>0.8</v>
      </c>
      <c r="D6244" s="6">
        <v>3.2</v>
      </c>
      <c r="E6244" s="7">
        <v>0</v>
      </c>
      <c r="F6244" s="6">
        <v>2</v>
      </c>
      <c r="G6244" s="6"/>
      <c r="H6244" s="6">
        <v>2</v>
      </c>
      <c r="I6244" s="6">
        <v>6.5</v>
      </c>
      <c r="J6244" s="6">
        <v>4.2</v>
      </c>
      <c r="K6244" s="6">
        <v>0.8</v>
      </c>
      <c r="L6244" s="7">
        <v>0</v>
      </c>
      <c r="M6244" s="6"/>
      <c r="N6244" s="6">
        <v>1.8</v>
      </c>
      <c r="O6244" s="7"/>
      <c r="P6244" s="7">
        <v>0</v>
      </c>
      <c r="Q6244" s="6">
        <v>0</v>
      </c>
      <c r="R6244" s="6">
        <v>0</v>
      </c>
      <c r="S6244" s="6">
        <v>0.4</v>
      </c>
      <c r="T6244" s="7">
        <v>2.6</v>
      </c>
      <c r="U6244" s="6">
        <v>26</v>
      </c>
      <c r="V6244" s="7">
        <v>0</v>
      </c>
      <c r="W6244" s="7"/>
      <c r="X6244" s="6">
        <v>0.8</v>
      </c>
      <c r="Y6244" s="7">
        <v>0</v>
      </c>
      <c r="Z6244" s="7"/>
      <c r="AA6244" s="9"/>
      <c r="AC6244" s="38">
        <v>1</v>
      </c>
    </row>
    <row r="6245" spans="1:29" x14ac:dyDescent="0.25">
      <c r="A6245" s="22">
        <v>44596</v>
      </c>
      <c r="B6245" s="6">
        <v>8</v>
      </c>
      <c r="C6245" s="6">
        <v>0</v>
      </c>
      <c r="D6245" s="6">
        <v>0</v>
      </c>
      <c r="E6245" s="7">
        <v>0</v>
      </c>
      <c r="F6245" s="6">
        <v>0</v>
      </c>
      <c r="G6245" s="6"/>
      <c r="H6245" s="6">
        <v>0</v>
      </c>
      <c r="I6245" s="6">
        <v>0.1</v>
      </c>
      <c r="J6245" s="6">
        <v>0</v>
      </c>
      <c r="K6245" s="6">
        <v>0</v>
      </c>
      <c r="L6245" s="7">
        <v>0</v>
      </c>
      <c r="M6245" s="6"/>
      <c r="N6245" s="6">
        <v>0</v>
      </c>
      <c r="O6245" s="7"/>
      <c r="P6245" s="7">
        <v>0</v>
      </c>
      <c r="Q6245" s="6">
        <v>4.3</v>
      </c>
      <c r="R6245" s="6">
        <v>2</v>
      </c>
      <c r="S6245" s="6">
        <v>0</v>
      </c>
      <c r="T6245" s="7">
        <v>0</v>
      </c>
      <c r="U6245" s="6">
        <v>2</v>
      </c>
      <c r="V6245" s="7">
        <v>2.2000000000000002</v>
      </c>
      <c r="W6245" s="7"/>
      <c r="X6245" s="6">
        <v>0</v>
      </c>
      <c r="Y6245" s="7">
        <v>12</v>
      </c>
      <c r="Z6245" s="7"/>
      <c r="AA6245" s="9"/>
      <c r="AC6245" s="38">
        <v>0</v>
      </c>
    </row>
    <row r="6246" spans="1:29" x14ac:dyDescent="0.25">
      <c r="A6246" s="22">
        <v>44597</v>
      </c>
      <c r="B6246" s="6">
        <v>0</v>
      </c>
      <c r="C6246" s="6">
        <v>0.8</v>
      </c>
      <c r="D6246" s="6">
        <v>0.8</v>
      </c>
      <c r="E6246" s="7">
        <v>0</v>
      </c>
      <c r="F6246" s="6">
        <v>2.2000000000000002</v>
      </c>
      <c r="G6246" s="6"/>
      <c r="H6246" s="6">
        <v>3.8</v>
      </c>
      <c r="I6246" s="6">
        <v>2.7</v>
      </c>
      <c r="J6246" s="6">
        <v>4.3</v>
      </c>
      <c r="K6246" s="6">
        <v>2.1</v>
      </c>
      <c r="L6246" s="7">
        <v>6.6040000000000001</v>
      </c>
      <c r="M6246" s="6"/>
      <c r="N6246" s="6">
        <v>4.4000000000000004</v>
      </c>
      <c r="O6246" s="7"/>
      <c r="P6246" s="7">
        <v>0</v>
      </c>
      <c r="Q6246" s="6">
        <v>1.2</v>
      </c>
      <c r="R6246" s="6">
        <v>0</v>
      </c>
      <c r="S6246" s="6">
        <v>2.2000000000000002</v>
      </c>
      <c r="T6246" s="7">
        <v>2.6</v>
      </c>
      <c r="U6246" s="6">
        <v>6</v>
      </c>
      <c r="V6246" s="7">
        <v>0</v>
      </c>
      <c r="W6246" s="7"/>
      <c r="X6246" s="6">
        <v>0.3</v>
      </c>
      <c r="Y6246" s="7">
        <v>0</v>
      </c>
      <c r="Z6246" s="7"/>
      <c r="AA6246" s="9"/>
      <c r="AC6246" s="38">
        <v>0</v>
      </c>
    </row>
    <row r="6247" spans="1:29" x14ac:dyDescent="0.25">
      <c r="A6247" s="22">
        <v>44598</v>
      </c>
      <c r="B6247" s="6">
        <v>11.6</v>
      </c>
      <c r="C6247" s="6">
        <v>1.8</v>
      </c>
      <c r="D6247" s="6">
        <v>4.8</v>
      </c>
      <c r="E6247" s="7">
        <v>0</v>
      </c>
      <c r="F6247" s="6">
        <v>0</v>
      </c>
      <c r="G6247" s="6"/>
      <c r="H6247" s="6">
        <v>0.2</v>
      </c>
      <c r="I6247" s="6">
        <v>1.2</v>
      </c>
      <c r="J6247" s="6">
        <v>1.3</v>
      </c>
      <c r="K6247" s="6">
        <v>0</v>
      </c>
      <c r="L6247" s="7">
        <v>0</v>
      </c>
      <c r="M6247" s="6"/>
      <c r="N6247" s="6">
        <v>4.5999999999999996</v>
      </c>
      <c r="O6247" s="7"/>
      <c r="P6247" s="7">
        <v>0.5</v>
      </c>
      <c r="Q6247" s="6">
        <v>6.3</v>
      </c>
      <c r="R6247" s="6">
        <v>6</v>
      </c>
      <c r="S6247" s="6">
        <v>0.2</v>
      </c>
      <c r="T6247" s="7">
        <v>0.8</v>
      </c>
      <c r="U6247" s="6">
        <v>1</v>
      </c>
      <c r="V6247" s="7">
        <v>3.2</v>
      </c>
      <c r="W6247" s="7"/>
      <c r="X6247" s="6">
        <v>2.5</v>
      </c>
      <c r="Y6247" s="7">
        <v>0</v>
      </c>
      <c r="Z6247" s="7"/>
      <c r="AA6247" s="9"/>
      <c r="AC6247" s="38">
        <v>0</v>
      </c>
    </row>
    <row r="6248" spans="1:29" x14ac:dyDescent="0.25">
      <c r="A6248" s="22">
        <v>44599</v>
      </c>
      <c r="B6248" s="6">
        <v>0</v>
      </c>
      <c r="C6248" s="6">
        <v>0</v>
      </c>
      <c r="D6248" s="6">
        <v>10.8</v>
      </c>
      <c r="E6248" s="7">
        <v>0</v>
      </c>
      <c r="F6248" s="6">
        <v>2.2000000000000002</v>
      </c>
      <c r="G6248" s="6"/>
      <c r="H6248" s="6">
        <v>3.1</v>
      </c>
      <c r="I6248" s="6">
        <v>3.1</v>
      </c>
      <c r="J6248" s="6">
        <v>6</v>
      </c>
      <c r="K6248" s="6">
        <v>4.5</v>
      </c>
      <c r="L6248" s="7">
        <v>13.208</v>
      </c>
      <c r="M6248" s="6"/>
      <c r="N6248" s="6">
        <v>6.4</v>
      </c>
      <c r="O6248" s="7"/>
      <c r="P6248" s="7">
        <v>10</v>
      </c>
      <c r="Q6248" s="6">
        <v>2.5</v>
      </c>
      <c r="R6248" s="6">
        <v>0</v>
      </c>
      <c r="S6248" s="6">
        <v>0.4</v>
      </c>
      <c r="T6248" s="7">
        <v>1.2</v>
      </c>
      <c r="U6248" s="6">
        <v>0</v>
      </c>
      <c r="V6248" s="7">
        <v>10.1</v>
      </c>
      <c r="W6248" s="7"/>
      <c r="X6248" s="6">
        <v>0</v>
      </c>
      <c r="Y6248" s="7">
        <v>0</v>
      </c>
      <c r="Z6248" s="7"/>
      <c r="AA6248" s="9"/>
      <c r="AC6248" s="38">
        <v>1</v>
      </c>
    </row>
    <row r="6249" spans="1:29" x14ac:dyDescent="0.25">
      <c r="A6249" s="22">
        <v>44600</v>
      </c>
      <c r="B6249" s="6">
        <v>0</v>
      </c>
      <c r="C6249" s="6">
        <v>1.2</v>
      </c>
      <c r="D6249" s="6">
        <v>2</v>
      </c>
      <c r="E6249" s="7">
        <v>8</v>
      </c>
      <c r="F6249" s="6">
        <v>0.1</v>
      </c>
      <c r="G6249" s="6"/>
      <c r="H6249" s="6">
        <v>1.5</v>
      </c>
      <c r="I6249" s="6">
        <v>0</v>
      </c>
      <c r="J6249" s="6">
        <v>6.2</v>
      </c>
      <c r="K6249" s="6">
        <v>6.4</v>
      </c>
      <c r="L6249" s="7">
        <v>0</v>
      </c>
      <c r="M6249" s="6"/>
      <c r="N6249" s="6">
        <v>5.8</v>
      </c>
      <c r="O6249" s="7"/>
      <c r="P6249" s="7">
        <v>0</v>
      </c>
      <c r="Q6249" s="6">
        <v>0</v>
      </c>
      <c r="R6249" s="6">
        <v>0</v>
      </c>
      <c r="S6249" s="6">
        <v>0</v>
      </c>
      <c r="T6249" s="7">
        <v>0</v>
      </c>
      <c r="U6249" s="6">
        <v>16</v>
      </c>
      <c r="V6249" s="7">
        <v>0</v>
      </c>
      <c r="W6249" s="7"/>
      <c r="X6249" s="6">
        <v>1.3</v>
      </c>
      <c r="Y6249" s="7">
        <v>0</v>
      </c>
      <c r="Z6249" s="7"/>
      <c r="AA6249" s="9"/>
      <c r="AC6249" s="38">
        <v>1</v>
      </c>
    </row>
    <row r="6250" spans="1:29" x14ac:dyDescent="0.25">
      <c r="A6250" s="22">
        <v>44601</v>
      </c>
      <c r="B6250" s="6">
        <v>17</v>
      </c>
      <c r="C6250" s="6">
        <v>0</v>
      </c>
      <c r="D6250" s="6">
        <v>0</v>
      </c>
      <c r="E6250" s="7">
        <v>0</v>
      </c>
      <c r="F6250" s="6">
        <v>0</v>
      </c>
      <c r="G6250" s="6"/>
      <c r="H6250" s="6">
        <v>0</v>
      </c>
      <c r="I6250" s="6">
        <v>0</v>
      </c>
      <c r="J6250" s="6">
        <v>0</v>
      </c>
      <c r="K6250" s="6">
        <v>0</v>
      </c>
      <c r="L6250" s="7">
        <v>0</v>
      </c>
      <c r="M6250" s="6"/>
      <c r="N6250" s="6">
        <v>0.8</v>
      </c>
      <c r="O6250" s="7"/>
      <c r="P6250" s="7">
        <v>0</v>
      </c>
      <c r="Q6250" s="6">
        <v>9.9</v>
      </c>
      <c r="R6250" s="6">
        <v>8</v>
      </c>
      <c r="S6250" s="6">
        <v>1</v>
      </c>
      <c r="T6250" s="7">
        <v>1.4</v>
      </c>
      <c r="U6250" s="6">
        <v>0</v>
      </c>
      <c r="V6250" s="7">
        <v>15.5</v>
      </c>
      <c r="W6250" s="7"/>
      <c r="X6250" s="6">
        <v>2.6</v>
      </c>
      <c r="Y6250" s="7">
        <v>0</v>
      </c>
      <c r="Z6250" s="7"/>
      <c r="AA6250" s="9"/>
      <c r="AC6250" s="38">
        <v>0</v>
      </c>
    </row>
    <row r="6251" spans="1:29" x14ac:dyDescent="0.25">
      <c r="A6251" s="22">
        <v>44602</v>
      </c>
      <c r="B6251" s="6">
        <v>0</v>
      </c>
      <c r="C6251" s="6">
        <v>13.2</v>
      </c>
      <c r="D6251" s="6">
        <v>13.9</v>
      </c>
      <c r="E6251" s="7">
        <v>20</v>
      </c>
      <c r="F6251" s="6">
        <v>9</v>
      </c>
      <c r="G6251" s="6"/>
      <c r="H6251" s="6">
        <v>12.5</v>
      </c>
      <c r="I6251" s="6">
        <v>11.6</v>
      </c>
      <c r="J6251" s="6">
        <v>16.2</v>
      </c>
      <c r="K6251" s="6">
        <v>16.399999999999999</v>
      </c>
      <c r="L6251" s="7">
        <v>16.256</v>
      </c>
      <c r="M6251" s="6"/>
      <c r="N6251" s="6">
        <v>19.600000000000001</v>
      </c>
      <c r="O6251" s="7"/>
      <c r="P6251" s="7">
        <v>20</v>
      </c>
      <c r="Q6251" s="6">
        <v>7.6</v>
      </c>
      <c r="R6251" s="6">
        <v>0</v>
      </c>
      <c r="S6251" s="6">
        <v>1</v>
      </c>
      <c r="T6251" s="7">
        <v>2.6</v>
      </c>
      <c r="U6251" s="6">
        <v>21</v>
      </c>
      <c r="V6251" s="7">
        <v>0.6</v>
      </c>
      <c r="W6251" s="7"/>
      <c r="X6251" s="6">
        <v>1.2</v>
      </c>
      <c r="Y6251" s="7">
        <v>6</v>
      </c>
      <c r="Z6251" s="7"/>
      <c r="AA6251" s="9"/>
      <c r="AC6251" s="38">
        <v>3</v>
      </c>
    </row>
    <row r="6252" spans="1:29" x14ac:dyDescent="0.25">
      <c r="A6252" s="22">
        <v>44603</v>
      </c>
      <c r="B6252" s="6">
        <v>28</v>
      </c>
      <c r="C6252" s="6">
        <v>4</v>
      </c>
      <c r="D6252" s="6">
        <v>2.2000000000000002</v>
      </c>
      <c r="E6252" s="7">
        <v>0</v>
      </c>
      <c r="F6252" s="6">
        <v>1.3</v>
      </c>
      <c r="G6252" s="6"/>
      <c r="H6252" s="6">
        <v>3.5</v>
      </c>
      <c r="I6252" s="6">
        <v>4.4000000000000004</v>
      </c>
      <c r="J6252" s="6">
        <v>2.2000000000000002</v>
      </c>
      <c r="K6252" s="6">
        <v>0</v>
      </c>
      <c r="L6252" s="7">
        <v>3.556</v>
      </c>
      <c r="M6252" s="6"/>
      <c r="N6252" s="6">
        <v>5.6</v>
      </c>
      <c r="O6252" s="7"/>
      <c r="P6252" s="7">
        <v>0.5</v>
      </c>
      <c r="Q6252" s="6">
        <v>13.4</v>
      </c>
      <c r="R6252" s="6">
        <v>1</v>
      </c>
      <c r="S6252" s="6">
        <v>4.4000000000000004</v>
      </c>
      <c r="T6252" s="7">
        <v>5.4</v>
      </c>
      <c r="U6252" s="6">
        <v>1</v>
      </c>
      <c r="V6252" s="7">
        <v>5.2</v>
      </c>
      <c r="W6252" s="7"/>
      <c r="X6252" s="6">
        <v>3.7</v>
      </c>
      <c r="Y6252" s="7">
        <v>2</v>
      </c>
      <c r="Z6252" s="7"/>
      <c r="AA6252" s="9"/>
      <c r="AC6252" s="38">
        <v>1</v>
      </c>
    </row>
    <row r="6253" spans="1:29" x14ac:dyDescent="0.25">
      <c r="A6253" s="22">
        <v>44604</v>
      </c>
      <c r="B6253" s="6">
        <v>4</v>
      </c>
      <c r="C6253" s="6">
        <v>18.399999999999999</v>
      </c>
      <c r="D6253" s="6">
        <v>16.2</v>
      </c>
      <c r="E6253" s="7">
        <v>0</v>
      </c>
      <c r="F6253" s="6">
        <v>4.3</v>
      </c>
      <c r="G6253" s="6"/>
      <c r="H6253" s="6">
        <v>4.3</v>
      </c>
      <c r="I6253" s="6">
        <v>2.8</v>
      </c>
      <c r="J6253" s="6">
        <v>6.8</v>
      </c>
      <c r="K6253" s="6">
        <v>8</v>
      </c>
      <c r="L6253" s="7">
        <v>6.6040000000000001</v>
      </c>
      <c r="M6253" s="6"/>
      <c r="N6253" s="6">
        <v>5.8</v>
      </c>
      <c r="O6253" s="7"/>
      <c r="P6253" s="7">
        <v>6.5</v>
      </c>
      <c r="Q6253" s="6">
        <v>8.3000000000000007</v>
      </c>
      <c r="R6253" s="6">
        <v>13</v>
      </c>
      <c r="S6253" s="6">
        <v>1</v>
      </c>
      <c r="T6253" s="7">
        <v>9.1999999999999993</v>
      </c>
      <c r="U6253" s="6">
        <v>6</v>
      </c>
      <c r="V6253" s="7">
        <v>7.2</v>
      </c>
      <c r="W6253" s="7"/>
      <c r="X6253" s="6">
        <v>4.5</v>
      </c>
      <c r="Y6253" s="7">
        <v>0</v>
      </c>
      <c r="Z6253" s="7"/>
      <c r="AA6253" s="9"/>
      <c r="AC6253" s="38">
        <v>8</v>
      </c>
    </row>
    <row r="6254" spans="1:29" x14ac:dyDescent="0.25">
      <c r="A6254" s="22">
        <v>44605</v>
      </c>
      <c r="B6254" s="6">
        <v>11</v>
      </c>
      <c r="C6254" s="6">
        <v>12</v>
      </c>
      <c r="D6254" s="6">
        <v>4.8</v>
      </c>
      <c r="E6254" s="7">
        <v>16</v>
      </c>
      <c r="F6254" s="6">
        <v>6.3</v>
      </c>
      <c r="G6254" s="6"/>
      <c r="H6254" s="6">
        <v>7.6</v>
      </c>
      <c r="I6254" s="6">
        <v>8.1</v>
      </c>
      <c r="J6254" s="6">
        <v>9</v>
      </c>
      <c r="K6254" s="6">
        <v>10</v>
      </c>
      <c r="L6254" s="7">
        <v>1.778</v>
      </c>
      <c r="M6254" s="6"/>
      <c r="N6254" s="6">
        <v>3</v>
      </c>
      <c r="O6254" s="7"/>
      <c r="P6254" s="7">
        <v>4.5</v>
      </c>
      <c r="Q6254" s="6">
        <v>4</v>
      </c>
      <c r="R6254" s="6">
        <v>6</v>
      </c>
      <c r="S6254" s="6">
        <v>0.6</v>
      </c>
      <c r="T6254" s="7">
        <v>0.8</v>
      </c>
      <c r="U6254" s="6">
        <v>0</v>
      </c>
      <c r="V6254" s="7">
        <v>10.3</v>
      </c>
      <c r="W6254" s="7"/>
      <c r="X6254" s="6">
        <v>0</v>
      </c>
      <c r="Y6254" s="7">
        <v>0</v>
      </c>
      <c r="Z6254" s="7"/>
      <c r="AA6254" s="9"/>
      <c r="AC6254" s="38">
        <v>3</v>
      </c>
    </row>
    <row r="6255" spans="1:29" x14ac:dyDescent="0.25">
      <c r="A6255" s="22">
        <v>44606</v>
      </c>
      <c r="B6255" s="6">
        <v>0</v>
      </c>
      <c r="C6255" s="6">
        <v>5.2</v>
      </c>
      <c r="D6255" s="6">
        <v>12</v>
      </c>
      <c r="E6255" s="7">
        <v>0</v>
      </c>
      <c r="F6255" s="6">
        <v>4.2</v>
      </c>
      <c r="G6255" s="6"/>
      <c r="H6255" s="6">
        <v>4.9000000000000004</v>
      </c>
      <c r="I6255" s="6">
        <v>5.2</v>
      </c>
      <c r="J6255" s="6">
        <v>7.8</v>
      </c>
      <c r="K6255" s="6">
        <v>6.5</v>
      </c>
      <c r="L6255" s="7">
        <v>3.8099999999999996</v>
      </c>
      <c r="M6255" s="6"/>
      <c r="N6255" s="6">
        <v>3.4</v>
      </c>
      <c r="O6255" s="7"/>
      <c r="P6255" s="7">
        <v>4.5</v>
      </c>
      <c r="Q6255" s="6">
        <v>15.2</v>
      </c>
      <c r="R6255" s="6">
        <v>2</v>
      </c>
      <c r="S6255" s="6">
        <v>2</v>
      </c>
      <c r="T6255" s="7">
        <v>0.4</v>
      </c>
      <c r="U6255" s="6">
        <v>1</v>
      </c>
      <c r="V6255" s="7">
        <v>2.2000000000000002</v>
      </c>
      <c r="W6255" s="7"/>
      <c r="X6255" s="6">
        <v>2.4</v>
      </c>
      <c r="Y6255" s="7">
        <v>12</v>
      </c>
      <c r="Z6255" s="7"/>
      <c r="AA6255" s="9"/>
      <c r="AC6255" s="38">
        <v>4</v>
      </c>
    </row>
    <row r="6256" spans="1:29" x14ac:dyDescent="0.25">
      <c r="A6256" s="22">
        <v>44607</v>
      </c>
      <c r="B6256" s="6">
        <v>11.5</v>
      </c>
      <c r="C6256" s="6">
        <v>0.8</v>
      </c>
      <c r="D6256" s="6">
        <v>0.4</v>
      </c>
      <c r="E6256" s="7">
        <v>0</v>
      </c>
      <c r="F6256" s="6">
        <v>0</v>
      </c>
      <c r="G6256" s="6"/>
      <c r="H6256" s="6">
        <v>0</v>
      </c>
      <c r="I6256" s="6">
        <v>2.1</v>
      </c>
      <c r="J6256" s="6">
        <v>0.6</v>
      </c>
      <c r="K6256" s="6">
        <v>2.2000000000000002</v>
      </c>
      <c r="L6256" s="7">
        <v>3.302</v>
      </c>
      <c r="M6256" s="6"/>
      <c r="N6256" s="6">
        <v>5.2</v>
      </c>
      <c r="O6256" s="7"/>
      <c r="P6256" s="7">
        <v>0</v>
      </c>
      <c r="Q6256" s="6">
        <v>6.3</v>
      </c>
      <c r="R6256" s="6">
        <v>1</v>
      </c>
      <c r="S6256" s="6">
        <v>1</v>
      </c>
      <c r="T6256" s="7">
        <v>0.4</v>
      </c>
      <c r="U6256" s="6">
        <v>0</v>
      </c>
      <c r="V6256" s="7">
        <v>18.5</v>
      </c>
      <c r="W6256" s="7"/>
      <c r="X6256" s="6">
        <v>0</v>
      </c>
      <c r="Y6256" s="7">
        <v>0</v>
      </c>
      <c r="Z6256" s="7"/>
      <c r="AA6256" s="9"/>
      <c r="AC6256" s="38">
        <v>0</v>
      </c>
    </row>
    <row r="6257" spans="1:29" x14ac:dyDescent="0.25">
      <c r="A6257" s="22">
        <v>44608</v>
      </c>
      <c r="B6257" s="6">
        <v>0</v>
      </c>
      <c r="C6257" s="6">
        <v>13.6</v>
      </c>
      <c r="D6257" s="6">
        <v>13.2</v>
      </c>
      <c r="E6257" s="7">
        <v>8</v>
      </c>
      <c r="F6257" s="6">
        <v>13.1</v>
      </c>
      <c r="G6257" s="6"/>
      <c r="H6257" s="6">
        <v>14.3</v>
      </c>
      <c r="I6257" s="6">
        <v>14</v>
      </c>
      <c r="J6257" s="6">
        <v>30.5</v>
      </c>
      <c r="K6257" s="6">
        <v>35</v>
      </c>
      <c r="L6257" s="7">
        <v>3.302</v>
      </c>
      <c r="M6257" s="6"/>
      <c r="N6257" s="6">
        <v>27.8</v>
      </c>
      <c r="O6257" s="7"/>
      <c r="P6257" s="7">
        <v>3</v>
      </c>
      <c r="Q6257" s="6">
        <v>0</v>
      </c>
      <c r="R6257" s="6">
        <v>6</v>
      </c>
      <c r="S6257" s="6">
        <v>4.4000000000000004</v>
      </c>
      <c r="T6257" s="7">
        <v>3.2</v>
      </c>
      <c r="U6257" s="6">
        <v>20</v>
      </c>
      <c r="V6257" s="7">
        <v>7.5</v>
      </c>
      <c r="W6257" s="7"/>
      <c r="X6257" s="6">
        <v>1.3</v>
      </c>
      <c r="Y6257" s="7">
        <v>10</v>
      </c>
      <c r="Z6257" s="7"/>
      <c r="AA6257" s="9"/>
      <c r="AC6257" s="38">
        <v>11</v>
      </c>
    </row>
    <row r="6258" spans="1:29" x14ac:dyDescent="0.25">
      <c r="A6258" s="22">
        <v>44609</v>
      </c>
      <c r="B6258" s="6">
        <v>0</v>
      </c>
      <c r="C6258" s="6">
        <v>0.8</v>
      </c>
      <c r="D6258" s="6">
        <v>2.2000000000000002</v>
      </c>
      <c r="E6258" s="7">
        <v>0</v>
      </c>
      <c r="F6258" s="6">
        <v>2</v>
      </c>
      <c r="G6258" s="6"/>
      <c r="H6258" s="6">
        <v>0</v>
      </c>
      <c r="I6258" s="6">
        <v>3.4</v>
      </c>
      <c r="J6258" s="6">
        <v>6.2</v>
      </c>
      <c r="K6258" s="6">
        <v>2</v>
      </c>
      <c r="L6258" s="7">
        <v>0</v>
      </c>
      <c r="M6258" s="6"/>
      <c r="N6258" s="6">
        <v>0.8</v>
      </c>
      <c r="O6258" s="7"/>
      <c r="P6258" s="7">
        <v>0</v>
      </c>
      <c r="Q6258" s="6">
        <v>5.8</v>
      </c>
      <c r="R6258" s="6">
        <v>0</v>
      </c>
      <c r="S6258" s="6">
        <v>0.4</v>
      </c>
      <c r="T6258" s="7">
        <v>0.4</v>
      </c>
      <c r="U6258" s="6">
        <v>0</v>
      </c>
      <c r="V6258" s="7">
        <v>0.2</v>
      </c>
      <c r="W6258" s="7"/>
      <c r="X6258" s="6">
        <v>2.2000000000000002</v>
      </c>
      <c r="Y6258" s="7">
        <v>2</v>
      </c>
      <c r="Z6258" s="7"/>
      <c r="AA6258" s="9"/>
      <c r="AC6258" s="38">
        <v>2</v>
      </c>
    </row>
    <row r="6259" spans="1:29" x14ac:dyDescent="0.25">
      <c r="A6259" s="22">
        <v>44610</v>
      </c>
      <c r="B6259" s="6">
        <v>10</v>
      </c>
      <c r="C6259" s="6">
        <v>2</v>
      </c>
      <c r="D6259" s="6">
        <v>4.8</v>
      </c>
      <c r="E6259" s="7">
        <v>0</v>
      </c>
      <c r="F6259" s="6">
        <v>0</v>
      </c>
      <c r="G6259" s="6"/>
      <c r="H6259" s="6">
        <v>1.2</v>
      </c>
      <c r="I6259" s="6">
        <v>6.9</v>
      </c>
      <c r="J6259" s="6">
        <v>3</v>
      </c>
      <c r="K6259" s="6">
        <v>1</v>
      </c>
      <c r="L6259" s="7">
        <v>2.2859999999999996</v>
      </c>
      <c r="M6259" s="6"/>
      <c r="N6259" s="6">
        <v>1.2</v>
      </c>
      <c r="O6259" s="7"/>
      <c r="P6259" s="7">
        <v>1</v>
      </c>
      <c r="Q6259" s="6">
        <v>6.8</v>
      </c>
      <c r="R6259" s="6">
        <v>4</v>
      </c>
      <c r="S6259" s="6">
        <v>0</v>
      </c>
      <c r="T6259" s="7">
        <v>5.2</v>
      </c>
      <c r="U6259" s="6">
        <v>2</v>
      </c>
      <c r="V6259" s="7">
        <v>2.1</v>
      </c>
      <c r="W6259" s="7"/>
      <c r="X6259" s="6">
        <v>0</v>
      </c>
      <c r="Y6259" s="7">
        <v>0</v>
      </c>
      <c r="Z6259" s="7"/>
      <c r="AA6259" s="9"/>
      <c r="AC6259" s="38">
        <v>3</v>
      </c>
    </row>
    <row r="6260" spans="1:29" x14ac:dyDescent="0.25">
      <c r="A6260" s="22">
        <v>44611</v>
      </c>
      <c r="B6260" s="6">
        <v>2</v>
      </c>
      <c r="C6260" s="6">
        <v>2.8</v>
      </c>
      <c r="D6260" s="6">
        <v>2.1</v>
      </c>
      <c r="E6260" s="7">
        <v>0</v>
      </c>
      <c r="F6260" s="6">
        <v>0</v>
      </c>
      <c r="G6260" s="6"/>
      <c r="H6260" s="6">
        <v>1.1000000000000001</v>
      </c>
      <c r="I6260" s="6">
        <v>3.1</v>
      </c>
      <c r="J6260" s="6">
        <v>2.4</v>
      </c>
      <c r="K6260" s="6">
        <v>2</v>
      </c>
      <c r="L6260" s="7">
        <v>1.016</v>
      </c>
      <c r="M6260" s="6"/>
      <c r="N6260" s="6">
        <v>2.2000000000000002</v>
      </c>
      <c r="O6260" s="7"/>
      <c r="P6260" s="7">
        <v>4.5</v>
      </c>
      <c r="Q6260" s="6">
        <v>0</v>
      </c>
      <c r="R6260" s="6">
        <v>1</v>
      </c>
      <c r="S6260" s="6">
        <v>0</v>
      </c>
      <c r="T6260" s="7">
        <v>2.4</v>
      </c>
      <c r="U6260" s="6">
        <v>0</v>
      </c>
      <c r="V6260" s="7">
        <v>0</v>
      </c>
      <c r="W6260" s="7"/>
      <c r="X6260" s="6">
        <v>0.6</v>
      </c>
      <c r="Y6260" s="7">
        <v>0</v>
      </c>
      <c r="Z6260" s="7"/>
      <c r="AA6260" s="9"/>
      <c r="AC6260" s="38">
        <v>0</v>
      </c>
    </row>
    <row r="6261" spans="1:29" x14ac:dyDescent="0.25">
      <c r="A6261" s="22">
        <v>44612</v>
      </c>
      <c r="B6261" s="6">
        <v>4</v>
      </c>
      <c r="C6261" s="6">
        <v>0.8</v>
      </c>
      <c r="D6261" s="6">
        <v>16.399999999999999</v>
      </c>
      <c r="E6261" s="7">
        <v>0</v>
      </c>
      <c r="F6261" s="6">
        <v>3.3</v>
      </c>
      <c r="G6261" s="6"/>
      <c r="H6261" s="6">
        <v>1.9</v>
      </c>
      <c r="I6261" s="6">
        <v>2.8</v>
      </c>
      <c r="J6261" s="6">
        <v>8</v>
      </c>
      <c r="K6261" s="6">
        <v>2.6</v>
      </c>
      <c r="L6261" s="7">
        <v>1.778</v>
      </c>
      <c r="M6261" s="6"/>
      <c r="N6261" s="6">
        <v>14.6</v>
      </c>
      <c r="O6261" s="7"/>
      <c r="P6261" s="7">
        <v>2</v>
      </c>
      <c r="Q6261" s="6">
        <v>1.5</v>
      </c>
      <c r="R6261" s="6">
        <v>0</v>
      </c>
      <c r="S6261" s="6">
        <v>0.6</v>
      </c>
      <c r="T6261" s="7">
        <v>0.6</v>
      </c>
      <c r="U6261" s="6">
        <v>0</v>
      </c>
      <c r="V6261" s="7">
        <v>10.199999999999999</v>
      </c>
      <c r="W6261" s="7"/>
      <c r="X6261" s="6">
        <v>0</v>
      </c>
      <c r="Y6261" s="7">
        <v>6</v>
      </c>
      <c r="Z6261" s="7"/>
      <c r="AA6261" s="9"/>
      <c r="AC6261" s="38">
        <v>0</v>
      </c>
    </row>
    <row r="6262" spans="1:29" x14ac:dyDescent="0.25">
      <c r="A6262" s="22">
        <v>44613</v>
      </c>
      <c r="B6262" s="6">
        <v>0</v>
      </c>
      <c r="C6262" s="6">
        <v>6</v>
      </c>
      <c r="D6262" s="6">
        <v>4.4000000000000004</v>
      </c>
      <c r="E6262" s="7">
        <v>8</v>
      </c>
      <c r="F6262" s="6">
        <v>3</v>
      </c>
      <c r="G6262" s="6"/>
      <c r="H6262" s="6">
        <v>0.3</v>
      </c>
      <c r="I6262" s="6">
        <v>8.4</v>
      </c>
      <c r="J6262" s="6">
        <v>14.2</v>
      </c>
      <c r="K6262" s="6">
        <v>1.8</v>
      </c>
      <c r="L6262" s="7">
        <v>2.794</v>
      </c>
      <c r="M6262" s="6"/>
      <c r="N6262" s="6">
        <v>3.2</v>
      </c>
      <c r="O6262" s="7"/>
      <c r="P6262" s="7">
        <v>0</v>
      </c>
      <c r="Q6262" s="6">
        <v>0.1</v>
      </c>
      <c r="R6262" s="6">
        <v>2</v>
      </c>
      <c r="S6262" s="6">
        <v>0.6</v>
      </c>
      <c r="T6262" s="7">
        <v>0.2</v>
      </c>
      <c r="U6262" s="6">
        <v>10</v>
      </c>
      <c r="V6262" s="7">
        <v>0</v>
      </c>
      <c r="W6262" s="7"/>
      <c r="X6262" s="6">
        <v>1.2</v>
      </c>
      <c r="Y6262" s="7">
        <v>0</v>
      </c>
      <c r="Z6262" s="7"/>
      <c r="AA6262" s="9"/>
      <c r="AC6262" s="42">
        <v>-8736</v>
      </c>
    </row>
    <row r="6263" spans="1:29" x14ac:dyDescent="0.25">
      <c r="A6263" s="22">
        <v>44614</v>
      </c>
      <c r="B6263" s="6">
        <v>7.5</v>
      </c>
      <c r="C6263" s="6">
        <v>0</v>
      </c>
      <c r="D6263" s="6">
        <v>0.2</v>
      </c>
      <c r="E6263" s="7">
        <v>0</v>
      </c>
      <c r="F6263" s="6">
        <v>0</v>
      </c>
      <c r="G6263" s="6"/>
      <c r="H6263" s="6">
        <v>0</v>
      </c>
      <c r="I6263" s="6">
        <v>1.1000000000000001</v>
      </c>
      <c r="J6263" s="6">
        <v>0.3</v>
      </c>
      <c r="K6263" s="6">
        <v>0</v>
      </c>
      <c r="L6263" s="7">
        <v>1.27</v>
      </c>
      <c r="M6263" s="6"/>
      <c r="N6263" s="6">
        <v>0.2</v>
      </c>
      <c r="O6263" s="7"/>
      <c r="P6263" s="7">
        <v>0</v>
      </c>
      <c r="Q6263" s="6">
        <v>3.8</v>
      </c>
      <c r="R6263" s="6">
        <v>0</v>
      </c>
      <c r="S6263" s="6">
        <v>0</v>
      </c>
      <c r="T6263" s="7">
        <v>0</v>
      </c>
      <c r="U6263" s="6">
        <v>0</v>
      </c>
      <c r="V6263" s="7">
        <v>1.5</v>
      </c>
      <c r="W6263" s="7"/>
      <c r="X6263" s="6">
        <v>0</v>
      </c>
      <c r="Y6263" s="7">
        <v>0</v>
      </c>
      <c r="Z6263" s="7"/>
      <c r="AA6263" s="9"/>
      <c r="AC6263" s="38">
        <v>0</v>
      </c>
    </row>
    <row r="6264" spans="1:29" x14ac:dyDescent="0.25">
      <c r="A6264" s="22">
        <v>44615</v>
      </c>
      <c r="B6264" s="6">
        <v>0</v>
      </c>
      <c r="C6264" s="6">
        <v>2.8</v>
      </c>
      <c r="D6264" s="6">
        <v>3.2</v>
      </c>
      <c r="E6264" s="7">
        <v>0</v>
      </c>
      <c r="F6264" s="6">
        <v>1</v>
      </c>
      <c r="G6264" s="6"/>
      <c r="H6264" s="6">
        <v>3.2</v>
      </c>
      <c r="I6264" s="6">
        <v>1.2</v>
      </c>
      <c r="J6264" s="6">
        <v>4.3</v>
      </c>
      <c r="K6264" s="6">
        <v>6.3</v>
      </c>
      <c r="L6264" s="7">
        <v>0.7619999999999999</v>
      </c>
      <c r="M6264" s="6"/>
      <c r="N6264" s="6">
        <v>4.2</v>
      </c>
      <c r="O6264" s="7"/>
      <c r="P6264" s="7">
        <v>0</v>
      </c>
      <c r="Q6264" s="6">
        <v>0</v>
      </c>
      <c r="R6264" s="6">
        <v>0</v>
      </c>
      <c r="S6264" s="6">
        <v>0.2</v>
      </c>
      <c r="T6264" s="7">
        <v>0</v>
      </c>
      <c r="U6264" s="6">
        <v>20</v>
      </c>
      <c r="V6264" s="7">
        <v>0</v>
      </c>
      <c r="W6264" s="7"/>
      <c r="X6264" s="6">
        <v>0</v>
      </c>
      <c r="Y6264" s="7">
        <v>18</v>
      </c>
      <c r="Z6264" s="7"/>
      <c r="AA6264" s="9"/>
      <c r="AC6264" s="38">
        <v>0</v>
      </c>
    </row>
    <row r="6265" spans="1:29" x14ac:dyDescent="0.25">
      <c r="A6265" s="22">
        <v>44616</v>
      </c>
      <c r="B6265" s="6">
        <v>0</v>
      </c>
      <c r="C6265" s="6">
        <v>0</v>
      </c>
      <c r="D6265" s="6">
        <v>0</v>
      </c>
      <c r="E6265" s="7">
        <v>0</v>
      </c>
      <c r="F6265" s="6">
        <v>0</v>
      </c>
      <c r="G6265" s="6"/>
      <c r="H6265" s="6">
        <v>0</v>
      </c>
      <c r="I6265" s="6">
        <v>0</v>
      </c>
      <c r="J6265" s="6">
        <v>0</v>
      </c>
      <c r="K6265" s="6">
        <v>0</v>
      </c>
      <c r="L6265" s="7">
        <v>0</v>
      </c>
      <c r="M6265" s="6"/>
      <c r="N6265" s="6">
        <v>0</v>
      </c>
      <c r="O6265" s="7"/>
      <c r="P6265" s="7">
        <v>0</v>
      </c>
      <c r="Q6265" s="6">
        <v>7.4</v>
      </c>
      <c r="R6265" s="6">
        <v>4</v>
      </c>
      <c r="S6265" s="6">
        <v>0</v>
      </c>
      <c r="T6265" s="7">
        <v>0</v>
      </c>
      <c r="U6265" s="6">
        <v>20</v>
      </c>
      <c r="V6265" s="7">
        <v>10.199999999999999</v>
      </c>
      <c r="W6265" s="7"/>
      <c r="X6265" s="6">
        <v>0</v>
      </c>
      <c r="Y6265" s="7">
        <v>0</v>
      </c>
      <c r="Z6265" s="7"/>
      <c r="AA6265" s="9"/>
      <c r="AC6265" s="38">
        <v>1</v>
      </c>
    </row>
    <row r="6266" spans="1:29" x14ac:dyDescent="0.25">
      <c r="A6266" s="22">
        <v>44617</v>
      </c>
      <c r="B6266" s="6">
        <v>0</v>
      </c>
      <c r="C6266" s="6">
        <v>8.8000000000000007</v>
      </c>
      <c r="D6266" s="6">
        <v>12.5</v>
      </c>
      <c r="E6266" s="7">
        <v>38</v>
      </c>
      <c r="F6266" s="6">
        <v>20.100000000000001</v>
      </c>
      <c r="G6266" s="6"/>
      <c r="H6266" s="6">
        <v>16</v>
      </c>
      <c r="I6266" s="6">
        <v>8.3000000000000007</v>
      </c>
      <c r="J6266" s="6">
        <v>11.8</v>
      </c>
      <c r="K6266" s="6">
        <v>12</v>
      </c>
      <c r="L6266" s="7">
        <v>19.812000000000001</v>
      </c>
      <c r="M6266" s="6"/>
      <c r="N6266" s="6">
        <v>28.2</v>
      </c>
      <c r="O6266" s="7"/>
      <c r="P6266" s="7">
        <v>26.3</v>
      </c>
      <c r="Q6266" s="6">
        <v>45.2</v>
      </c>
      <c r="R6266" s="6">
        <v>5</v>
      </c>
      <c r="S6266" s="6">
        <v>4.4000000000000004</v>
      </c>
      <c r="T6266" s="7">
        <v>6.6</v>
      </c>
      <c r="U6266" s="6">
        <v>65</v>
      </c>
      <c r="V6266" s="7">
        <v>16.3</v>
      </c>
      <c r="W6266" s="7"/>
      <c r="X6266" s="6">
        <v>0</v>
      </c>
      <c r="Y6266" s="7">
        <v>22</v>
      </c>
      <c r="Z6266" s="7"/>
      <c r="AA6266" s="9"/>
      <c r="AC6266" s="38">
        <v>10</v>
      </c>
    </row>
    <row r="6267" spans="1:29" x14ac:dyDescent="0.25">
      <c r="A6267" s="22">
        <v>44618</v>
      </c>
      <c r="B6267" s="6">
        <v>59</v>
      </c>
      <c r="C6267" s="6">
        <v>24.6</v>
      </c>
      <c r="D6267" s="6">
        <v>21</v>
      </c>
      <c r="E6267" s="7">
        <v>0</v>
      </c>
      <c r="F6267" s="6">
        <v>35.4</v>
      </c>
      <c r="G6267" s="6"/>
      <c r="H6267" s="6">
        <v>28.3</v>
      </c>
      <c r="I6267" s="6">
        <v>23.6</v>
      </c>
      <c r="J6267" s="6">
        <v>18.100000000000001</v>
      </c>
      <c r="K6267" s="6">
        <v>22.8</v>
      </c>
      <c r="L6267" s="7">
        <v>33.019999999999996</v>
      </c>
      <c r="M6267" s="6"/>
      <c r="N6267" s="6">
        <v>57.6</v>
      </c>
      <c r="O6267" s="7"/>
      <c r="P6267" s="7">
        <v>66</v>
      </c>
      <c r="Q6267" s="6">
        <v>37.299999999999997</v>
      </c>
      <c r="R6267" s="6">
        <v>28</v>
      </c>
      <c r="S6267" s="6">
        <v>22.2</v>
      </c>
      <c r="T6267" s="7">
        <v>23.8</v>
      </c>
      <c r="U6267" s="6">
        <v>85</v>
      </c>
      <c r="V6267" s="7">
        <v>0</v>
      </c>
      <c r="W6267" s="7"/>
      <c r="X6267" s="6">
        <v>40</v>
      </c>
      <c r="Y6267" s="7">
        <v>34</v>
      </c>
      <c r="Z6267" s="7"/>
      <c r="AA6267" s="9"/>
      <c r="AC6267" s="38">
        <v>31</v>
      </c>
    </row>
    <row r="6268" spans="1:29" x14ac:dyDescent="0.25">
      <c r="A6268" s="22">
        <v>44619</v>
      </c>
      <c r="B6268" s="6">
        <v>0</v>
      </c>
      <c r="C6268" s="6">
        <v>20</v>
      </c>
      <c r="D6268" s="6">
        <v>22.2</v>
      </c>
      <c r="E6268" s="7">
        <v>0</v>
      </c>
      <c r="F6268" s="6">
        <v>38</v>
      </c>
      <c r="G6268" s="6"/>
      <c r="H6268" s="6">
        <v>33.799999999999997</v>
      </c>
      <c r="I6268" s="6">
        <v>27</v>
      </c>
      <c r="J6268" s="6">
        <v>36</v>
      </c>
      <c r="K6268" s="6">
        <v>30.1</v>
      </c>
      <c r="L6268" s="7">
        <v>40.893999999999998</v>
      </c>
      <c r="M6268" s="6"/>
      <c r="N6268" s="6">
        <v>0.2</v>
      </c>
      <c r="O6268" s="7"/>
      <c r="P6268" s="7">
        <v>7</v>
      </c>
      <c r="Q6268" s="6">
        <v>2.2000000000000002</v>
      </c>
      <c r="R6268" s="6">
        <v>5</v>
      </c>
      <c r="S6268" s="6">
        <v>0</v>
      </c>
      <c r="T6268" s="7">
        <v>0</v>
      </c>
      <c r="U6268" s="6">
        <v>7</v>
      </c>
      <c r="V6268" s="7">
        <v>0</v>
      </c>
      <c r="W6268" s="7"/>
      <c r="X6268" s="6">
        <v>50</v>
      </c>
      <c r="Y6268" s="7">
        <v>40</v>
      </c>
      <c r="Z6268" s="7"/>
      <c r="AA6268" s="9"/>
      <c r="AC6268" s="38">
        <v>0</v>
      </c>
    </row>
    <row r="6269" spans="1:29" x14ac:dyDescent="0.25">
      <c r="A6269" s="22">
        <v>44620</v>
      </c>
      <c r="B6269" s="6">
        <v>7</v>
      </c>
      <c r="C6269" s="6">
        <v>3</v>
      </c>
      <c r="D6269" s="6">
        <v>6</v>
      </c>
      <c r="E6269" s="7">
        <v>73</v>
      </c>
      <c r="F6269" s="6">
        <v>10</v>
      </c>
      <c r="G6269" s="6"/>
      <c r="H6269" s="6">
        <v>8.6999999999999993</v>
      </c>
      <c r="I6269" s="6">
        <v>3.2</v>
      </c>
      <c r="J6269" s="6">
        <v>14.2</v>
      </c>
      <c r="K6269" s="6">
        <v>12.2</v>
      </c>
      <c r="L6269" s="6"/>
      <c r="M6269" s="6"/>
      <c r="N6269" s="6">
        <v>20.399999999999999</v>
      </c>
      <c r="O6269" s="7"/>
      <c r="P6269" s="7">
        <v>2</v>
      </c>
      <c r="Q6269" s="6">
        <v>6.3</v>
      </c>
      <c r="R6269" s="6">
        <v>2</v>
      </c>
      <c r="S6269" s="6">
        <v>0.2</v>
      </c>
      <c r="T6269" s="7">
        <v>3.6</v>
      </c>
      <c r="U6269" s="6"/>
      <c r="V6269" s="7">
        <v>0</v>
      </c>
      <c r="W6269" s="7"/>
      <c r="X6269" s="6">
        <v>12</v>
      </c>
      <c r="Y6269" s="7">
        <v>14</v>
      </c>
      <c r="Z6269" s="7"/>
      <c r="AA6269" s="9"/>
      <c r="AC6269" s="38">
        <v>9</v>
      </c>
    </row>
    <row r="6270" spans="1:29" x14ac:dyDescent="0.25">
      <c r="A6270" s="22">
        <v>44621</v>
      </c>
      <c r="B6270" s="6">
        <v>6</v>
      </c>
      <c r="C6270" s="6">
        <v>5.6</v>
      </c>
      <c r="D6270" s="6">
        <v>8.4</v>
      </c>
      <c r="E6270" s="7"/>
      <c r="F6270" s="10">
        <v>2</v>
      </c>
      <c r="G6270" s="6">
        <v>5</v>
      </c>
      <c r="H6270" s="7">
        <v>3.9</v>
      </c>
      <c r="I6270" s="6">
        <v>2.8</v>
      </c>
      <c r="J6270" s="6">
        <v>9.9</v>
      </c>
      <c r="K6270" s="6">
        <v>6.6</v>
      </c>
      <c r="L6270" s="7">
        <v>0</v>
      </c>
      <c r="M6270" s="6">
        <v>8.8000000000000007</v>
      </c>
      <c r="N6270" s="10">
        <v>8</v>
      </c>
      <c r="O6270" s="7"/>
      <c r="P6270" s="7">
        <v>4.5</v>
      </c>
      <c r="Q6270" s="6">
        <v>3.3</v>
      </c>
      <c r="R6270" s="6">
        <v>2</v>
      </c>
      <c r="S6270" s="10">
        <v>2.4</v>
      </c>
      <c r="T6270" s="10">
        <v>1</v>
      </c>
      <c r="U6270" s="6">
        <v>65</v>
      </c>
      <c r="V6270" s="7">
        <v>7.2</v>
      </c>
      <c r="W6270" s="7"/>
      <c r="X6270" s="6">
        <v>0</v>
      </c>
      <c r="Y6270" s="7"/>
      <c r="Z6270" s="7"/>
      <c r="AA6270" s="9"/>
      <c r="AC6270" s="38">
        <v>5</v>
      </c>
    </row>
    <row r="6271" spans="1:29" x14ac:dyDescent="0.25">
      <c r="A6271" s="22">
        <v>44622</v>
      </c>
      <c r="B6271" s="6">
        <v>0</v>
      </c>
      <c r="C6271" s="6">
        <v>10.8</v>
      </c>
      <c r="D6271" s="6">
        <v>15.6</v>
      </c>
      <c r="E6271" s="7"/>
      <c r="F6271" s="10">
        <v>0.2</v>
      </c>
      <c r="G6271" s="6">
        <v>2</v>
      </c>
      <c r="H6271" s="7">
        <v>2.8</v>
      </c>
      <c r="I6271" s="6">
        <v>7.5</v>
      </c>
      <c r="J6271" s="6">
        <v>10.8</v>
      </c>
      <c r="K6271" s="6">
        <v>12.2</v>
      </c>
      <c r="L6271" s="7">
        <v>6.8579999999999997</v>
      </c>
      <c r="M6271" s="6">
        <v>2.8</v>
      </c>
      <c r="N6271" s="10">
        <v>6.4</v>
      </c>
      <c r="O6271" s="7"/>
      <c r="P6271" s="7">
        <v>3</v>
      </c>
      <c r="Q6271" s="6">
        <v>1.7</v>
      </c>
      <c r="R6271" s="6">
        <v>1</v>
      </c>
      <c r="S6271" s="10">
        <v>0</v>
      </c>
      <c r="T6271" s="10">
        <v>0</v>
      </c>
      <c r="U6271" s="6">
        <v>10</v>
      </c>
      <c r="V6271" s="7">
        <v>12.2</v>
      </c>
      <c r="W6271" s="7"/>
      <c r="X6271" s="6">
        <v>0</v>
      </c>
      <c r="Y6271" s="7"/>
      <c r="Z6271" s="7"/>
      <c r="AA6271" s="9"/>
      <c r="AC6271" s="38">
        <v>0</v>
      </c>
    </row>
    <row r="6272" spans="1:29" x14ac:dyDescent="0.25">
      <c r="A6272" s="22">
        <v>44623</v>
      </c>
      <c r="B6272" s="6">
        <v>20</v>
      </c>
      <c r="C6272" s="6">
        <v>2.2000000000000002</v>
      </c>
      <c r="D6272" s="6">
        <v>2.4</v>
      </c>
      <c r="E6272" s="7"/>
      <c r="F6272" s="10">
        <v>0.4</v>
      </c>
      <c r="G6272" s="6">
        <v>7.49</v>
      </c>
      <c r="H6272" s="7">
        <v>0</v>
      </c>
      <c r="I6272" s="6">
        <v>0.2</v>
      </c>
      <c r="J6272" s="6">
        <v>1.8</v>
      </c>
      <c r="K6272" s="6">
        <v>2.6</v>
      </c>
      <c r="L6272" s="7">
        <v>4.0640000000000001</v>
      </c>
      <c r="M6272" s="6">
        <v>0.2</v>
      </c>
      <c r="N6272" s="10">
        <v>3.4</v>
      </c>
      <c r="O6272" s="7"/>
      <c r="P6272" s="7">
        <v>2.5</v>
      </c>
      <c r="Q6272" s="6">
        <v>0.7</v>
      </c>
      <c r="R6272" s="6">
        <v>1</v>
      </c>
      <c r="S6272" s="10">
        <v>1.4</v>
      </c>
      <c r="T6272" s="10">
        <v>0.2</v>
      </c>
      <c r="U6272" s="6">
        <v>0</v>
      </c>
      <c r="V6272" s="7">
        <v>0</v>
      </c>
      <c r="W6272" s="7"/>
      <c r="X6272" s="6">
        <v>0</v>
      </c>
      <c r="Y6272" s="7"/>
      <c r="Z6272" s="7"/>
      <c r="AA6272" s="9"/>
      <c r="AC6272" s="38">
        <v>1</v>
      </c>
    </row>
    <row r="6273" spans="1:29" x14ac:dyDescent="0.25">
      <c r="A6273" s="22">
        <v>44624</v>
      </c>
      <c r="B6273" s="6">
        <v>5</v>
      </c>
      <c r="C6273" s="6">
        <v>4.5999999999999996</v>
      </c>
      <c r="D6273" s="6">
        <v>3.2</v>
      </c>
      <c r="E6273" s="7"/>
      <c r="F6273" s="10">
        <v>2.8</v>
      </c>
      <c r="G6273" s="6">
        <v>4</v>
      </c>
      <c r="H6273" s="7">
        <v>2</v>
      </c>
      <c r="I6273" s="6">
        <v>6.2</v>
      </c>
      <c r="J6273" s="6">
        <v>6.4</v>
      </c>
      <c r="K6273" s="6">
        <v>4</v>
      </c>
      <c r="L6273" s="7">
        <v>1.016</v>
      </c>
      <c r="M6273" s="6">
        <v>2.5</v>
      </c>
      <c r="N6273" s="10">
        <v>5</v>
      </c>
      <c r="O6273" s="7"/>
      <c r="P6273" s="7">
        <v>0</v>
      </c>
      <c r="Q6273" s="6">
        <v>3.5</v>
      </c>
      <c r="R6273" s="6">
        <v>2</v>
      </c>
      <c r="S6273" s="10">
        <v>3.2</v>
      </c>
      <c r="T6273" s="10">
        <v>1.2</v>
      </c>
      <c r="U6273" s="6">
        <v>0</v>
      </c>
      <c r="V6273" s="7">
        <v>0.7</v>
      </c>
      <c r="W6273" s="7"/>
      <c r="X6273" s="6">
        <v>0</v>
      </c>
      <c r="Y6273" s="7"/>
      <c r="Z6273" s="7"/>
      <c r="AA6273" s="9"/>
      <c r="AC6273" s="38">
        <v>2</v>
      </c>
    </row>
    <row r="6274" spans="1:29" x14ac:dyDescent="0.25">
      <c r="A6274" s="22">
        <v>44625</v>
      </c>
      <c r="B6274" s="6">
        <v>2</v>
      </c>
      <c r="C6274" s="6">
        <v>10.4</v>
      </c>
      <c r="D6274" s="6">
        <v>8.1999999999999993</v>
      </c>
      <c r="E6274" s="7"/>
      <c r="F6274" s="10">
        <v>1.6</v>
      </c>
      <c r="G6274" s="6">
        <v>10</v>
      </c>
      <c r="H6274" s="7">
        <v>1.7</v>
      </c>
      <c r="I6274" s="6">
        <v>5.9</v>
      </c>
      <c r="J6274" s="6">
        <v>10.8</v>
      </c>
      <c r="K6274" s="6">
        <v>10</v>
      </c>
      <c r="L6274" s="7">
        <v>1.27</v>
      </c>
      <c r="M6274" s="6">
        <v>2.4</v>
      </c>
      <c r="N6274" s="10">
        <v>8.6</v>
      </c>
      <c r="O6274" s="7"/>
      <c r="P6274" s="7">
        <v>0</v>
      </c>
      <c r="Q6274" s="6">
        <v>0</v>
      </c>
      <c r="R6274" s="6">
        <v>0</v>
      </c>
      <c r="S6274" s="10">
        <v>0.2</v>
      </c>
      <c r="T6274" s="10">
        <v>0.2</v>
      </c>
      <c r="U6274" s="6">
        <v>3</v>
      </c>
      <c r="V6274" s="7">
        <v>9.5</v>
      </c>
      <c r="W6274" s="7"/>
      <c r="X6274" s="6">
        <v>0</v>
      </c>
      <c r="Y6274" s="7"/>
      <c r="Z6274" s="7"/>
      <c r="AA6274" s="9"/>
      <c r="AC6274" s="38">
        <v>2</v>
      </c>
    </row>
    <row r="6275" spans="1:29" x14ac:dyDescent="0.25">
      <c r="A6275" s="22">
        <v>44626</v>
      </c>
      <c r="B6275" s="6">
        <v>0</v>
      </c>
      <c r="C6275" s="6">
        <v>3.8</v>
      </c>
      <c r="D6275" s="6">
        <v>2.8</v>
      </c>
      <c r="E6275" s="7"/>
      <c r="F6275" s="10">
        <v>0.8</v>
      </c>
      <c r="G6275" s="6">
        <v>5.9</v>
      </c>
      <c r="H6275" s="7">
        <v>0</v>
      </c>
      <c r="I6275" s="6">
        <v>3.7</v>
      </c>
      <c r="J6275" s="6">
        <v>5.8</v>
      </c>
      <c r="K6275" s="6">
        <v>4</v>
      </c>
      <c r="L6275" s="7">
        <v>4.0640000000000001</v>
      </c>
      <c r="M6275" s="6">
        <v>3.7</v>
      </c>
      <c r="N6275" s="10">
        <v>1</v>
      </c>
      <c r="O6275" s="7"/>
      <c r="P6275" s="7">
        <v>3</v>
      </c>
      <c r="Q6275" s="6">
        <v>7.3</v>
      </c>
      <c r="R6275" s="6">
        <v>1</v>
      </c>
      <c r="S6275" s="10">
        <v>0.8</v>
      </c>
      <c r="T6275" s="10">
        <v>2.6</v>
      </c>
      <c r="U6275" s="6">
        <v>5</v>
      </c>
      <c r="V6275" s="7">
        <v>0.9</v>
      </c>
      <c r="W6275" s="7"/>
      <c r="X6275" s="6">
        <v>0</v>
      </c>
      <c r="Y6275" s="7"/>
      <c r="Z6275" s="7"/>
      <c r="AA6275" s="9"/>
      <c r="AC6275" s="38">
        <v>0</v>
      </c>
    </row>
    <row r="6276" spans="1:29" x14ac:dyDescent="0.25">
      <c r="A6276" s="22">
        <v>44627</v>
      </c>
      <c r="B6276" s="6">
        <v>13</v>
      </c>
      <c r="C6276" s="6">
        <v>23.6</v>
      </c>
      <c r="D6276" s="6">
        <v>14</v>
      </c>
      <c r="E6276" s="7"/>
      <c r="F6276" s="10">
        <v>0.6</v>
      </c>
      <c r="G6276" s="6">
        <v>5</v>
      </c>
      <c r="H6276" s="7">
        <v>2.5</v>
      </c>
      <c r="I6276" s="6">
        <v>6.4</v>
      </c>
      <c r="J6276" s="6">
        <v>6.4</v>
      </c>
      <c r="K6276" s="6">
        <v>5.6</v>
      </c>
      <c r="L6276" s="7">
        <v>0</v>
      </c>
      <c r="M6276" s="6">
        <v>0.8</v>
      </c>
      <c r="N6276" s="10">
        <v>20.399999999999999</v>
      </c>
      <c r="O6276" s="7"/>
      <c r="P6276" s="7">
        <v>0</v>
      </c>
      <c r="Q6276" s="6">
        <v>8.3000000000000007</v>
      </c>
      <c r="R6276" s="6">
        <v>0</v>
      </c>
      <c r="S6276" s="10">
        <v>4</v>
      </c>
      <c r="T6276" s="10">
        <v>2</v>
      </c>
      <c r="U6276" s="6">
        <v>10</v>
      </c>
      <c r="V6276" s="7">
        <v>0.7</v>
      </c>
      <c r="W6276" s="7"/>
      <c r="X6276" s="6">
        <v>0</v>
      </c>
      <c r="Y6276" s="7"/>
      <c r="Z6276" s="7"/>
      <c r="AA6276" s="9"/>
      <c r="AC6276" s="38">
        <v>2</v>
      </c>
    </row>
    <row r="6277" spans="1:29" x14ac:dyDescent="0.25">
      <c r="A6277" s="22">
        <v>44628</v>
      </c>
      <c r="B6277" s="6">
        <v>34</v>
      </c>
      <c r="C6277" s="6">
        <v>11.6</v>
      </c>
      <c r="D6277" s="6">
        <v>12</v>
      </c>
      <c r="E6277" s="7"/>
      <c r="F6277" s="10">
        <v>0.2</v>
      </c>
      <c r="G6277" s="6">
        <v>9</v>
      </c>
      <c r="H6277" s="7">
        <v>2.2999999999999998</v>
      </c>
      <c r="I6277" s="6">
        <v>5</v>
      </c>
      <c r="J6277" s="6">
        <v>6.7</v>
      </c>
      <c r="K6277" s="6">
        <v>14.1</v>
      </c>
      <c r="L6277" s="7">
        <v>3.556</v>
      </c>
      <c r="M6277" s="6">
        <v>6.5</v>
      </c>
      <c r="N6277" s="10">
        <v>9</v>
      </c>
      <c r="O6277" s="7"/>
      <c r="P6277" s="7">
        <v>16</v>
      </c>
      <c r="Q6277" s="6">
        <v>0.2</v>
      </c>
      <c r="R6277" s="6">
        <v>0</v>
      </c>
      <c r="S6277" s="10">
        <v>0</v>
      </c>
      <c r="T6277" s="10">
        <v>0</v>
      </c>
      <c r="U6277" s="6">
        <v>15</v>
      </c>
      <c r="V6277" s="7">
        <v>4.3</v>
      </c>
      <c r="W6277" s="7"/>
      <c r="X6277" s="6">
        <v>1.6</v>
      </c>
      <c r="Y6277" s="7"/>
      <c r="Z6277" s="7"/>
      <c r="AA6277" s="9"/>
      <c r="AC6277" s="38">
        <v>0</v>
      </c>
    </row>
    <row r="6278" spans="1:29" x14ac:dyDescent="0.25">
      <c r="A6278" s="22">
        <v>44629</v>
      </c>
      <c r="B6278" s="6">
        <v>5</v>
      </c>
      <c r="C6278" s="6">
        <v>1.2</v>
      </c>
      <c r="D6278" s="6">
        <v>2</v>
      </c>
      <c r="E6278" s="7"/>
      <c r="F6278" s="10">
        <v>4.2</v>
      </c>
      <c r="G6278" s="6">
        <v>5.5</v>
      </c>
      <c r="H6278" s="7">
        <v>2.2000000000000002</v>
      </c>
      <c r="I6278" s="6">
        <v>1.1000000000000001</v>
      </c>
      <c r="J6278" s="6">
        <v>0.9</v>
      </c>
      <c r="K6278" s="6">
        <v>2</v>
      </c>
      <c r="L6278" s="7">
        <v>19.049999999999997</v>
      </c>
      <c r="M6278" s="6">
        <v>2.8</v>
      </c>
      <c r="N6278" s="10">
        <v>6.8</v>
      </c>
      <c r="O6278" s="7"/>
      <c r="P6278" s="7">
        <v>1</v>
      </c>
      <c r="Q6278" s="6">
        <v>2.5</v>
      </c>
      <c r="R6278" s="6">
        <v>1</v>
      </c>
      <c r="S6278" s="10">
        <v>4.8</v>
      </c>
      <c r="T6278" s="10">
        <v>0.2</v>
      </c>
      <c r="U6278" s="6">
        <v>5</v>
      </c>
      <c r="V6278" s="7">
        <v>0</v>
      </c>
      <c r="W6278" s="7"/>
      <c r="X6278" s="6">
        <v>0</v>
      </c>
      <c r="Y6278" s="7"/>
      <c r="Z6278" s="7"/>
      <c r="AA6278" s="9"/>
      <c r="AC6278" s="38">
        <v>1</v>
      </c>
    </row>
    <row r="6279" spans="1:29" x14ac:dyDescent="0.25">
      <c r="A6279" s="22">
        <v>44630</v>
      </c>
      <c r="B6279" s="6">
        <v>0</v>
      </c>
      <c r="C6279" s="6">
        <v>1.8</v>
      </c>
      <c r="D6279" s="6">
        <v>4</v>
      </c>
      <c r="E6279" s="7"/>
      <c r="F6279" s="10">
        <v>0.8</v>
      </c>
      <c r="G6279" s="6">
        <v>2.6</v>
      </c>
      <c r="H6279" s="7">
        <v>4</v>
      </c>
      <c r="I6279" s="6">
        <v>3.4</v>
      </c>
      <c r="J6279" s="6">
        <v>4.5999999999999996</v>
      </c>
      <c r="K6279" s="6">
        <v>4.2</v>
      </c>
      <c r="L6279" s="7">
        <v>2.032</v>
      </c>
      <c r="M6279" s="6">
        <v>4</v>
      </c>
      <c r="N6279" s="10">
        <v>7.2</v>
      </c>
      <c r="O6279" s="7"/>
      <c r="P6279" s="7">
        <v>0</v>
      </c>
      <c r="Q6279" s="6">
        <v>2.5</v>
      </c>
      <c r="R6279" s="6">
        <v>1</v>
      </c>
      <c r="S6279" s="10">
        <v>1.2</v>
      </c>
      <c r="T6279" s="10">
        <v>0.4</v>
      </c>
      <c r="U6279" s="6">
        <v>7</v>
      </c>
      <c r="V6279" s="7">
        <v>4.2</v>
      </c>
      <c r="W6279" s="7"/>
      <c r="X6279" s="6">
        <v>0</v>
      </c>
      <c r="Y6279" s="7"/>
      <c r="Z6279" s="7"/>
      <c r="AA6279" s="9"/>
      <c r="AC6279" s="38">
        <v>0</v>
      </c>
    </row>
    <row r="6280" spans="1:29" x14ac:dyDescent="0.25">
      <c r="A6280" s="22">
        <v>44631</v>
      </c>
      <c r="B6280" s="6">
        <v>16</v>
      </c>
      <c r="C6280" s="6">
        <v>8.4</v>
      </c>
      <c r="D6280" s="6">
        <v>12.4</v>
      </c>
      <c r="E6280" s="7"/>
      <c r="F6280" s="10">
        <v>0.4</v>
      </c>
      <c r="G6280" s="6">
        <v>6</v>
      </c>
      <c r="H6280" s="7">
        <v>2</v>
      </c>
      <c r="I6280" s="6">
        <v>4.8</v>
      </c>
      <c r="J6280" s="6">
        <v>16.8</v>
      </c>
      <c r="K6280" s="6">
        <v>12.2</v>
      </c>
      <c r="L6280" s="7">
        <v>1.016</v>
      </c>
      <c r="M6280" s="6">
        <v>4</v>
      </c>
      <c r="N6280" s="10">
        <v>1.4</v>
      </c>
      <c r="O6280" s="7"/>
      <c r="P6280" s="7">
        <v>2.4</v>
      </c>
      <c r="Q6280" s="6">
        <v>0</v>
      </c>
      <c r="R6280" s="6">
        <v>0</v>
      </c>
      <c r="S6280" s="10">
        <v>0</v>
      </c>
      <c r="T6280" s="10">
        <v>0</v>
      </c>
      <c r="U6280" s="6">
        <v>4</v>
      </c>
      <c r="V6280" s="7">
        <v>10.199999999999999</v>
      </c>
      <c r="W6280" s="7"/>
      <c r="X6280" s="6">
        <v>0</v>
      </c>
      <c r="Y6280" s="7"/>
      <c r="Z6280" s="7"/>
      <c r="AA6280" s="9"/>
      <c r="AC6280" s="38">
        <v>3</v>
      </c>
    </row>
    <row r="6281" spans="1:29" x14ac:dyDescent="0.25">
      <c r="A6281" s="22">
        <v>44632</v>
      </c>
      <c r="B6281" s="6">
        <v>0</v>
      </c>
      <c r="C6281" s="6">
        <v>0.4</v>
      </c>
      <c r="D6281" s="6">
        <v>6</v>
      </c>
      <c r="E6281" s="7"/>
      <c r="F6281" s="10">
        <v>0</v>
      </c>
      <c r="G6281" s="6">
        <v>1</v>
      </c>
      <c r="H6281" s="7">
        <v>0.2</v>
      </c>
      <c r="I6281" s="6">
        <v>0.2</v>
      </c>
      <c r="J6281" s="6">
        <v>0</v>
      </c>
      <c r="K6281" s="6">
        <v>0</v>
      </c>
      <c r="L6281" s="7">
        <v>0.7619999999999999</v>
      </c>
      <c r="M6281" s="6">
        <v>0</v>
      </c>
      <c r="N6281" s="10">
        <v>1.4</v>
      </c>
      <c r="O6281" s="7"/>
      <c r="P6281" s="7">
        <v>0</v>
      </c>
      <c r="Q6281" s="6">
        <v>0</v>
      </c>
      <c r="R6281" s="6">
        <v>0</v>
      </c>
      <c r="S6281" s="10">
        <v>2.6</v>
      </c>
      <c r="T6281" s="10">
        <v>1.4</v>
      </c>
      <c r="U6281" s="6">
        <v>0</v>
      </c>
      <c r="V6281" s="7">
        <v>0</v>
      </c>
      <c r="W6281" s="7"/>
      <c r="X6281" s="6">
        <v>0</v>
      </c>
      <c r="Y6281" s="7"/>
      <c r="Z6281" s="7"/>
      <c r="AA6281" s="9"/>
      <c r="AC6281" s="38">
        <v>0</v>
      </c>
    </row>
    <row r="6282" spans="1:29" x14ac:dyDescent="0.25">
      <c r="A6282" s="22">
        <v>44633</v>
      </c>
      <c r="B6282" s="6">
        <v>0</v>
      </c>
      <c r="C6282" s="6">
        <v>0.8</v>
      </c>
      <c r="D6282" s="6">
        <v>6</v>
      </c>
      <c r="E6282" s="7"/>
      <c r="F6282" s="10">
        <v>0</v>
      </c>
      <c r="G6282" s="6">
        <v>2</v>
      </c>
      <c r="H6282" s="7">
        <v>0.1</v>
      </c>
      <c r="I6282" s="6">
        <v>2.6</v>
      </c>
      <c r="J6282" s="6">
        <v>3</v>
      </c>
      <c r="K6282" s="6">
        <v>0</v>
      </c>
      <c r="L6282" s="7">
        <v>0</v>
      </c>
      <c r="M6282" s="6">
        <v>0.2</v>
      </c>
      <c r="N6282" s="10">
        <v>1.4</v>
      </c>
      <c r="O6282" s="7"/>
      <c r="P6282" s="7">
        <v>1.5</v>
      </c>
      <c r="Q6282" s="6">
        <v>2.2000000000000002</v>
      </c>
      <c r="R6282" s="6">
        <v>0</v>
      </c>
      <c r="S6282" s="10">
        <v>0.2</v>
      </c>
      <c r="T6282" s="10">
        <v>0</v>
      </c>
      <c r="U6282" s="6">
        <v>4</v>
      </c>
      <c r="V6282" s="7">
        <v>0.2</v>
      </c>
      <c r="W6282" s="7"/>
      <c r="X6282" s="6">
        <v>0</v>
      </c>
      <c r="Y6282" s="7"/>
      <c r="Z6282" s="7"/>
      <c r="AA6282" s="9"/>
      <c r="AC6282" s="38">
        <v>0</v>
      </c>
    </row>
    <row r="6283" spans="1:29" x14ac:dyDescent="0.25">
      <c r="A6283" s="22">
        <v>44634</v>
      </c>
      <c r="B6283" s="6">
        <v>0</v>
      </c>
      <c r="C6283" s="6">
        <v>7.2</v>
      </c>
      <c r="D6283" s="6">
        <v>2.8</v>
      </c>
      <c r="E6283" s="7"/>
      <c r="F6283" s="10">
        <v>1.8</v>
      </c>
      <c r="G6283" s="6">
        <v>2.1</v>
      </c>
      <c r="H6283" s="7">
        <v>1</v>
      </c>
      <c r="I6283" s="6">
        <v>0.1</v>
      </c>
      <c r="J6283" s="6">
        <v>3.8</v>
      </c>
      <c r="K6283" s="6">
        <v>2.4</v>
      </c>
      <c r="L6283" s="7">
        <v>1.27</v>
      </c>
      <c r="M6283" s="6">
        <v>0.3</v>
      </c>
      <c r="N6283" s="10">
        <v>6.4</v>
      </c>
      <c r="O6283" s="7"/>
      <c r="P6283" s="7">
        <v>4.5</v>
      </c>
      <c r="Q6283" s="6">
        <v>0</v>
      </c>
      <c r="R6283" s="6">
        <v>2</v>
      </c>
      <c r="S6283" s="10">
        <v>0</v>
      </c>
      <c r="T6283" s="10">
        <v>0.8</v>
      </c>
      <c r="U6283" s="6">
        <v>0</v>
      </c>
      <c r="V6283" s="7">
        <v>0</v>
      </c>
      <c r="W6283" s="7"/>
      <c r="X6283" s="6">
        <v>0</v>
      </c>
      <c r="Y6283" s="7"/>
      <c r="Z6283" s="7"/>
      <c r="AA6283" s="9"/>
      <c r="AC6283" s="38">
        <v>1</v>
      </c>
    </row>
    <row r="6284" spans="1:29" x14ac:dyDescent="0.25">
      <c r="A6284" s="22">
        <v>44635</v>
      </c>
      <c r="B6284" s="6">
        <v>0</v>
      </c>
      <c r="C6284" s="6">
        <v>3.6</v>
      </c>
      <c r="D6284" s="6">
        <v>4.4000000000000004</v>
      </c>
      <c r="E6284" s="7"/>
      <c r="F6284" s="10">
        <v>1</v>
      </c>
      <c r="G6284" s="6">
        <v>1.3</v>
      </c>
      <c r="H6284" s="7">
        <v>0.8</v>
      </c>
      <c r="I6284" s="6">
        <v>0.7</v>
      </c>
      <c r="J6284" s="6">
        <v>2.8</v>
      </c>
      <c r="K6284" s="6">
        <v>3</v>
      </c>
      <c r="L6284" s="7">
        <v>0.254</v>
      </c>
      <c r="M6284" s="6">
        <v>2.1</v>
      </c>
      <c r="N6284" s="10">
        <v>2.6</v>
      </c>
      <c r="O6284" s="7"/>
      <c r="P6284" s="7">
        <v>1.5</v>
      </c>
      <c r="Q6284" s="6">
        <v>0.7</v>
      </c>
      <c r="R6284" s="6">
        <v>2</v>
      </c>
      <c r="S6284" s="10">
        <v>0</v>
      </c>
      <c r="T6284" s="10">
        <v>0</v>
      </c>
      <c r="U6284" s="6">
        <v>0</v>
      </c>
      <c r="V6284" s="7">
        <v>2.2000000000000002</v>
      </c>
      <c r="W6284" s="7"/>
      <c r="X6284" s="6">
        <v>0</v>
      </c>
      <c r="Y6284" s="7"/>
      <c r="Z6284" s="7"/>
      <c r="AA6284" s="9"/>
      <c r="AC6284" s="38">
        <v>2</v>
      </c>
    </row>
    <row r="6285" spans="1:29" x14ac:dyDescent="0.25">
      <c r="A6285" s="22">
        <v>44636</v>
      </c>
      <c r="B6285" s="6">
        <v>0</v>
      </c>
      <c r="C6285" s="6">
        <v>2.4</v>
      </c>
      <c r="D6285" s="6">
        <v>3.6</v>
      </c>
      <c r="E6285" s="7"/>
      <c r="F6285" s="10">
        <v>0.2</v>
      </c>
      <c r="G6285" s="6">
        <v>2.8</v>
      </c>
      <c r="H6285" s="7">
        <v>0.5</v>
      </c>
      <c r="I6285" s="6">
        <v>0.4</v>
      </c>
      <c r="J6285" s="6">
        <v>2.5</v>
      </c>
      <c r="K6285" s="6">
        <v>1</v>
      </c>
      <c r="L6285" s="7">
        <v>0</v>
      </c>
      <c r="M6285" s="6">
        <v>1.8</v>
      </c>
      <c r="N6285" s="10">
        <v>0</v>
      </c>
      <c r="O6285" s="7"/>
      <c r="P6285" s="7">
        <v>0</v>
      </c>
      <c r="Q6285" s="6">
        <v>0</v>
      </c>
      <c r="R6285" s="6">
        <v>1</v>
      </c>
      <c r="S6285" s="10">
        <v>1.2</v>
      </c>
      <c r="T6285" s="10">
        <v>0</v>
      </c>
      <c r="U6285" s="6">
        <v>0</v>
      </c>
      <c r="V6285" s="7">
        <v>1.2</v>
      </c>
      <c r="W6285" s="7"/>
      <c r="X6285" s="6">
        <v>0</v>
      </c>
      <c r="Y6285" s="7"/>
      <c r="Z6285" s="7"/>
      <c r="AA6285" s="9"/>
      <c r="AC6285" s="38">
        <v>0</v>
      </c>
    </row>
    <row r="6286" spans="1:29" x14ac:dyDescent="0.25">
      <c r="A6286" s="22">
        <v>44637</v>
      </c>
      <c r="B6286" s="6">
        <v>0</v>
      </c>
      <c r="C6286" s="6">
        <v>0</v>
      </c>
      <c r="D6286" s="6">
        <v>0</v>
      </c>
      <c r="E6286" s="7"/>
      <c r="F6286" s="10">
        <v>0.2</v>
      </c>
      <c r="G6286" s="6">
        <v>0</v>
      </c>
      <c r="H6286" s="7">
        <v>0</v>
      </c>
      <c r="I6286" s="6">
        <v>0</v>
      </c>
      <c r="J6286" s="6">
        <v>2</v>
      </c>
      <c r="K6286" s="6">
        <v>0</v>
      </c>
      <c r="L6286" s="7">
        <v>0</v>
      </c>
      <c r="M6286" s="6">
        <v>0.2</v>
      </c>
      <c r="N6286" s="10">
        <v>0.2</v>
      </c>
      <c r="O6286" s="7"/>
      <c r="P6286" s="7">
        <v>0</v>
      </c>
      <c r="Q6286" s="6">
        <v>0.2</v>
      </c>
      <c r="R6286" s="6">
        <v>0</v>
      </c>
      <c r="S6286" s="10">
        <v>0</v>
      </c>
      <c r="T6286" s="10">
        <v>0</v>
      </c>
      <c r="U6286" s="6">
        <v>0</v>
      </c>
      <c r="V6286" s="7">
        <v>0</v>
      </c>
      <c r="W6286" s="7"/>
      <c r="X6286" s="6">
        <v>1</v>
      </c>
      <c r="Y6286" s="7"/>
      <c r="Z6286" s="7"/>
      <c r="AA6286" s="9"/>
      <c r="AC6286" s="38">
        <v>2</v>
      </c>
    </row>
    <row r="6287" spans="1:29" x14ac:dyDescent="0.25">
      <c r="A6287" s="22">
        <v>44638</v>
      </c>
      <c r="B6287" s="6">
        <v>0</v>
      </c>
      <c r="C6287" s="6">
        <v>0.8</v>
      </c>
      <c r="D6287" s="6">
        <v>2.8</v>
      </c>
      <c r="E6287" s="7"/>
      <c r="F6287" s="10">
        <v>1</v>
      </c>
      <c r="G6287" s="6">
        <v>3.1</v>
      </c>
      <c r="H6287" s="7">
        <v>1.5</v>
      </c>
      <c r="I6287" s="6">
        <v>5.8</v>
      </c>
      <c r="J6287" s="6">
        <v>2.1</v>
      </c>
      <c r="K6287" s="6">
        <v>4</v>
      </c>
      <c r="L6287" s="7">
        <v>0</v>
      </c>
      <c r="M6287" s="6">
        <v>2.2999999999999998</v>
      </c>
      <c r="N6287" s="10">
        <v>0.6</v>
      </c>
      <c r="O6287" s="7"/>
      <c r="P6287" s="7">
        <v>0</v>
      </c>
      <c r="Q6287" s="6">
        <v>0.2</v>
      </c>
      <c r="R6287" s="6">
        <v>0</v>
      </c>
      <c r="S6287" s="10">
        <v>1.8</v>
      </c>
      <c r="T6287" s="10">
        <v>0.4</v>
      </c>
      <c r="U6287" s="6">
        <v>0</v>
      </c>
      <c r="V6287" s="7">
        <v>0.3</v>
      </c>
      <c r="W6287" s="7"/>
      <c r="X6287" s="6">
        <v>0</v>
      </c>
      <c r="Y6287" s="7"/>
      <c r="Z6287" s="7"/>
      <c r="AA6287" s="9"/>
      <c r="AC6287" s="38">
        <v>2</v>
      </c>
    </row>
    <row r="6288" spans="1:29" x14ac:dyDescent="0.25">
      <c r="A6288" s="22">
        <v>44639</v>
      </c>
      <c r="B6288" s="6">
        <v>0</v>
      </c>
      <c r="C6288" s="6">
        <v>2.8</v>
      </c>
      <c r="D6288" s="6">
        <v>7.6</v>
      </c>
      <c r="E6288" s="7"/>
      <c r="F6288" s="10">
        <v>12.4</v>
      </c>
      <c r="G6288" s="6">
        <v>3.2</v>
      </c>
      <c r="H6288" s="7">
        <v>6.2</v>
      </c>
      <c r="I6288" s="6">
        <v>1</v>
      </c>
      <c r="J6288" s="6">
        <v>2.4</v>
      </c>
      <c r="K6288" s="6">
        <v>2</v>
      </c>
      <c r="L6288" s="7">
        <v>4.8259999999999996</v>
      </c>
      <c r="M6288" s="6">
        <v>2.4</v>
      </c>
      <c r="N6288" s="10">
        <v>17.8</v>
      </c>
      <c r="O6288" s="7"/>
      <c r="P6288" s="7">
        <v>0.5</v>
      </c>
      <c r="Q6288" s="6">
        <v>10.6</v>
      </c>
      <c r="R6288" s="6">
        <v>10</v>
      </c>
      <c r="S6288" s="10">
        <v>27</v>
      </c>
      <c r="T6288" s="10">
        <v>17.8</v>
      </c>
      <c r="U6288" s="6">
        <v>0</v>
      </c>
      <c r="V6288" s="7">
        <v>2.2000000000000002</v>
      </c>
      <c r="W6288" s="7"/>
      <c r="X6288" s="6">
        <v>0</v>
      </c>
      <c r="Y6288" s="7"/>
      <c r="Z6288" s="7"/>
      <c r="AA6288" s="9"/>
      <c r="AC6288" s="38">
        <v>7</v>
      </c>
    </row>
    <row r="6289" spans="1:29" x14ac:dyDescent="0.25">
      <c r="A6289" s="22">
        <v>44640</v>
      </c>
      <c r="B6289" s="6">
        <v>0</v>
      </c>
      <c r="C6289" s="6">
        <v>14.4</v>
      </c>
      <c r="D6289" s="6">
        <v>28.8</v>
      </c>
      <c r="E6289" s="7"/>
      <c r="F6289" s="10">
        <v>1.4</v>
      </c>
      <c r="G6289" s="6">
        <v>16</v>
      </c>
      <c r="H6289" s="7">
        <v>12</v>
      </c>
      <c r="I6289" s="6">
        <v>11.9</v>
      </c>
      <c r="J6289" s="6">
        <v>23.8</v>
      </c>
      <c r="K6289" s="6">
        <v>2.6</v>
      </c>
      <c r="L6289" s="7">
        <v>1.016</v>
      </c>
      <c r="M6289" s="6">
        <v>16.3</v>
      </c>
      <c r="N6289" s="10">
        <v>6.8</v>
      </c>
      <c r="O6289" s="7"/>
      <c r="P6289" s="7">
        <v>7</v>
      </c>
      <c r="Q6289" s="6">
        <v>0</v>
      </c>
      <c r="R6289" s="6">
        <v>0</v>
      </c>
      <c r="S6289" s="10">
        <v>0.2</v>
      </c>
      <c r="T6289" s="10">
        <v>0</v>
      </c>
      <c r="U6289" s="6">
        <v>10</v>
      </c>
      <c r="V6289" s="7">
        <v>15.2</v>
      </c>
      <c r="W6289" s="7"/>
      <c r="X6289" s="6">
        <v>0</v>
      </c>
      <c r="Y6289" s="7"/>
      <c r="Z6289" s="7"/>
      <c r="AA6289" s="9"/>
      <c r="AC6289" s="38">
        <v>0</v>
      </c>
    </row>
    <row r="6290" spans="1:29" x14ac:dyDescent="0.25">
      <c r="A6290" s="22">
        <v>44641</v>
      </c>
      <c r="B6290" s="6">
        <v>0</v>
      </c>
      <c r="C6290" s="6">
        <v>0</v>
      </c>
      <c r="D6290" s="6">
        <v>0.8</v>
      </c>
      <c r="E6290" s="7"/>
      <c r="F6290" s="10">
        <v>0</v>
      </c>
      <c r="G6290" s="6">
        <v>1.3</v>
      </c>
      <c r="H6290" s="7">
        <v>0</v>
      </c>
      <c r="I6290" s="6">
        <v>2.5</v>
      </c>
      <c r="J6290" s="6">
        <v>1</v>
      </c>
      <c r="K6290" s="6">
        <v>0</v>
      </c>
      <c r="L6290" s="7">
        <v>8.8899999999999988</v>
      </c>
      <c r="M6290" s="6">
        <v>0.3</v>
      </c>
      <c r="N6290" s="10">
        <v>0</v>
      </c>
      <c r="O6290" s="7"/>
      <c r="P6290" s="7">
        <v>1</v>
      </c>
      <c r="Q6290" s="6">
        <v>2.7</v>
      </c>
      <c r="R6290" s="6">
        <v>2</v>
      </c>
      <c r="S6290" s="10">
        <v>0</v>
      </c>
      <c r="T6290" s="10">
        <v>0</v>
      </c>
      <c r="U6290" s="6">
        <v>0</v>
      </c>
      <c r="V6290" s="7">
        <v>0</v>
      </c>
      <c r="W6290" s="7"/>
      <c r="X6290" s="6">
        <v>0</v>
      </c>
      <c r="Y6290" s="7"/>
      <c r="Z6290" s="7"/>
      <c r="AA6290" s="9"/>
      <c r="AC6290" s="38">
        <v>0</v>
      </c>
    </row>
    <row r="6291" spans="1:29" x14ac:dyDescent="0.25">
      <c r="A6291" s="22">
        <v>44642</v>
      </c>
      <c r="B6291" s="6">
        <v>20</v>
      </c>
      <c r="C6291" s="6">
        <v>1.6</v>
      </c>
      <c r="D6291" s="6">
        <v>8.4</v>
      </c>
      <c r="E6291" s="7"/>
      <c r="F6291" s="10">
        <v>0</v>
      </c>
      <c r="G6291" s="6">
        <v>1</v>
      </c>
      <c r="H6291" s="7">
        <v>0</v>
      </c>
      <c r="I6291" s="6">
        <v>0.2</v>
      </c>
      <c r="J6291" s="6">
        <v>2</v>
      </c>
      <c r="K6291" s="6">
        <v>4.2</v>
      </c>
      <c r="L6291" s="7">
        <v>0</v>
      </c>
      <c r="M6291" s="6">
        <v>0.5</v>
      </c>
      <c r="N6291" s="10">
        <v>2.4</v>
      </c>
      <c r="O6291" s="7"/>
      <c r="P6291" s="7">
        <v>0</v>
      </c>
      <c r="Q6291" s="6">
        <v>1.2</v>
      </c>
      <c r="R6291" s="6">
        <v>1</v>
      </c>
      <c r="S6291" s="10">
        <v>1.2</v>
      </c>
      <c r="T6291" s="10">
        <v>1.4</v>
      </c>
      <c r="U6291" s="6">
        <v>0</v>
      </c>
      <c r="V6291" s="7">
        <v>0</v>
      </c>
      <c r="W6291" s="7"/>
      <c r="X6291" s="6">
        <v>0</v>
      </c>
      <c r="Y6291" s="7"/>
      <c r="Z6291" s="7"/>
      <c r="AA6291" s="9"/>
      <c r="AC6291" s="38">
        <v>0</v>
      </c>
    </row>
    <row r="6292" spans="1:29" x14ac:dyDescent="0.25">
      <c r="A6292" s="22">
        <v>44643</v>
      </c>
      <c r="B6292" s="6">
        <v>0</v>
      </c>
      <c r="C6292" s="6">
        <v>1.2</v>
      </c>
      <c r="D6292" s="6">
        <v>6</v>
      </c>
      <c r="E6292" s="7"/>
      <c r="F6292" s="10">
        <v>2</v>
      </c>
      <c r="G6292" s="6">
        <v>0</v>
      </c>
      <c r="H6292" s="7">
        <v>1.3</v>
      </c>
      <c r="I6292" s="6">
        <v>1</v>
      </c>
      <c r="J6292" s="6">
        <v>0.5</v>
      </c>
      <c r="K6292" s="6">
        <v>2.2999999999999998</v>
      </c>
      <c r="L6292" s="7">
        <v>3.556</v>
      </c>
      <c r="M6292" s="6">
        <v>2.7</v>
      </c>
      <c r="N6292" s="10">
        <v>4</v>
      </c>
      <c r="O6292" s="7"/>
      <c r="P6292" s="7">
        <v>0</v>
      </c>
      <c r="Q6292" s="6">
        <v>2.2000000000000002</v>
      </c>
      <c r="R6292" s="6">
        <v>2</v>
      </c>
      <c r="S6292" s="10">
        <v>0</v>
      </c>
      <c r="T6292" s="10">
        <v>0.2</v>
      </c>
      <c r="U6292" s="6">
        <v>0</v>
      </c>
      <c r="V6292" s="7">
        <v>0</v>
      </c>
      <c r="W6292" s="7"/>
      <c r="X6292" s="6">
        <v>0</v>
      </c>
      <c r="Y6292" s="7"/>
      <c r="Z6292" s="7"/>
      <c r="AA6292" s="9"/>
      <c r="AC6292" s="38">
        <v>2</v>
      </c>
    </row>
    <row r="6293" spans="1:29" x14ac:dyDescent="0.25">
      <c r="A6293" s="22">
        <v>44644</v>
      </c>
      <c r="B6293" s="6">
        <v>0</v>
      </c>
      <c r="C6293" s="6">
        <v>4</v>
      </c>
      <c r="D6293" s="6">
        <v>4</v>
      </c>
      <c r="E6293" s="7"/>
      <c r="F6293" s="10">
        <v>7.4</v>
      </c>
      <c r="G6293" s="6">
        <v>5.4</v>
      </c>
      <c r="H6293" s="7">
        <v>7.2</v>
      </c>
      <c r="I6293" s="6">
        <v>5</v>
      </c>
      <c r="J6293" s="6">
        <v>6.2</v>
      </c>
      <c r="K6293" s="6">
        <v>6.2</v>
      </c>
      <c r="L6293" s="7">
        <v>0</v>
      </c>
      <c r="M6293" s="6">
        <v>4.3</v>
      </c>
      <c r="N6293" s="10">
        <v>5.8</v>
      </c>
      <c r="O6293" s="7"/>
      <c r="P6293" s="7">
        <v>2</v>
      </c>
      <c r="Q6293" s="6">
        <v>2.7</v>
      </c>
      <c r="R6293" s="6">
        <v>2</v>
      </c>
      <c r="S6293" s="10">
        <v>1.2</v>
      </c>
      <c r="T6293" s="10">
        <v>1.6</v>
      </c>
      <c r="U6293" s="6">
        <v>4</v>
      </c>
      <c r="V6293" s="7">
        <v>5.2</v>
      </c>
      <c r="W6293" s="7"/>
      <c r="X6293" s="6">
        <v>0</v>
      </c>
      <c r="Y6293" s="7"/>
      <c r="Z6293" s="7"/>
      <c r="AA6293" s="9"/>
      <c r="AC6293" s="38">
        <v>0</v>
      </c>
    </row>
    <row r="6294" spans="1:29" x14ac:dyDescent="0.25">
      <c r="A6294" s="22">
        <v>44645</v>
      </c>
      <c r="B6294" s="6">
        <v>0</v>
      </c>
      <c r="C6294" s="6">
        <v>2.8</v>
      </c>
      <c r="D6294" s="6">
        <v>4.8</v>
      </c>
      <c r="E6294" s="7"/>
      <c r="F6294" s="10">
        <v>3.4</v>
      </c>
      <c r="G6294" s="6">
        <v>3</v>
      </c>
      <c r="H6294" s="7">
        <v>2.5</v>
      </c>
      <c r="I6294" s="6">
        <v>2.9</v>
      </c>
      <c r="J6294" s="6">
        <v>6.2</v>
      </c>
      <c r="K6294" s="6">
        <v>4.2</v>
      </c>
      <c r="L6294" s="7">
        <v>4.0640000000000001</v>
      </c>
      <c r="M6294" s="6">
        <v>2.2999999999999998</v>
      </c>
      <c r="N6294" s="10">
        <v>6.4</v>
      </c>
      <c r="O6294" s="7"/>
      <c r="P6294" s="7">
        <v>1</v>
      </c>
      <c r="Q6294" s="6">
        <v>0</v>
      </c>
      <c r="R6294" s="6">
        <v>0</v>
      </c>
      <c r="S6294" s="10">
        <v>0.6</v>
      </c>
      <c r="T6294" s="10">
        <v>1</v>
      </c>
      <c r="U6294" s="6">
        <v>2</v>
      </c>
      <c r="V6294" s="7">
        <v>0.2</v>
      </c>
      <c r="W6294" s="7"/>
      <c r="X6294" s="6">
        <v>0.5</v>
      </c>
      <c r="Y6294" s="7"/>
      <c r="Z6294" s="7"/>
      <c r="AA6294" s="9"/>
      <c r="AC6294" s="38">
        <v>0</v>
      </c>
    </row>
    <row r="6295" spans="1:29" x14ac:dyDescent="0.25">
      <c r="A6295" s="22">
        <v>44646</v>
      </c>
      <c r="B6295" s="6">
        <v>0</v>
      </c>
      <c r="C6295" s="6">
        <v>0.8</v>
      </c>
      <c r="D6295" s="6">
        <v>1.2</v>
      </c>
      <c r="E6295" s="7"/>
      <c r="F6295" s="10">
        <v>0.8</v>
      </c>
      <c r="G6295" s="6">
        <v>2</v>
      </c>
      <c r="H6295" s="7">
        <v>0</v>
      </c>
      <c r="I6295" s="6">
        <v>1</v>
      </c>
      <c r="J6295" s="6">
        <v>2.4</v>
      </c>
      <c r="K6295" s="6">
        <v>0.5</v>
      </c>
      <c r="L6295" s="7">
        <v>0.7619999999999999</v>
      </c>
      <c r="M6295" s="6">
        <v>2</v>
      </c>
      <c r="N6295" s="10">
        <v>1.4</v>
      </c>
      <c r="O6295" s="7"/>
      <c r="P6295" s="7">
        <v>0</v>
      </c>
      <c r="Q6295" s="6">
        <v>0</v>
      </c>
      <c r="R6295" s="6">
        <v>0</v>
      </c>
      <c r="S6295" s="10">
        <v>0</v>
      </c>
      <c r="T6295" s="10">
        <v>0.2</v>
      </c>
      <c r="U6295" s="6">
        <v>0</v>
      </c>
      <c r="V6295" s="7">
        <v>0</v>
      </c>
      <c r="W6295" s="7"/>
      <c r="X6295" s="6">
        <v>0</v>
      </c>
      <c r="Y6295" s="7"/>
      <c r="Z6295" s="7"/>
      <c r="AA6295" s="9"/>
      <c r="AC6295" s="38">
        <v>0</v>
      </c>
    </row>
    <row r="6296" spans="1:29" x14ac:dyDescent="0.25">
      <c r="A6296" s="22">
        <v>44647</v>
      </c>
      <c r="B6296" s="6">
        <v>0</v>
      </c>
      <c r="C6296" s="6">
        <v>0</v>
      </c>
      <c r="D6296" s="6">
        <v>0</v>
      </c>
      <c r="E6296" s="7"/>
      <c r="F6296" s="10">
        <v>0</v>
      </c>
      <c r="G6296" s="6">
        <v>4.5999999999999996</v>
      </c>
      <c r="H6296" s="7">
        <v>0</v>
      </c>
      <c r="I6296" s="6">
        <v>0</v>
      </c>
      <c r="J6296" s="6">
        <v>1</v>
      </c>
      <c r="K6296" s="6">
        <v>0</v>
      </c>
      <c r="L6296" s="7">
        <v>0</v>
      </c>
      <c r="M6296" s="6">
        <v>0.2</v>
      </c>
      <c r="N6296" s="10">
        <v>1.6</v>
      </c>
      <c r="O6296" s="7"/>
      <c r="P6296" s="7">
        <v>0</v>
      </c>
      <c r="Q6296" s="6">
        <v>0</v>
      </c>
      <c r="R6296" s="6">
        <v>0</v>
      </c>
      <c r="S6296" s="10">
        <v>0</v>
      </c>
      <c r="T6296" s="10">
        <v>0</v>
      </c>
      <c r="U6296" s="6">
        <v>10</v>
      </c>
      <c r="V6296" s="7">
        <v>0</v>
      </c>
      <c r="W6296" s="7"/>
      <c r="X6296" s="6">
        <v>0</v>
      </c>
      <c r="Y6296" s="7"/>
      <c r="Z6296" s="7"/>
      <c r="AA6296" s="9"/>
      <c r="AC6296" s="38">
        <v>0</v>
      </c>
    </row>
    <row r="6297" spans="1:29" x14ac:dyDescent="0.25">
      <c r="A6297" s="22">
        <v>44648</v>
      </c>
      <c r="B6297" s="6">
        <v>0</v>
      </c>
      <c r="C6297" s="6">
        <v>0.4</v>
      </c>
      <c r="D6297" s="6">
        <v>2.8</v>
      </c>
      <c r="E6297" s="7"/>
      <c r="F6297" s="10">
        <v>0.4</v>
      </c>
      <c r="G6297" s="6">
        <v>0.2</v>
      </c>
      <c r="H6297" s="7">
        <v>2.5</v>
      </c>
      <c r="I6297" s="6">
        <v>1.4</v>
      </c>
      <c r="J6297" s="6">
        <v>1.8</v>
      </c>
      <c r="K6297" s="6">
        <v>1.5</v>
      </c>
      <c r="L6297" s="7">
        <v>0</v>
      </c>
      <c r="M6297" s="6">
        <v>0.6</v>
      </c>
      <c r="N6297" s="10">
        <v>4.2</v>
      </c>
      <c r="O6297" s="7"/>
      <c r="P6297" s="7">
        <v>0</v>
      </c>
      <c r="Q6297" s="6">
        <v>0</v>
      </c>
      <c r="R6297" s="6">
        <v>0</v>
      </c>
      <c r="S6297" s="10">
        <v>0</v>
      </c>
      <c r="T6297" s="10">
        <v>0</v>
      </c>
      <c r="U6297" s="6">
        <v>0</v>
      </c>
      <c r="V6297" s="7">
        <v>0</v>
      </c>
      <c r="W6297" s="7"/>
      <c r="X6297" s="6">
        <v>0</v>
      </c>
      <c r="Y6297" s="7"/>
      <c r="Z6297" s="7"/>
      <c r="AA6297" s="9"/>
      <c r="AC6297" s="38">
        <v>0</v>
      </c>
    </row>
    <row r="6298" spans="1:29" x14ac:dyDescent="0.25">
      <c r="A6298" s="22">
        <v>44649</v>
      </c>
      <c r="B6298" s="6">
        <v>0</v>
      </c>
      <c r="C6298" s="6">
        <v>0</v>
      </c>
      <c r="D6298" s="6">
        <v>0</v>
      </c>
      <c r="E6298" s="7"/>
      <c r="F6298" s="10">
        <v>0</v>
      </c>
      <c r="G6298" s="6">
        <v>0</v>
      </c>
      <c r="H6298" s="7">
        <v>0</v>
      </c>
      <c r="I6298" s="6">
        <v>0</v>
      </c>
      <c r="J6298" s="6">
        <v>0</v>
      </c>
      <c r="K6298" s="6">
        <v>0</v>
      </c>
      <c r="L6298" s="7">
        <v>0</v>
      </c>
      <c r="M6298" s="6">
        <v>0</v>
      </c>
      <c r="N6298" s="10">
        <v>0</v>
      </c>
      <c r="O6298" s="7"/>
      <c r="P6298" s="7">
        <v>0</v>
      </c>
      <c r="Q6298" s="6">
        <v>0</v>
      </c>
      <c r="R6298" s="6">
        <v>0</v>
      </c>
      <c r="S6298" s="10">
        <v>0</v>
      </c>
      <c r="T6298" s="10">
        <v>0</v>
      </c>
      <c r="U6298" s="6">
        <v>0</v>
      </c>
      <c r="V6298" s="7">
        <v>0</v>
      </c>
      <c r="W6298" s="7"/>
      <c r="X6298" s="6">
        <v>0</v>
      </c>
      <c r="Y6298" s="7"/>
      <c r="Z6298" s="7"/>
      <c r="AA6298" s="9"/>
      <c r="AC6298" s="38">
        <v>0</v>
      </c>
    </row>
    <row r="6299" spans="1:29" x14ac:dyDescent="0.25">
      <c r="A6299" s="22">
        <v>44650</v>
      </c>
      <c r="B6299" s="6">
        <v>0</v>
      </c>
      <c r="C6299" s="6">
        <v>0</v>
      </c>
      <c r="D6299" s="6">
        <v>0</v>
      </c>
      <c r="E6299" s="7"/>
      <c r="F6299" s="10">
        <v>0</v>
      </c>
      <c r="G6299" s="6">
        <v>0</v>
      </c>
      <c r="H6299" s="7">
        <v>0</v>
      </c>
      <c r="I6299" s="6">
        <v>2.9</v>
      </c>
      <c r="J6299" s="6">
        <v>0.2</v>
      </c>
      <c r="K6299" s="6">
        <v>0</v>
      </c>
      <c r="L6299" s="7">
        <v>0</v>
      </c>
      <c r="M6299" s="6">
        <v>0</v>
      </c>
      <c r="N6299" s="10">
        <v>0.4</v>
      </c>
      <c r="O6299" s="7"/>
      <c r="P6299" s="7">
        <v>0</v>
      </c>
      <c r="Q6299" s="6">
        <v>0</v>
      </c>
      <c r="R6299" s="6">
        <v>0</v>
      </c>
      <c r="S6299" s="10">
        <v>1.2</v>
      </c>
      <c r="T6299" s="10">
        <v>0.8</v>
      </c>
      <c r="U6299" s="6">
        <v>0</v>
      </c>
      <c r="V6299" s="7">
        <v>0</v>
      </c>
      <c r="W6299" s="7"/>
      <c r="X6299" s="6">
        <v>0</v>
      </c>
      <c r="Y6299" s="7"/>
      <c r="Z6299" s="7"/>
      <c r="AA6299" s="9"/>
      <c r="AC6299" s="38">
        <v>0</v>
      </c>
    </row>
    <row r="6300" spans="1:29" x14ac:dyDescent="0.25">
      <c r="A6300" s="22">
        <v>44651</v>
      </c>
      <c r="B6300" s="6">
        <v>39</v>
      </c>
      <c r="C6300" s="6">
        <v>1.4</v>
      </c>
      <c r="D6300" s="6">
        <v>4.8</v>
      </c>
      <c r="E6300" s="7"/>
      <c r="F6300" s="10">
        <v>5.6</v>
      </c>
      <c r="G6300" s="6">
        <v>15.1</v>
      </c>
      <c r="H6300" s="7">
        <v>5.3</v>
      </c>
      <c r="I6300" s="6">
        <v>12.9</v>
      </c>
      <c r="J6300" s="6">
        <v>2</v>
      </c>
      <c r="K6300" s="6">
        <v>0.8</v>
      </c>
      <c r="L6300" s="7">
        <v>0</v>
      </c>
      <c r="M6300" s="6">
        <v>11.7</v>
      </c>
      <c r="N6300" s="10">
        <v>4.8</v>
      </c>
      <c r="O6300" s="7"/>
      <c r="P6300" s="7">
        <v>0</v>
      </c>
      <c r="Q6300" s="6">
        <v>0.9</v>
      </c>
      <c r="R6300" s="6">
        <v>0</v>
      </c>
      <c r="S6300" s="10">
        <v>0</v>
      </c>
      <c r="T6300" s="10">
        <v>0</v>
      </c>
      <c r="U6300" s="6">
        <v>0</v>
      </c>
      <c r="V6300" s="7">
        <v>5.5</v>
      </c>
      <c r="W6300" s="7"/>
      <c r="X6300" s="6">
        <v>0</v>
      </c>
      <c r="Y6300" s="7"/>
      <c r="Z6300" s="7"/>
      <c r="AA6300" s="9"/>
      <c r="AC6300" s="38">
        <v>6</v>
      </c>
    </row>
    <row r="6301" spans="1:29" x14ac:dyDescent="0.25">
      <c r="A6301" s="22">
        <v>44652</v>
      </c>
      <c r="B6301" s="6">
        <v>0</v>
      </c>
      <c r="C6301" s="6">
        <v>9.4</v>
      </c>
      <c r="D6301" s="6">
        <v>10.8</v>
      </c>
      <c r="E6301" s="7">
        <v>11.2</v>
      </c>
      <c r="F6301" s="43">
        <v>5</v>
      </c>
      <c r="G6301" s="6">
        <v>4</v>
      </c>
      <c r="H6301" s="7">
        <v>0</v>
      </c>
      <c r="I6301" s="6">
        <v>3.9</v>
      </c>
      <c r="J6301" s="6">
        <v>12</v>
      </c>
      <c r="K6301" s="6">
        <v>0</v>
      </c>
      <c r="L6301" s="7">
        <v>1.016</v>
      </c>
      <c r="M6301" s="6">
        <v>2.2000000000000002</v>
      </c>
      <c r="N6301" s="8">
        <v>11.2</v>
      </c>
      <c r="O6301" s="7"/>
      <c r="P6301" s="7">
        <v>0.5</v>
      </c>
      <c r="Q6301" s="6">
        <v>3.1</v>
      </c>
      <c r="R6301" s="6">
        <v>0</v>
      </c>
      <c r="S6301" s="8">
        <v>3.8</v>
      </c>
      <c r="T6301" s="8">
        <v>3.2</v>
      </c>
      <c r="U6301" s="6">
        <v>5</v>
      </c>
      <c r="V6301" s="7"/>
      <c r="W6301" s="7"/>
      <c r="X6301" s="6">
        <v>0</v>
      </c>
      <c r="Y6301" s="7">
        <v>0</v>
      </c>
      <c r="Z6301" s="7">
        <v>0</v>
      </c>
      <c r="AA6301" s="9"/>
      <c r="AC6301" s="38">
        <v>0</v>
      </c>
    </row>
    <row r="6302" spans="1:29" x14ac:dyDescent="0.25">
      <c r="A6302" s="22">
        <v>44653</v>
      </c>
      <c r="B6302" s="6">
        <v>5</v>
      </c>
      <c r="C6302" s="6">
        <v>6.8</v>
      </c>
      <c r="D6302" s="6">
        <v>8.8000000000000007</v>
      </c>
      <c r="E6302" s="7">
        <v>0.6</v>
      </c>
      <c r="F6302" s="43">
        <v>0</v>
      </c>
      <c r="G6302" s="6">
        <v>4.2</v>
      </c>
      <c r="H6302" s="7">
        <v>0</v>
      </c>
      <c r="I6302" s="6">
        <v>2.2999999999999998</v>
      </c>
      <c r="J6302" s="6">
        <v>8.5</v>
      </c>
      <c r="K6302" s="6">
        <v>8.1999999999999993</v>
      </c>
      <c r="L6302" s="7">
        <v>6.35</v>
      </c>
      <c r="M6302" s="6">
        <v>4.5999999999999996</v>
      </c>
      <c r="N6302" s="8">
        <v>0.6</v>
      </c>
      <c r="O6302" s="7"/>
      <c r="P6302" s="7">
        <v>4</v>
      </c>
      <c r="Q6302" s="6">
        <v>2.4</v>
      </c>
      <c r="R6302" s="6">
        <v>0</v>
      </c>
      <c r="S6302" s="8">
        <v>0</v>
      </c>
      <c r="T6302" s="8">
        <v>0.2</v>
      </c>
      <c r="U6302" s="6">
        <v>0</v>
      </c>
      <c r="V6302" s="7"/>
      <c r="W6302" s="7"/>
      <c r="X6302" s="6">
        <v>0</v>
      </c>
      <c r="Y6302" s="7">
        <v>0</v>
      </c>
      <c r="Z6302" s="7">
        <v>0</v>
      </c>
      <c r="AA6302" s="9"/>
      <c r="AC6302" s="38">
        <v>0</v>
      </c>
    </row>
    <row r="6303" spans="1:29" x14ac:dyDescent="0.25">
      <c r="A6303" s="22">
        <v>44654</v>
      </c>
      <c r="B6303" s="6">
        <v>0</v>
      </c>
      <c r="C6303" s="6">
        <v>0.6</v>
      </c>
      <c r="D6303" s="6">
        <v>1.2</v>
      </c>
      <c r="E6303" s="7">
        <v>1.4</v>
      </c>
      <c r="F6303" s="43">
        <v>0</v>
      </c>
      <c r="G6303" s="6">
        <v>0.1</v>
      </c>
      <c r="H6303" s="7">
        <v>0</v>
      </c>
      <c r="I6303" s="6">
        <v>0</v>
      </c>
      <c r="J6303" s="6">
        <v>1.9</v>
      </c>
      <c r="K6303" s="6">
        <v>1</v>
      </c>
      <c r="L6303" s="7">
        <v>1.016</v>
      </c>
      <c r="M6303" s="6">
        <v>0</v>
      </c>
      <c r="N6303" s="8">
        <v>0.8</v>
      </c>
      <c r="O6303" s="7"/>
      <c r="P6303" s="7">
        <v>5</v>
      </c>
      <c r="Q6303" s="6">
        <v>0</v>
      </c>
      <c r="R6303" s="6">
        <v>0</v>
      </c>
      <c r="S6303" s="8">
        <v>0</v>
      </c>
      <c r="T6303" s="8">
        <v>0.2</v>
      </c>
      <c r="U6303" s="6">
        <v>4</v>
      </c>
      <c r="V6303" s="7"/>
      <c r="W6303" s="7"/>
      <c r="X6303" s="6">
        <v>0</v>
      </c>
      <c r="Y6303" s="7">
        <v>0</v>
      </c>
      <c r="Z6303" s="7">
        <v>0</v>
      </c>
      <c r="AA6303" s="9"/>
      <c r="AC6303" s="38">
        <v>0</v>
      </c>
    </row>
    <row r="6304" spans="1:29" x14ac:dyDescent="0.25">
      <c r="A6304" s="22">
        <v>44655</v>
      </c>
      <c r="B6304" s="6">
        <v>6</v>
      </c>
      <c r="C6304" s="6">
        <v>0</v>
      </c>
      <c r="D6304" s="6">
        <v>0</v>
      </c>
      <c r="E6304" s="7">
        <v>0</v>
      </c>
      <c r="F6304" s="43">
        <v>0</v>
      </c>
      <c r="G6304" s="6">
        <v>0</v>
      </c>
      <c r="H6304" s="7">
        <v>0</v>
      </c>
      <c r="I6304" s="6">
        <v>0</v>
      </c>
      <c r="J6304" s="6">
        <v>1</v>
      </c>
      <c r="K6304" s="6">
        <v>0</v>
      </c>
      <c r="L6304" s="7">
        <v>0</v>
      </c>
      <c r="M6304" s="6">
        <v>0</v>
      </c>
      <c r="N6304" s="8">
        <v>0</v>
      </c>
      <c r="O6304" s="7"/>
      <c r="P6304" s="7">
        <v>0</v>
      </c>
      <c r="Q6304" s="6">
        <v>0</v>
      </c>
      <c r="R6304" s="6">
        <v>0</v>
      </c>
      <c r="S6304" s="8">
        <v>0</v>
      </c>
      <c r="T6304" s="8">
        <v>0</v>
      </c>
      <c r="U6304" s="6">
        <v>0</v>
      </c>
      <c r="V6304" s="7"/>
      <c r="W6304" s="7"/>
      <c r="X6304" s="6">
        <v>0</v>
      </c>
      <c r="Y6304" s="7">
        <v>0</v>
      </c>
      <c r="Z6304" s="7">
        <v>0</v>
      </c>
      <c r="AA6304" s="9"/>
      <c r="AC6304" s="38">
        <v>0</v>
      </c>
    </row>
    <row r="6305" spans="1:29" x14ac:dyDescent="0.25">
      <c r="A6305" s="22">
        <v>44656</v>
      </c>
      <c r="B6305" s="6">
        <v>0</v>
      </c>
      <c r="C6305" s="6">
        <v>0</v>
      </c>
      <c r="D6305" s="6">
        <v>0</v>
      </c>
      <c r="E6305" s="7">
        <v>0</v>
      </c>
      <c r="F6305" s="43">
        <v>0</v>
      </c>
      <c r="G6305" s="6">
        <v>0</v>
      </c>
      <c r="H6305" s="7">
        <v>0</v>
      </c>
      <c r="I6305" s="6">
        <v>0</v>
      </c>
      <c r="J6305" s="6">
        <v>0</v>
      </c>
      <c r="K6305" s="6">
        <v>0</v>
      </c>
      <c r="L6305" s="7">
        <v>0</v>
      </c>
      <c r="M6305" s="6">
        <v>0</v>
      </c>
      <c r="N6305" s="8">
        <v>0</v>
      </c>
      <c r="O6305" s="7"/>
      <c r="P6305" s="7">
        <v>0</v>
      </c>
      <c r="Q6305" s="6">
        <v>0</v>
      </c>
      <c r="R6305" s="6">
        <v>0</v>
      </c>
      <c r="S6305" s="8">
        <v>0</v>
      </c>
      <c r="T6305" s="8">
        <v>0</v>
      </c>
      <c r="U6305" s="6">
        <v>0</v>
      </c>
      <c r="V6305" s="7"/>
      <c r="W6305" s="7"/>
      <c r="X6305" s="6">
        <v>0</v>
      </c>
      <c r="Y6305" s="7">
        <v>0</v>
      </c>
      <c r="Z6305" s="7">
        <v>0</v>
      </c>
      <c r="AA6305" s="9"/>
      <c r="AC6305" s="38">
        <v>0</v>
      </c>
    </row>
    <row r="6306" spans="1:29" x14ac:dyDescent="0.25">
      <c r="A6306" s="22">
        <v>44657</v>
      </c>
      <c r="B6306" s="6">
        <v>0</v>
      </c>
      <c r="C6306" s="6">
        <v>1.8</v>
      </c>
      <c r="D6306" s="6">
        <v>2</v>
      </c>
      <c r="E6306" s="7">
        <v>2.8</v>
      </c>
      <c r="F6306" s="43">
        <v>8.6</v>
      </c>
      <c r="G6306" s="6">
        <v>0</v>
      </c>
      <c r="H6306" s="7">
        <v>5.5</v>
      </c>
      <c r="I6306" s="6">
        <v>0.1</v>
      </c>
      <c r="J6306" s="6">
        <v>0.6</v>
      </c>
      <c r="K6306" s="6">
        <v>0.2</v>
      </c>
      <c r="L6306" s="7">
        <v>0</v>
      </c>
      <c r="M6306" s="6">
        <v>2.4</v>
      </c>
      <c r="N6306" s="8">
        <v>11.4</v>
      </c>
      <c r="O6306" s="7"/>
      <c r="P6306" s="7">
        <v>0</v>
      </c>
      <c r="Q6306" s="6">
        <v>28.1</v>
      </c>
      <c r="R6306" s="6">
        <v>18</v>
      </c>
      <c r="S6306" s="8">
        <v>0</v>
      </c>
      <c r="T6306" s="8">
        <v>0</v>
      </c>
      <c r="U6306" s="6">
        <v>0</v>
      </c>
      <c r="V6306" s="7"/>
      <c r="W6306" s="7"/>
      <c r="X6306" s="6">
        <v>0</v>
      </c>
      <c r="Y6306" s="7">
        <v>0</v>
      </c>
      <c r="Z6306" s="7">
        <v>0</v>
      </c>
      <c r="AA6306" s="9"/>
      <c r="AC6306" s="38">
        <v>5</v>
      </c>
    </row>
    <row r="6307" spans="1:29" x14ac:dyDescent="0.25">
      <c r="A6307" s="22">
        <v>44658</v>
      </c>
      <c r="B6307" s="6">
        <v>37</v>
      </c>
      <c r="C6307" s="6">
        <v>16</v>
      </c>
      <c r="D6307" s="6">
        <v>40.4</v>
      </c>
      <c r="E6307" s="7">
        <v>36.799999999999997</v>
      </c>
      <c r="F6307" s="43">
        <v>25</v>
      </c>
      <c r="G6307" s="6">
        <v>45.2</v>
      </c>
      <c r="H6307" s="7">
        <v>35.799999999999997</v>
      </c>
      <c r="I6307" s="6">
        <v>24.8</v>
      </c>
      <c r="J6307" s="6">
        <v>35.9</v>
      </c>
      <c r="K6307" s="6">
        <v>26.8</v>
      </c>
      <c r="L6307" s="7">
        <v>24.383999999999997</v>
      </c>
      <c r="M6307" s="6">
        <v>37.200000000000003</v>
      </c>
      <c r="N6307" s="8">
        <v>51.8</v>
      </c>
      <c r="O6307" s="7"/>
      <c r="P6307" s="7">
        <v>16</v>
      </c>
      <c r="Q6307" s="6">
        <v>11.4</v>
      </c>
      <c r="R6307" s="6">
        <v>6</v>
      </c>
      <c r="S6307" s="8">
        <v>5</v>
      </c>
      <c r="T6307" s="8">
        <v>6.4</v>
      </c>
      <c r="U6307" s="6">
        <v>54</v>
      </c>
      <c r="V6307" s="7"/>
      <c r="W6307" s="7"/>
      <c r="X6307" s="6">
        <v>26</v>
      </c>
      <c r="Y6307" s="7">
        <v>10</v>
      </c>
      <c r="Z6307" s="7">
        <v>18</v>
      </c>
      <c r="AA6307" s="9"/>
      <c r="AC6307" s="38">
        <v>16</v>
      </c>
    </row>
    <row r="6308" spans="1:29" x14ac:dyDescent="0.25">
      <c r="A6308" s="22">
        <v>44659</v>
      </c>
      <c r="B6308" s="6">
        <v>0</v>
      </c>
      <c r="C6308" s="6">
        <v>20</v>
      </c>
      <c r="D6308" s="6">
        <v>11</v>
      </c>
      <c r="E6308" s="7">
        <v>0</v>
      </c>
      <c r="F6308" s="43">
        <v>0.8</v>
      </c>
      <c r="G6308" s="6">
        <v>4.2</v>
      </c>
      <c r="H6308" s="7">
        <v>0</v>
      </c>
      <c r="I6308" s="6">
        <v>12.7</v>
      </c>
      <c r="J6308" s="6">
        <v>6.9</v>
      </c>
      <c r="K6308" s="6">
        <v>10</v>
      </c>
      <c r="L6308" s="7">
        <v>5.8419999999999996</v>
      </c>
      <c r="M6308" s="6">
        <v>7.8</v>
      </c>
      <c r="N6308" s="8">
        <v>0.2</v>
      </c>
      <c r="O6308" s="7"/>
      <c r="P6308" s="7">
        <v>3</v>
      </c>
      <c r="Q6308" s="6">
        <v>0.2</v>
      </c>
      <c r="R6308" s="6">
        <v>2</v>
      </c>
      <c r="S6308" s="8">
        <v>0</v>
      </c>
      <c r="T6308" s="8">
        <v>0</v>
      </c>
      <c r="U6308" s="6">
        <v>10</v>
      </c>
      <c r="V6308" s="7"/>
      <c r="W6308" s="7"/>
      <c r="X6308" s="6">
        <v>0</v>
      </c>
      <c r="Y6308" s="7">
        <v>8</v>
      </c>
      <c r="Z6308" s="7">
        <v>10</v>
      </c>
      <c r="AA6308" s="9"/>
      <c r="AC6308" s="38">
        <v>0</v>
      </c>
    </row>
    <row r="6309" spans="1:29" x14ac:dyDescent="0.25">
      <c r="A6309" s="22">
        <v>44660</v>
      </c>
      <c r="B6309" s="6">
        <v>0</v>
      </c>
      <c r="C6309" s="6">
        <v>0</v>
      </c>
      <c r="D6309" s="6">
        <v>0</v>
      </c>
      <c r="E6309" s="7">
        <v>2.4</v>
      </c>
      <c r="F6309" s="43">
        <v>0.2</v>
      </c>
      <c r="G6309" s="6">
        <v>0.1</v>
      </c>
      <c r="H6309" s="7">
        <v>0</v>
      </c>
      <c r="I6309" s="6">
        <v>0.1</v>
      </c>
      <c r="J6309" s="6">
        <v>0.2</v>
      </c>
      <c r="K6309" s="6">
        <v>0.2</v>
      </c>
      <c r="L6309" s="7">
        <v>2.2859999999999996</v>
      </c>
      <c r="M6309" s="6">
        <v>0.3</v>
      </c>
      <c r="N6309" s="8">
        <v>0.8</v>
      </c>
      <c r="O6309" s="7"/>
      <c r="P6309" s="7">
        <v>0</v>
      </c>
      <c r="Q6309" s="6">
        <v>0</v>
      </c>
      <c r="R6309" s="6">
        <v>1</v>
      </c>
      <c r="S6309" s="8">
        <v>0</v>
      </c>
      <c r="T6309" s="8">
        <v>0</v>
      </c>
      <c r="U6309" s="6">
        <v>0</v>
      </c>
      <c r="V6309" s="7"/>
      <c r="W6309" s="7"/>
      <c r="X6309" s="6">
        <v>0</v>
      </c>
      <c r="Y6309" s="7">
        <v>0</v>
      </c>
      <c r="Z6309" s="7">
        <v>0</v>
      </c>
      <c r="AA6309" s="9"/>
      <c r="AC6309" s="38">
        <v>0</v>
      </c>
    </row>
    <row r="6310" spans="1:29" x14ac:dyDescent="0.25">
      <c r="A6310" s="22">
        <v>44661</v>
      </c>
      <c r="B6310" s="6">
        <v>0</v>
      </c>
      <c r="C6310" s="6">
        <v>0.4</v>
      </c>
      <c r="D6310" s="6">
        <v>0.7</v>
      </c>
      <c r="E6310" s="7">
        <v>0</v>
      </c>
      <c r="F6310" s="43">
        <v>0</v>
      </c>
      <c r="G6310" s="6">
        <v>0</v>
      </c>
      <c r="H6310" s="7">
        <v>0</v>
      </c>
      <c r="I6310" s="6">
        <v>0</v>
      </c>
      <c r="J6310" s="6">
        <v>0</v>
      </c>
      <c r="K6310" s="6">
        <v>0</v>
      </c>
      <c r="L6310" s="7">
        <v>0</v>
      </c>
      <c r="M6310" s="6">
        <v>0</v>
      </c>
      <c r="N6310" s="8">
        <v>0</v>
      </c>
      <c r="O6310" s="7"/>
      <c r="P6310" s="7">
        <v>0</v>
      </c>
      <c r="Q6310" s="6">
        <v>0.5</v>
      </c>
      <c r="R6310" s="6">
        <v>0</v>
      </c>
      <c r="S6310" s="8">
        <v>0</v>
      </c>
      <c r="T6310" s="8">
        <v>0</v>
      </c>
      <c r="U6310" s="6">
        <v>0</v>
      </c>
      <c r="V6310" s="7"/>
      <c r="W6310" s="7"/>
      <c r="X6310" s="6">
        <v>0</v>
      </c>
      <c r="Y6310" s="7">
        <v>0</v>
      </c>
      <c r="Z6310" s="7">
        <v>0</v>
      </c>
      <c r="AA6310" s="9"/>
      <c r="AC6310" s="38">
        <v>0</v>
      </c>
    </row>
    <row r="6311" spans="1:29" x14ac:dyDescent="0.25">
      <c r="A6311" s="22">
        <v>44662</v>
      </c>
      <c r="B6311" s="6">
        <v>10</v>
      </c>
      <c r="C6311" s="6">
        <v>0</v>
      </c>
      <c r="D6311" s="6">
        <v>0</v>
      </c>
      <c r="E6311" s="7">
        <v>0.8</v>
      </c>
      <c r="F6311" s="43">
        <v>6.6</v>
      </c>
      <c r="G6311" s="6">
        <v>0</v>
      </c>
      <c r="H6311" s="7">
        <v>0</v>
      </c>
      <c r="I6311" s="6">
        <v>0</v>
      </c>
      <c r="J6311" s="6">
        <v>0</v>
      </c>
      <c r="K6311" s="6">
        <v>0.4</v>
      </c>
      <c r="L6311" s="7">
        <v>0</v>
      </c>
      <c r="M6311" s="6">
        <v>0</v>
      </c>
      <c r="N6311" s="8">
        <v>8.4</v>
      </c>
      <c r="O6311" s="7"/>
      <c r="P6311" s="7">
        <v>0</v>
      </c>
      <c r="Q6311" s="6">
        <v>3</v>
      </c>
      <c r="R6311" s="6">
        <v>0</v>
      </c>
      <c r="S6311" s="8">
        <v>0</v>
      </c>
      <c r="T6311" s="8">
        <v>0.2</v>
      </c>
      <c r="U6311" s="6">
        <v>9</v>
      </c>
      <c r="V6311" s="7"/>
      <c r="W6311" s="7"/>
      <c r="X6311" s="6">
        <v>0</v>
      </c>
      <c r="Y6311" s="7">
        <v>0</v>
      </c>
      <c r="Z6311" s="7">
        <v>0</v>
      </c>
      <c r="AA6311" s="9"/>
      <c r="AC6311" s="38">
        <v>2</v>
      </c>
    </row>
    <row r="6312" spans="1:29" x14ac:dyDescent="0.25">
      <c r="A6312" s="22">
        <v>44663</v>
      </c>
      <c r="B6312" s="6">
        <v>0</v>
      </c>
      <c r="C6312" s="6">
        <v>11</v>
      </c>
      <c r="D6312" s="6">
        <v>9.6</v>
      </c>
      <c r="E6312" s="7">
        <v>0</v>
      </c>
      <c r="F6312" s="43">
        <v>0</v>
      </c>
      <c r="G6312" s="6">
        <v>7.5</v>
      </c>
      <c r="H6312" s="7">
        <v>4.5</v>
      </c>
      <c r="I6312" s="6">
        <v>4.9000000000000004</v>
      </c>
      <c r="J6312" s="6">
        <v>9.1999999999999993</v>
      </c>
      <c r="K6312" s="6">
        <v>8.1999999999999993</v>
      </c>
      <c r="L6312" s="7">
        <v>3.8099999999999996</v>
      </c>
      <c r="M6312" s="6">
        <v>6</v>
      </c>
      <c r="N6312" s="8">
        <v>0.2</v>
      </c>
      <c r="O6312" s="7"/>
      <c r="P6312" s="7">
        <v>2</v>
      </c>
      <c r="Q6312" s="6">
        <v>0</v>
      </c>
      <c r="R6312" s="6">
        <v>0</v>
      </c>
      <c r="S6312" s="8">
        <v>0</v>
      </c>
      <c r="T6312" s="8">
        <v>0</v>
      </c>
      <c r="U6312" s="6">
        <v>8</v>
      </c>
      <c r="V6312" s="7"/>
      <c r="W6312" s="7"/>
      <c r="X6312" s="6">
        <v>0</v>
      </c>
      <c r="Y6312" s="7">
        <v>4</v>
      </c>
      <c r="Z6312" s="7">
        <v>0</v>
      </c>
      <c r="AA6312" s="9"/>
      <c r="AC6312" s="38">
        <v>0</v>
      </c>
    </row>
    <row r="6313" spans="1:29" x14ac:dyDescent="0.25">
      <c r="A6313" s="22">
        <v>44664</v>
      </c>
      <c r="B6313" s="6">
        <v>0</v>
      </c>
      <c r="C6313" s="6">
        <v>0</v>
      </c>
      <c r="D6313" s="6">
        <v>0</v>
      </c>
      <c r="E6313" s="7">
        <v>0</v>
      </c>
      <c r="F6313" s="43">
        <v>0</v>
      </c>
      <c r="G6313" s="6">
        <v>0</v>
      </c>
      <c r="H6313" s="7">
        <v>0</v>
      </c>
      <c r="I6313" s="6">
        <v>0</v>
      </c>
      <c r="J6313" s="6">
        <v>0</v>
      </c>
      <c r="K6313" s="6">
        <v>0</v>
      </c>
      <c r="L6313" s="7">
        <v>0</v>
      </c>
      <c r="M6313" s="6">
        <v>0</v>
      </c>
      <c r="N6313" s="8">
        <v>0.4</v>
      </c>
      <c r="O6313" s="7"/>
      <c r="P6313" s="7">
        <v>0</v>
      </c>
      <c r="Q6313" s="6">
        <v>0</v>
      </c>
      <c r="R6313" s="6">
        <v>0</v>
      </c>
      <c r="S6313" s="8">
        <v>0</v>
      </c>
      <c r="T6313" s="8">
        <v>0</v>
      </c>
      <c r="U6313" s="6">
        <v>0</v>
      </c>
      <c r="V6313" s="7"/>
      <c r="W6313" s="7"/>
      <c r="X6313" s="6">
        <v>0</v>
      </c>
      <c r="Y6313" s="7">
        <v>0</v>
      </c>
      <c r="Z6313" s="7">
        <v>10</v>
      </c>
      <c r="AA6313" s="9"/>
      <c r="AC6313" s="38">
        <v>0</v>
      </c>
    </row>
    <row r="6314" spans="1:29" x14ac:dyDescent="0.25">
      <c r="A6314" s="22">
        <v>44665</v>
      </c>
      <c r="B6314" s="6">
        <v>35</v>
      </c>
      <c r="C6314" s="6">
        <v>0</v>
      </c>
      <c r="D6314" s="6">
        <v>9.1999999999999993</v>
      </c>
      <c r="E6314" s="7">
        <v>18.2</v>
      </c>
      <c r="F6314" s="43">
        <v>0</v>
      </c>
      <c r="G6314" s="6">
        <v>0</v>
      </c>
      <c r="H6314" s="7">
        <v>0</v>
      </c>
      <c r="I6314" s="6">
        <v>0</v>
      </c>
      <c r="J6314" s="6">
        <v>0</v>
      </c>
      <c r="K6314" s="6">
        <v>2</v>
      </c>
      <c r="L6314" s="7">
        <v>0</v>
      </c>
      <c r="M6314" s="6">
        <v>0</v>
      </c>
      <c r="N6314" s="8">
        <v>0.4</v>
      </c>
      <c r="O6314" s="7"/>
      <c r="P6314" s="7">
        <v>0</v>
      </c>
      <c r="Q6314" s="6">
        <v>39.6</v>
      </c>
      <c r="R6314" s="6">
        <v>44</v>
      </c>
      <c r="S6314" s="8">
        <v>0</v>
      </c>
      <c r="T6314" s="8">
        <v>0</v>
      </c>
      <c r="U6314" s="6">
        <v>0</v>
      </c>
      <c r="V6314" s="7"/>
      <c r="W6314" s="7"/>
      <c r="X6314" s="6">
        <v>0</v>
      </c>
      <c r="Y6314" s="7">
        <v>0</v>
      </c>
      <c r="Z6314" s="7">
        <v>0</v>
      </c>
      <c r="AA6314" s="9"/>
      <c r="AC6314" s="38">
        <v>0</v>
      </c>
    </row>
    <row r="6315" spans="1:29" x14ac:dyDescent="0.25">
      <c r="A6315" s="22">
        <v>44666</v>
      </c>
      <c r="B6315" s="6">
        <v>0</v>
      </c>
      <c r="C6315" s="6">
        <v>9.8000000000000007</v>
      </c>
      <c r="D6315" s="6">
        <v>19.2</v>
      </c>
      <c r="E6315" s="7">
        <v>47.8</v>
      </c>
      <c r="F6315" s="43">
        <v>16.8</v>
      </c>
      <c r="G6315" s="6">
        <v>9.8000000000000007</v>
      </c>
      <c r="H6315" s="7">
        <v>16.899999999999999</v>
      </c>
      <c r="I6315" s="6">
        <v>6.8</v>
      </c>
      <c r="J6315" s="6">
        <v>8.1</v>
      </c>
      <c r="K6315" s="6">
        <v>8</v>
      </c>
      <c r="L6315" s="7">
        <v>43.18</v>
      </c>
      <c r="M6315" s="6">
        <v>13.4</v>
      </c>
      <c r="N6315" s="8">
        <v>10.199999999999999</v>
      </c>
      <c r="O6315" s="7"/>
      <c r="P6315" s="7">
        <v>3.4</v>
      </c>
      <c r="Q6315" s="6">
        <v>0</v>
      </c>
      <c r="R6315" s="6">
        <v>0</v>
      </c>
      <c r="S6315" s="8">
        <v>5.6</v>
      </c>
      <c r="T6315" s="8">
        <v>6.6</v>
      </c>
      <c r="U6315" s="6">
        <v>0</v>
      </c>
      <c r="V6315" s="7"/>
      <c r="W6315" s="7"/>
      <c r="X6315" s="6">
        <v>0</v>
      </c>
      <c r="Y6315" s="7">
        <v>0</v>
      </c>
      <c r="Z6315" s="7">
        <v>0</v>
      </c>
      <c r="AA6315" s="9"/>
      <c r="AC6315" s="38">
        <v>4</v>
      </c>
    </row>
    <row r="6316" spans="1:29" x14ac:dyDescent="0.25">
      <c r="A6316" s="22">
        <v>44667</v>
      </c>
      <c r="B6316" s="6">
        <v>0</v>
      </c>
      <c r="C6316" s="6">
        <v>0</v>
      </c>
      <c r="D6316" s="6">
        <v>0.5</v>
      </c>
      <c r="E6316" s="7">
        <v>0.4</v>
      </c>
      <c r="F6316" s="43">
        <v>0</v>
      </c>
      <c r="G6316" s="6">
        <v>1.3</v>
      </c>
      <c r="H6316" s="7">
        <v>0</v>
      </c>
      <c r="I6316" s="6">
        <v>2.1</v>
      </c>
      <c r="J6316" s="6">
        <v>2.2999999999999998</v>
      </c>
      <c r="K6316" s="6">
        <v>0.6</v>
      </c>
      <c r="L6316" s="7">
        <v>0.7619999999999999</v>
      </c>
      <c r="M6316" s="6">
        <v>0.3</v>
      </c>
      <c r="N6316" s="8">
        <v>0.4</v>
      </c>
      <c r="O6316" s="7"/>
      <c r="P6316" s="7">
        <v>0</v>
      </c>
      <c r="Q6316" s="6">
        <v>4</v>
      </c>
      <c r="R6316" s="6">
        <v>6</v>
      </c>
      <c r="S6316" s="8">
        <v>0.2</v>
      </c>
      <c r="T6316" s="8">
        <v>0.8</v>
      </c>
      <c r="U6316" s="6">
        <v>4</v>
      </c>
      <c r="V6316" s="7"/>
      <c r="W6316" s="7"/>
      <c r="X6316" s="6">
        <v>0</v>
      </c>
      <c r="Y6316" s="7">
        <v>0</v>
      </c>
      <c r="Z6316" s="7">
        <v>0</v>
      </c>
      <c r="AA6316" s="9"/>
      <c r="AC6316" s="38">
        <v>1</v>
      </c>
    </row>
    <row r="6317" spans="1:29" x14ac:dyDescent="0.25">
      <c r="A6317" s="22">
        <v>44668</v>
      </c>
      <c r="B6317" s="6">
        <v>0</v>
      </c>
      <c r="C6317" s="6">
        <v>2.8</v>
      </c>
      <c r="D6317" s="6">
        <v>6.8</v>
      </c>
      <c r="E6317" s="7">
        <v>7.2</v>
      </c>
      <c r="F6317" s="43">
        <v>0</v>
      </c>
      <c r="G6317" s="6">
        <v>0</v>
      </c>
      <c r="H6317" s="7">
        <v>0</v>
      </c>
      <c r="I6317" s="6">
        <v>1</v>
      </c>
      <c r="J6317" s="6">
        <v>2</v>
      </c>
      <c r="K6317" s="6">
        <v>0</v>
      </c>
      <c r="L6317" s="7">
        <v>3.556</v>
      </c>
      <c r="M6317" s="6">
        <v>0.3</v>
      </c>
      <c r="N6317" s="8">
        <v>2</v>
      </c>
      <c r="O6317" s="7"/>
      <c r="P6317" s="7">
        <v>2.5</v>
      </c>
      <c r="Q6317" s="7">
        <v>6.6</v>
      </c>
      <c r="R6317" s="6">
        <v>0</v>
      </c>
      <c r="S6317" s="8">
        <v>3.4</v>
      </c>
      <c r="T6317" s="8">
        <v>0</v>
      </c>
      <c r="U6317" s="6">
        <v>0</v>
      </c>
      <c r="V6317" s="7"/>
      <c r="W6317" s="7"/>
      <c r="X6317" s="6">
        <v>0</v>
      </c>
      <c r="Y6317" s="7">
        <v>4</v>
      </c>
      <c r="Z6317" s="7">
        <v>0</v>
      </c>
      <c r="AA6317" s="9"/>
      <c r="AC6317" s="38">
        <v>1</v>
      </c>
    </row>
    <row r="6318" spans="1:29" x14ac:dyDescent="0.25">
      <c r="A6318" s="22">
        <v>44669</v>
      </c>
      <c r="B6318" s="6">
        <v>17</v>
      </c>
      <c r="C6318" s="6">
        <v>6</v>
      </c>
      <c r="D6318" s="6">
        <v>7.6</v>
      </c>
      <c r="E6318" s="7">
        <v>0.4</v>
      </c>
      <c r="F6318" s="43">
        <v>3.2</v>
      </c>
      <c r="G6318" s="6">
        <v>2.1</v>
      </c>
      <c r="H6318" s="7">
        <v>3</v>
      </c>
      <c r="I6318" s="6">
        <v>2.1</v>
      </c>
      <c r="J6318" s="6">
        <v>5.9</v>
      </c>
      <c r="K6318" s="6">
        <v>10.8</v>
      </c>
      <c r="L6318" s="7">
        <v>0.7619999999999999</v>
      </c>
      <c r="M6318" s="6">
        <v>2</v>
      </c>
      <c r="N6318" s="8">
        <v>7.6</v>
      </c>
      <c r="O6318" s="7"/>
      <c r="P6318" s="7">
        <v>2</v>
      </c>
      <c r="Q6318" s="6">
        <v>7.6</v>
      </c>
      <c r="R6318" s="6">
        <v>2</v>
      </c>
      <c r="S6318" s="8">
        <v>0.6</v>
      </c>
      <c r="T6318" s="8">
        <v>0</v>
      </c>
      <c r="U6318" s="6">
        <v>37</v>
      </c>
      <c r="V6318" s="7"/>
      <c r="W6318" s="7"/>
      <c r="X6318" s="6">
        <v>22</v>
      </c>
      <c r="Y6318" s="7">
        <v>2</v>
      </c>
      <c r="Z6318" s="7">
        <v>8</v>
      </c>
      <c r="AA6318" s="9"/>
      <c r="AC6318" s="38">
        <v>2</v>
      </c>
    </row>
    <row r="6319" spans="1:29" x14ac:dyDescent="0.25">
      <c r="A6319" s="22">
        <v>44670</v>
      </c>
      <c r="B6319" s="6">
        <v>19</v>
      </c>
      <c r="C6319" s="6">
        <v>6.2</v>
      </c>
      <c r="D6319" s="6">
        <v>10</v>
      </c>
      <c r="E6319" s="7">
        <v>2</v>
      </c>
      <c r="F6319" s="43">
        <v>1.6</v>
      </c>
      <c r="G6319" s="6">
        <v>10.199999999999999</v>
      </c>
      <c r="H6319" s="7">
        <v>4</v>
      </c>
      <c r="I6319" s="6">
        <v>4.3</v>
      </c>
      <c r="J6319" s="6">
        <v>14.2</v>
      </c>
      <c r="K6319" s="6">
        <v>16.7</v>
      </c>
      <c r="L6319" s="7">
        <v>8.636000000000001</v>
      </c>
      <c r="M6319" s="6">
        <v>4.7</v>
      </c>
      <c r="N6319" s="8">
        <v>10.199999999999999</v>
      </c>
      <c r="O6319" s="7"/>
      <c r="P6319" s="7">
        <v>6.5</v>
      </c>
      <c r="Q6319" s="6">
        <v>0.7</v>
      </c>
      <c r="R6319" s="6">
        <v>2</v>
      </c>
      <c r="S6319" s="8">
        <v>1</v>
      </c>
      <c r="T6319" s="8">
        <v>2.2000000000000002</v>
      </c>
      <c r="U6319" s="6">
        <v>0</v>
      </c>
      <c r="V6319" s="7"/>
      <c r="W6319" s="7"/>
      <c r="X6319" s="6">
        <v>0</v>
      </c>
      <c r="Y6319" s="7">
        <v>2</v>
      </c>
      <c r="Z6319" s="7">
        <v>4</v>
      </c>
      <c r="AA6319" s="9"/>
      <c r="AC6319" s="38">
        <v>0</v>
      </c>
    </row>
    <row r="6320" spans="1:29" x14ac:dyDescent="0.25">
      <c r="A6320" s="22">
        <v>44671</v>
      </c>
      <c r="B6320" s="6">
        <v>0</v>
      </c>
      <c r="C6320" s="6">
        <v>2</v>
      </c>
      <c r="D6320" s="6">
        <v>4.5999999999999996</v>
      </c>
      <c r="E6320" s="7">
        <v>0</v>
      </c>
      <c r="F6320" s="43">
        <v>1.2</v>
      </c>
      <c r="G6320" s="6">
        <v>2.2999999999999998</v>
      </c>
      <c r="H6320" s="7">
        <v>0.5</v>
      </c>
      <c r="I6320" s="6">
        <v>4.3</v>
      </c>
      <c r="J6320" s="6">
        <v>2.2000000000000002</v>
      </c>
      <c r="K6320" s="6">
        <v>3.4</v>
      </c>
      <c r="L6320" s="7">
        <v>2.2859999999999996</v>
      </c>
      <c r="M6320" s="6">
        <v>2.4</v>
      </c>
      <c r="N6320" s="8">
        <v>3.8</v>
      </c>
      <c r="O6320" s="7"/>
      <c r="P6320" s="7">
        <v>2.5</v>
      </c>
      <c r="Q6320" s="6">
        <v>17.7</v>
      </c>
      <c r="R6320" s="6">
        <v>0</v>
      </c>
      <c r="S6320" s="8">
        <v>0.2</v>
      </c>
      <c r="T6320" s="8">
        <v>0.4</v>
      </c>
      <c r="U6320" s="6">
        <v>0</v>
      </c>
      <c r="V6320" s="7"/>
      <c r="W6320" s="7"/>
      <c r="X6320" s="6">
        <v>0</v>
      </c>
      <c r="Y6320" s="7">
        <v>0</v>
      </c>
      <c r="Z6320" s="7">
        <v>6</v>
      </c>
      <c r="AA6320" s="9"/>
      <c r="AC6320" s="38">
        <v>0</v>
      </c>
    </row>
    <row r="6321" spans="1:29" x14ac:dyDescent="0.25">
      <c r="A6321" s="22">
        <v>44672</v>
      </c>
      <c r="B6321" s="6">
        <v>4</v>
      </c>
      <c r="C6321" s="6">
        <v>1</v>
      </c>
      <c r="D6321" s="6">
        <v>2.9</v>
      </c>
      <c r="E6321" s="7">
        <v>0.2</v>
      </c>
      <c r="F6321" s="43">
        <v>0</v>
      </c>
      <c r="G6321" s="6">
        <v>6.4</v>
      </c>
      <c r="H6321" s="7">
        <v>0</v>
      </c>
      <c r="I6321" s="6">
        <v>2.7</v>
      </c>
      <c r="J6321" s="6">
        <v>8.1999999999999993</v>
      </c>
      <c r="K6321" s="6">
        <v>0</v>
      </c>
      <c r="L6321" s="7">
        <v>0</v>
      </c>
      <c r="M6321" s="6">
        <v>4.4000000000000004</v>
      </c>
      <c r="N6321" s="8">
        <v>3.8</v>
      </c>
      <c r="O6321" s="7"/>
      <c r="P6321" s="7">
        <v>1</v>
      </c>
      <c r="Q6321" s="6">
        <v>2.7</v>
      </c>
      <c r="R6321" s="6">
        <v>2</v>
      </c>
      <c r="S6321" s="8">
        <v>0</v>
      </c>
      <c r="T6321" s="8">
        <v>0</v>
      </c>
      <c r="U6321" s="6">
        <v>7</v>
      </c>
      <c r="V6321" s="7"/>
      <c r="W6321" s="7"/>
      <c r="X6321" s="6">
        <v>0</v>
      </c>
      <c r="Y6321" s="7">
        <v>0</v>
      </c>
      <c r="Z6321" s="7">
        <v>0</v>
      </c>
      <c r="AA6321" s="9"/>
      <c r="AC6321" s="38">
        <v>0</v>
      </c>
    </row>
    <row r="6322" spans="1:29" x14ac:dyDescent="0.25">
      <c r="A6322" s="22">
        <v>44673</v>
      </c>
      <c r="B6322" s="6">
        <v>7</v>
      </c>
      <c r="C6322" s="6">
        <v>2.2000000000000002</v>
      </c>
      <c r="D6322" s="6">
        <v>8.4</v>
      </c>
      <c r="E6322" s="7">
        <v>0.2</v>
      </c>
      <c r="F6322" s="43">
        <v>0.4</v>
      </c>
      <c r="G6322" s="6">
        <v>0.2</v>
      </c>
      <c r="H6322" s="7">
        <v>1.6</v>
      </c>
      <c r="I6322" s="6">
        <v>0.1</v>
      </c>
      <c r="J6322" s="6">
        <v>3.9</v>
      </c>
      <c r="K6322" s="6">
        <v>0</v>
      </c>
      <c r="L6322" s="7">
        <v>1.27</v>
      </c>
      <c r="M6322" s="6">
        <v>0.3</v>
      </c>
      <c r="N6322" s="8">
        <v>4</v>
      </c>
      <c r="O6322" s="7"/>
      <c r="P6322" s="7">
        <v>2</v>
      </c>
      <c r="Q6322" s="6">
        <v>1.2</v>
      </c>
      <c r="R6322" s="6">
        <v>0</v>
      </c>
      <c r="S6322" s="8">
        <v>0</v>
      </c>
      <c r="T6322" s="8">
        <v>0</v>
      </c>
      <c r="U6322" s="6">
        <v>5</v>
      </c>
      <c r="V6322" s="7"/>
      <c r="W6322" s="7"/>
      <c r="X6322" s="6">
        <v>0</v>
      </c>
      <c r="Y6322" s="7">
        <v>0</v>
      </c>
      <c r="Z6322" s="7">
        <v>0</v>
      </c>
      <c r="AA6322" s="9"/>
      <c r="AC6322" s="38">
        <v>0</v>
      </c>
    </row>
    <row r="6323" spans="1:29" x14ac:dyDescent="0.25">
      <c r="A6323" s="22">
        <v>44674</v>
      </c>
      <c r="B6323" s="6">
        <v>0</v>
      </c>
      <c r="C6323" s="6">
        <v>1.4</v>
      </c>
      <c r="D6323" s="6">
        <v>1.1000000000000001</v>
      </c>
      <c r="E6323" s="7">
        <v>2.4</v>
      </c>
      <c r="F6323" s="43">
        <v>0</v>
      </c>
      <c r="G6323" s="6">
        <v>0.1</v>
      </c>
      <c r="H6323" s="7">
        <v>0</v>
      </c>
      <c r="I6323" s="6">
        <v>0.2</v>
      </c>
      <c r="J6323" s="6">
        <v>2.6</v>
      </c>
      <c r="K6323" s="6">
        <v>0.2</v>
      </c>
      <c r="L6323" s="7">
        <v>0</v>
      </c>
      <c r="M6323" s="6">
        <v>0.2</v>
      </c>
      <c r="N6323" s="8">
        <v>0</v>
      </c>
      <c r="O6323" s="7"/>
      <c r="P6323" s="7">
        <v>0.5</v>
      </c>
      <c r="Q6323" s="6">
        <v>7.6</v>
      </c>
      <c r="R6323" s="6">
        <v>0</v>
      </c>
      <c r="S6323" s="8">
        <v>0</v>
      </c>
      <c r="T6323" s="8">
        <v>0</v>
      </c>
      <c r="U6323" s="6">
        <v>2</v>
      </c>
      <c r="V6323" s="7"/>
      <c r="W6323" s="7"/>
      <c r="X6323" s="6">
        <v>0</v>
      </c>
      <c r="Y6323" s="7">
        <v>0</v>
      </c>
      <c r="Z6323" s="7">
        <v>0</v>
      </c>
      <c r="AA6323" s="9"/>
      <c r="AC6323" s="38">
        <v>0</v>
      </c>
    </row>
    <row r="6324" spans="1:29" x14ac:dyDescent="0.25">
      <c r="A6324" s="22">
        <v>44675</v>
      </c>
      <c r="B6324" s="6">
        <v>0</v>
      </c>
      <c r="C6324" s="6">
        <v>0</v>
      </c>
      <c r="D6324" s="6">
        <v>2.8</v>
      </c>
      <c r="E6324" s="7">
        <v>2.4</v>
      </c>
      <c r="F6324" s="43">
        <v>1.4</v>
      </c>
      <c r="G6324" s="6">
        <v>0.2</v>
      </c>
      <c r="H6324" s="7">
        <v>0</v>
      </c>
      <c r="I6324" s="6">
        <v>0.2</v>
      </c>
      <c r="J6324" s="6">
        <v>6.2</v>
      </c>
      <c r="K6324" s="6">
        <v>6.2</v>
      </c>
      <c r="L6324" s="7">
        <v>3.0479999999999996</v>
      </c>
      <c r="M6324" s="6">
        <v>1.2</v>
      </c>
      <c r="N6324" s="8">
        <v>9.1999999999999993</v>
      </c>
      <c r="O6324" s="7"/>
      <c r="P6324" s="7">
        <v>0</v>
      </c>
      <c r="Q6324" s="6">
        <v>7.8</v>
      </c>
      <c r="R6324" s="6">
        <v>6</v>
      </c>
      <c r="S6324" s="8">
        <v>0</v>
      </c>
      <c r="T6324" s="8">
        <v>0</v>
      </c>
      <c r="U6324" s="6">
        <v>10</v>
      </c>
      <c r="V6324" s="7"/>
      <c r="W6324" s="7"/>
      <c r="X6324" s="6">
        <v>0</v>
      </c>
      <c r="Y6324" s="7">
        <v>0</v>
      </c>
      <c r="Z6324" s="7">
        <v>0</v>
      </c>
      <c r="AA6324" s="9"/>
      <c r="AC6324" s="38">
        <v>1</v>
      </c>
    </row>
    <row r="6325" spans="1:29" x14ac:dyDescent="0.25">
      <c r="A6325" s="22">
        <v>44676</v>
      </c>
      <c r="B6325" s="6">
        <v>20</v>
      </c>
      <c r="C6325" s="6">
        <v>1</v>
      </c>
      <c r="D6325" s="6">
        <v>6.8</v>
      </c>
      <c r="E6325" s="7">
        <v>23.2</v>
      </c>
      <c r="F6325" s="43">
        <v>17</v>
      </c>
      <c r="G6325" s="6">
        <v>7.5</v>
      </c>
      <c r="H6325" s="7">
        <v>25.7</v>
      </c>
      <c r="I6325" s="6">
        <v>3.3</v>
      </c>
      <c r="J6325" s="6">
        <v>5.8</v>
      </c>
      <c r="K6325" s="6">
        <v>6.2</v>
      </c>
      <c r="L6325" s="7">
        <v>19.049999999999997</v>
      </c>
      <c r="M6325" s="6">
        <v>8.1999999999999993</v>
      </c>
      <c r="N6325" s="8">
        <v>27.8</v>
      </c>
      <c r="O6325" s="7"/>
      <c r="P6325" s="7">
        <v>10</v>
      </c>
      <c r="Q6325" s="6">
        <v>12.7</v>
      </c>
      <c r="R6325" s="6">
        <v>12</v>
      </c>
      <c r="S6325" s="8">
        <v>0</v>
      </c>
      <c r="T6325" s="8">
        <v>1</v>
      </c>
      <c r="U6325" s="6">
        <v>20</v>
      </c>
      <c r="V6325" s="7"/>
      <c r="W6325" s="7"/>
      <c r="X6325" s="6">
        <v>22</v>
      </c>
      <c r="Y6325" s="7">
        <v>7</v>
      </c>
      <c r="Z6325" s="7">
        <v>12</v>
      </c>
      <c r="AA6325" s="9"/>
      <c r="AC6325" s="38">
        <v>6</v>
      </c>
    </row>
    <row r="6326" spans="1:29" x14ac:dyDescent="0.25">
      <c r="A6326" s="22">
        <v>44677</v>
      </c>
      <c r="B6326" s="6">
        <v>11.1</v>
      </c>
      <c r="C6326" s="6">
        <v>0.4</v>
      </c>
      <c r="D6326" s="6">
        <v>10.4</v>
      </c>
      <c r="E6326" s="7">
        <v>11.6</v>
      </c>
      <c r="F6326" s="43">
        <v>60.2</v>
      </c>
      <c r="G6326" s="6">
        <v>19.5</v>
      </c>
      <c r="H6326" s="7">
        <v>13.2</v>
      </c>
      <c r="I6326" s="6">
        <v>11.8</v>
      </c>
      <c r="J6326" s="6">
        <v>14.6</v>
      </c>
      <c r="K6326" s="6">
        <v>16.2</v>
      </c>
      <c r="L6326" s="7">
        <v>8.636000000000001</v>
      </c>
      <c r="M6326" s="6">
        <v>20.2</v>
      </c>
      <c r="N6326" s="8">
        <v>38.4</v>
      </c>
      <c r="O6326" s="7"/>
      <c r="P6326" s="7">
        <v>30</v>
      </c>
      <c r="Q6326" s="6">
        <v>18</v>
      </c>
      <c r="R6326" s="6">
        <v>19</v>
      </c>
      <c r="S6326" s="8">
        <v>0</v>
      </c>
      <c r="T6326" s="8">
        <v>0</v>
      </c>
      <c r="U6326" s="6">
        <v>30</v>
      </c>
      <c r="V6326" s="7"/>
      <c r="W6326" s="7"/>
      <c r="X6326" s="6">
        <v>12.2</v>
      </c>
      <c r="Y6326" s="7">
        <v>8</v>
      </c>
      <c r="Z6326" s="7">
        <v>6</v>
      </c>
      <c r="AA6326" s="9"/>
      <c r="AC6326" s="38">
        <v>12</v>
      </c>
    </row>
    <row r="6327" spans="1:29" x14ac:dyDescent="0.25">
      <c r="A6327" s="22">
        <v>44678</v>
      </c>
      <c r="B6327" s="6">
        <v>19</v>
      </c>
      <c r="C6327" s="6">
        <v>12.4</v>
      </c>
      <c r="D6327" s="6">
        <v>20.8</v>
      </c>
      <c r="E6327" s="7">
        <v>49</v>
      </c>
      <c r="F6327" s="43">
        <v>33.200000000000003</v>
      </c>
      <c r="G6327" s="6">
        <v>19</v>
      </c>
      <c r="H6327" s="7">
        <v>90.3</v>
      </c>
      <c r="I6327" s="6">
        <v>10.4</v>
      </c>
      <c r="J6327" s="6">
        <v>10.5</v>
      </c>
      <c r="K6327" s="6">
        <v>14.6</v>
      </c>
      <c r="L6327" s="7">
        <v>38.862000000000002</v>
      </c>
      <c r="M6327" s="6">
        <v>42.2</v>
      </c>
      <c r="N6327" s="8">
        <v>43.6</v>
      </c>
      <c r="O6327" s="7"/>
      <c r="P6327" s="7">
        <v>21.5</v>
      </c>
      <c r="Q6327" s="6">
        <v>82.2</v>
      </c>
      <c r="R6327" s="6">
        <v>48</v>
      </c>
      <c r="S6327" s="8">
        <v>2.4</v>
      </c>
      <c r="T6327" s="8">
        <v>2.4</v>
      </c>
      <c r="U6327" s="6">
        <v>35</v>
      </c>
      <c r="V6327" s="7"/>
      <c r="W6327" s="7"/>
      <c r="X6327" s="6">
        <v>56.3</v>
      </c>
      <c r="Y6327" s="7">
        <v>25</v>
      </c>
      <c r="Z6327" s="7">
        <v>20</v>
      </c>
      <c r="AA6327" s="9"/>
      <c r="AC6327" s="38">
        <v>7</v>
      </c>
    </row>
    <row r="6328" spans="1:29" x14ac:dyDescent="0.25">
      <c r="A6328" s="22">
        <v>44679</v>
      </c>
      <c r="B6328" s="6">
        <v>42</v>
      </c>
      <c r="C6328" s="6">
        <v>18.8</v>
      </c>
      <c r="D6328" s="6">
        <v>34.4</v>
      </c>
      <c r="E6328" s="7">
        <v>64.2</v>
      </c>
      <c r="F6328" s="43">
        <v>40</v>
      </c>
      <c r="G6328" s="6">
        <v>23.4</v>
      </c>
      <c r="H6328" s="7">
        <v>62.9</v>
      </c>
      <c r="I6328" s="6">
        <v>9.1</v>
      </c>
      <c r="J6328" s="6">
        <v>22</v>
      </c>
      <c r="K6328" s="6">
        <v>26.5</v>
      </c>
      <c r="L6328" s="7">
        <v>33.527999999999999</v>
      </c>
      <c r="M6328" s="6">
        <v>37.799999999999997</v>
      </c>
      <c r="N6328" s="8">
        <v>54.6</v>
      </c>
      <c r="O6328" s="7"/>
      <c r="P6328" s="7">
        <v>38</v>
      </c>
      <c r="Q6328" s="6">
        <v>1.7</v>
      </c>
      <c r="R6328" s="6">
        <v>2</v>
      </c>
      <c r="S6328" s="8">
        <v>13.4</v>
      </c>
      <c r="T6328" s="8">
        <v>19.2</v>
      </c>
      <c r="U6328" s="6">
        <v>101</v>
      </c>
      <c r="V6328" s="7"/>
      <c r="W6328" s="7"/>
      <c r="X6328" s="6">
        <v>16.3</v>
      </c>
      <c r="Y6328" s="7">
        <v>25</v>
      </c>
      <c r="Z6328" s="7">
        <v>24</v>
      </c>
      <c r="AA6328" s="9"/>
      <c r="AC6328" s="38">
        <v>6</v>
      </c>
    </row>
    <row r="6329" spans="1:29" x14ac:dyDescent="0.25">
      <c r="A6329" s="22">
        <v>44680</v>
      </c>
      <c r="B6329" s="6">
        <v>0</v>
      </c>
      <c r="C6329" s="6">
        <v>4.8</v>
      </c>
      <c r="D6329" s="6">
        <v>8.4</v>
      </c>
      <c r="E6329" s="7">
        <v>1.2</v>
      </c>
      <c r="F6329" s="43">
        <v>0.4</v>
      </c>
      <c r="G6329" s="6">
        <v>6</v>
      </c>
      <c r="H6329" s="7">
        <v>7.2</v>
      </c>
      <c r="I6329" s="6">
        <v>6.9</v>
      </c>
      <c r="J6329" s="6">
        <v>3.8</v>
      </c>
      <c r="K6329" s="6">
        <v>4.4000000000000004</v>
      </c>
      <c r="L6329" s="7">
        <v>1.5239999999999998</v>
      </c>
      <c r="M6329" s="6">
        <v>6.1</v>
      </c>
      <c r="N6329" s="8">
        <v>1</v>
      </c>
      <c r="O6329" s="7"/>
      <c r="P6329" s="7">
        <v>2</v>
      </c>
      <c r="Q6329" s="6">
        <v>0.2</v>
      </c>
      <c r="R6329" s="6">
        <v>0</v>
      </c>
      <c r="S6329" s="8">
        <v>0</v>
      </c>
      <c r="T6329" s="8">
        <v>0</v>
      </c>
      <c r="U6329" s="6">
        <v>5</v>
      </c>
      <c r="V6329" s="7"/>
      <c r="W6329" s="7"/>
      <c r="X6329" s="6">
        <v>0</v>
      </c>
      <c r="Y6329" s="7">
        <v>0</v>
      </c>
      <c r="Z6329" s="7">
        <v>0</v>
      </c>
      <c r="AA6329" s="9"/>
      <c r="AC6329" s="38">
        <v>0</v>
      </c>
    </row>
    <row r="6330" spans="1:29" x14ac:dyDescent="0.25">
      <c r="A6330" s="22">
        <v>44681</v>
      </c>
      <c r="B6330" s="7">
        <v>0</v>
      </c>
      <c r="C6330" s="6">
        <v>0</v>
      </c>
      <c r="D6330" s="6">
        <v>0.2</v>
      </c>
      <c r="E6330" s="7">
        <v>0</v>
      </c>
      <c r="F6330" s="43">
        <v>0.2</v>
      </c>
      <c r="G6330" s="6">
        <v>0.5</v>
      </c>
      <c r="H6330" s="7">
        <v>0</v>
      </c>
      <c r="I6330" s="6">
        <v>0</v>
      </c>
      <c r="J6330" s="6">
        <v>0</v>
      </c>
      <c r="K6330" s="6">
        <v>0</v>
      </c>
      <c r="L6330" s="7">
        <v>0</v>
      </c>
      <c r="M6330" s="6">
        <v>0</v>
      </c>
      <c r="N6330" s="8">
        <v>0</v>
      </c>
      <c r="O6330" s="7"/>
      <c r="P6330" s="7">
        <v>0</v>
      </c>
      <c r="Q6330" s="6">
        <v>0</v>
      </c>
      <c r="R6330" s="6">
        <v>0</v>
      </c>
      <c r="S6330" s="8">
        <v>0</v>
      </c>
      <c r="T6330" s="8">
        <v>0</v>
      </c>
      <c r="U6330" s="6">
        <v>0</v>
      </c>
      <c r="V6330" s="7"/>
      <c r="W6330" s="7"/>
      <c r="X6330" s="6">
        <v>0</v>
      </c>
      <c r="Y6330" s="7">
        <v>0</v>
      </c>
      <c r="Z6330" s="7">
        <v>0</v>
      </c>
      <c r="AA6330" s="9"/>
      <c r="AC6330" s="38">
        <v>0</v>
      </c>
    </row>
    <row r="6331" spans="1:29" x14ac:dyDescent="0.25">
      <c r="A6331" s="22">
        <v>44682</v>
      </c>
      <c r="B6331" s="6">
        <v>0</v>
      </c>
      <c r="C6331" s="6">
        <v>0</v>
      </c>
      <c r="D6331" s="6">
        <v>0</v>
      </c>
      <c r="E6331" s="7">
        <v>0</v>
      </c>
      <c r="F6331" s="43">
        <v>0</v>
      </c>
      <c r="G6331" s="6">
        <v>0</v>
      </c>
      <c r="H6331" s="7">
        <v>0</v>
      </c>
      <c r="I6331" s="6">
        <v>0.1</v>
      </c>
      <c r="J6331" s="6">
        <v>0</v>
      </c>
      <c r="K6331" s="6">
        <v>0</v>
      </c>
      <c r="L6331" s="7">
        <v>0</v>
      </c>
      <c r="M6331" s="6">
        <v>0</v>
      </c>
      <c r="N6331" s="8">
        <v>0</v>
      </c>
      <c r="O6331" s="7"/>
      <c r="P6331" s="7">
        <v>0</v>
      </c>
      <c r="Q6331" s="6">
        <v>10.1</v>
      </c>
      <c r="R6331" s="6">
        <v>0</v>
      </c>
      <c r="S6331" s="43">
        <v>0</v>
      </c>
      <c r="T6331" s="43">
        <v>0</v>
      </c>
      <c r="U6331" s="6">
        <v>0</v>
      </c>
      <c r="V6331" s="7"/>
      <c r="W6331" s="7">
        <v>0</v>
      </c>
      <c r="X6331" s="6">
        <v>0</v>
      </c>
      <c r="Y6331" s="7">
        <v>0</v>
      </c>
      <c r="Z6331" s="7">
        <v>0</v>
      </c>
      <c r="AA6331" s="9"/>
      <c r="AC6331" s="38">
        <v>0</v>
      </c>
    </row>
    <row r="6332" spans="1:29" x14ac:dyDescent="0.25">
      <c r="A6332" s="22">
        <v>44683</v>
      </c>
      <c r="B6332" s="6">
        <v>6</v>
      </c>
      <c r="C6332" s="6">
        <v>1.6</v>
      </c>
      <c r="D6332" s="6">
        <v>2</v>
      </c>
      <c r="E6332" s="7">
        <v>0</v>
      </c>
      <c r="F6332" s="43">
        <v>0.2</v>
      </c>
      <c r="G6332" s="6">
        <v>1.1000000000000001</v>
      </c>
      <c r="H6332" s="7">
        <v>1.1000000000000001</v>
      </c>
      <c r="I6332" s="6">
        <v>0</v>
      </c>
      <c r="J6332" s="6">
        <v>2.2999999999999998</v>
      </c>
      <c r="K6332" s="6">
        <v>4.0999999999999996</v>
      </c>
      <c r="L6332" s="7">
        <v>0</v>
      </c>
      <c r="M6332" s="6">
        <v>0.3</v>
      </c>
      <c r="N6332" s="8">
        <v>3.2</v>
      </c>
      <c r="O6332" s="7"/>
      <c r="P6332" s="7">
        <v>0</v>
      </c>
      <c r="Q6332" s="6">
        <v>0.2</v>
      </c>
      <c r="R6332" s="6">
        <v>0</v>
      </c>
      <c r="S6332" s="43">
        <v>0</v>
      </c>
      <c r="T6332" s="43">
        <v>0</v>
      </c>
      <c r="U6332" s="6">
        <v>2</v>
      </c>
      <c r="V6332" s="7"/>
      <c r="W6332" s="7">
        <v>0</v>
      </c>
      <c r="X6332" s="6">
        <v>4.0999999999999996</v>
      </c>
      <c r="Y6332" s="7">
        <v>0</v>
      </c>
      <c r="Z6332" s="7">
        <v>0</v>
      </c>
      <c r="AA6332" s="9"/>
      <c r="AC6332" s="38">
        <v>0</v>
      </c>
    </row>
    <row r="6333" spans="1:29" x14ac:dyDescent="0.25">
      <c r="A6333" s="22">
        <v>44684</v>
      </c>
      <c r="B6333" s="6">
        <v>0</v>
      </c>
      <c r="C6333" s="6">
        <v>2.4</v>
      </c>
      <c r="D6333" s="6">
        <v>4.5999999999999996</v>
      </c>
      <c r="E6333" s="7">
        <v>0</v>
      </c>
      <c r="F6333" s="43">
        <v>0.6</v>
      </c>
      <c r="G6333" s="6">
        <v>4.4000000000000004</v>
      </c>
      <c r="H6333" s="7">
        <v>1</v>
      </c>
      <c r="I6333" s="6">
        <v>2.4</v>
      </c>
      <c r="J6333" s="6">
        <v>4.8</v>
      </c>
      <c r="K6333" s="6">
        <v>3.5</v>
      </c>
      <c r="L6333" s="7">
        <v>0.254</v>
      </c>
      <c r="M6333" s="6">
        <v>0.7</v>
      </c>
      <c r="N6333" s="8">
        <v>8.8000000000000007</v>
      </c>
      <c r="O6333" s="7"/>
      <c r="P6333" s="7">
        <v>1</v>
      </c>
      <c r="Q6333" s="6">
        <v>1.2</v>
      </c>
      <c r="R6333" s="6">
        <v>0</v>
      </c>
      <c r="S6333" s="43">
        <v>3</v>
      </c>
      <c r="T6333" s="43">
        <v>9</v>
      </c>
      <c r="U6333" s="6">
        <v>10</v>
      </c>
      <c r="V6333" s="7"/>
      <c r="W6333" s="7">
        <v>0.2</v>
      </c>
      <c r="X6333" s="6">
        <v>6.2</v>
      </c>
      <c r="Y6333" s="7">
        <f>0.02*25.4</f>
        <v>0.50800000000000001</v>
      </c>
      <c r="Z6333" s="7">
        <v>6</v>
      </c>
      <c r="AA6333" s="9"/>
      <c r="AC6333" s="38">
        <v>1</v>
      </c>
    </row>
    <row r="6334" spans="1:29" x14ac:dyDescent="0.25">
      <c r="A6334" s="22">
        <v>44685</v>
      </c>
      <c r="B6334" s="6">
        <v>0</v>
      </c>
      <c r="C6334" s="6">
        <v>1.6</v>
      </c>
      <c r="D6334" s="6">
        <v>2.8</v>
      </c>
      <c r="E6334" s="7">
        <v>0</v>
      </c>
      <c r="F6334" s="43">
        <v>1.2</v>
      </c>
      <c r="G6334" s="6">
        <v>5</v>
      </c>
      <c r="H6334" s="7">
        <v>1.2</v>
      </c>
      <c r="I6334" s="6">
        <v>3.1</v>
      </c>
      <c r="J6334" s="6">
        <v>4.5</v>
      </c>
      <c r="K6334" s="6">
        <v>0</v>
      </c>
      <c r="L6334" s="7">
        <v>0.7619999999999999</v>
      </c>
      <c r="M6334" s="6">
        <v>2.2999999999999998</v>
      </c>
      <c r="N6334" s="8">
        <v>0</v>
      </c>
      <c r="O6334" s="7"/>
      <c r="P6334" s="7">
        <v>0</v>
      </c>
      <c r="Q6334" s="6">
        <v>0</v>
      </c>
      <c r="R6334" s="6">
        <v>4</v>
      </c>
      <c r="S6334" s="43">
        <v>1.6</v>
      </c>
      <c r="T6334" s="43">
        <v>1.4</v>
      </c>
      <c r="U6334" s="6">
        <v>4</v>
      </c>
      <c r="V6334" s="7"/>
      <c r="W6334" s="7">
        <v>0</v>
      </c>
      <c r="X6334" s="6">
        <v>0</v>
      </c>
      <c r="Y6334" s="7">
        <v>0</v>
      </c>
      <c r="Z6334" s="7">
        <v>0</v>
      </c>
      <c r="AA6334" s="9"/>
      <c r="AC6334" s="38">
        <v>1</v>
      </c>
    </row>
    <row r="6335" spans="1:29" x14ac:dyDescent="0.25">
      <c r="A6335" s="22">
        <v>44686</v>
      </c>
      <c r="B6335" s="6">
        <v>0</v>
      </c>
      <c r="C6335" s="6">
        <v>0</v>
      </c>
      <c r="D6335" s="6">
        <v>1.4</v>
      </c>
      <c r="E6335" s="7">
        <v>0</v>
      </c>
      <c r="F6335" s="43">
        <v>0</v>
      </c>
      <c r="G6335" s="6">
        <v>4.2</v>
      </c>
      <c r="H6335" s="7">
        <v>2.9</v>
      </c>
      <c r="I6335" s="6">
        <v>4.0999999999999996</v>
      </c>
      <c r="J6335" s="6">
        <v>5</v>
      </c>
      <c r="K6335" s="6">
        <v>0</v>
      </c>
      <c r="L6335" s="7">
        <v>0</v>
      </c>
      <c r="M6335" s="6">
        <v>4</v>
      </c>
      <c r="N6335" s="8">
        <v>0.2</v>
      </c>
      <c r="O6335" s="7"/>
      <c r="P6335" s="7">
        <v>0</v>
      </c>
      <c r="Q6335" s="6">
        <v>0</v>
      </c>
      <c r="R6335" s="6">
        <v>0</v>
      </c>
      <c r="S6335" s="43">
        <v>0</v>
      </c>
      <c r="T6335" s="43">
        <v>0.8</v>
      </c>
      <c r="U6335" s="6">
        <v>0</v>
      </c>
      <c r="V6335" s="7"/>
      <c r="W6335" s="7">
        <v>0.2</v>
      </c>
      <c r="X6335" s="6">
        <v>0</v>
      </c>
      <c r="Y6335" s="7">
        <v>0</v>
      </c>
      <c r="Z6335" s="7">
        <v>0</v>
      </c>
      <c r="AA6335" s="9"/>
      <c r="AC6335" s="38">
        <v>0</v>
      </c>
    </row>
    <row r="6336" spans="1:29" x14ac:dyDescent="0.25">
      <c r="A6336" s="22">
        <v>44687</v>
      </c>
      <c r="B6336" s="6">
        <v>0</v>
      </c>
      <c r="C6336" s="6">
        <v>0</v>
      </c>
      <c r="D6336" s="6">
        <v>1</v>
      </c>
      <c r="E6336" s="7">
        <v>0</v>
      </c>
      <c r="F6336" s="43">
        <v>0.2</v>
      </c>
      <c r="G6336" s="6">
        <v>1.5</v>
      </c>
      <c r="H6336" s="7">
        <v>0</v>
      </c>
      <c r="I6336" s="6">
        <v>1.3</v>
      </c>
      <c r="J6336" s="6">
        <v>2</v>
      </c>
      <c r="K6336" s="6">
        <v>0</v>
      </c>
      <c r="L6336" s="7">
        <v>0.7619999999999999</v>
      </c>
      <c r="M6336" s="6">
        <v>0.6</v>
      </c>
      <c r="N6336" s="8">
        <v>2</v>
      </c>
      <c r="O6336" s="7"/>
      <c r="P6336" s="7">
        <v>0</v>
      </c>
      <c r="Q6336" s="6">
        <v>0</v>
      </c>
      <c r="R6336" s="6">
        <v>0</v>
      </c>
      <c r="S6336" s="43">
        <v>0</v>
      </c>
      <c r="T6336" s="43">
        <v>0</v>
      </c>
      <c r="U6336" s="6">
        <v>0</v>
      </c>
      <c r="V6336" s="7"/>
      <c r="W6336" s="7">
        <v>0</v>
      </c>
      <c r="X6336" s="6">
        <v>0</v>
      </c>
      <c r="Y6336" s="7">
        <v>2</v>
      </c>
      <c r="Z6336" s="7">
        <v>0</v>
      </c>
      <c r="AA6336" s="9"/>
      <c r="AC6336" s="38">
        <v>1</v>
      </c>
    </row>
    <row r="6337" spans="1:29" x14ac:dyDescent="0.25">
      <c r="A6337" s="22">
        <v>44688</v>
      </c>
      <c r="B6337" s="6">
        <v>0</v>
      </c>
      <c r="C6337" s="6">
        <v>0</v>
      </c>
      <c r="D6337" s="6">
        <v>0</v>
      </c>
      <c r="E6337" s="7">
        <v>0</v>
      </c>
      <c r="F6337" s="43">
        <v>0</v>
      </c>
      <c r="G6337" s="6">
        <v>0.5</v>
      </c>
      <c r="H6337" s="7">
        <v>0</v>
      </c>
      <c r="I6337" s="6">
        <v>0</v>
      </c>
      <c r="J6337" s="6">
        <v>0</v>
      </c>
      <c r="K6337" s="6">
        <v>0</v>
      </c>
      <c r="L6337" s="7">
        <v>0</v>
      </c>
      <c r="M6337" s="6">
        <v>0</v>
      </c>
      <c r="N6337" s="8">
        <v>0</v>
      </c>
      <c r="O6337" s="7"/>
      <c r="P6337" s="7">
        <v>0</v>
      </c>
      <c r="Q6337" s="6">
        <v>0</v>
      </c>
      <c r="R6337" s="6">
        <v>0</v>
      </c>
      <c r="S6337" s="43">
        <v>0</v>
      </c>
      <c r="T6337" s="43">
        <v>0</v>
      </c>
      <c r="U6337" s="6">
        <v>0</v>
      </c>
      <c r="V6337" s="7"/>
      <c r="W6337" s="7">
        <v>0</v>
      </c>
      <c r="X6337" s="6">
        <v>0</v>
      </c>
      <c r="Y6337" s="7">
        <v>0</v>
      </c>
      <c r="Z6337" s="7">
        <v>0</v>
      </c>
      <c r="AA6337" s="9"/>
      <c r="AC6337" s="38">
        <v>0</v>
      </c>
    </row>
    <row r="6338" spans="1:29" x14ac:dyDescent="0.25">
      <c r="A6338" s="22">
        <v>44689</v>
      </c>
      <c r="B6338" s="6">
        <v>0</v>
      </c>
      <c r="C6338" s="6">
        <v>0</v>
      </c>
      <c r="D6338" s="6">
        <v>0</v>
      </c>
      <c r="E6338" s="7">
        <v>0</v>
      </c>
      <c r="F6338" s="43">
        <v>0</v>
      </c>
      <c r="G6338" s="6">
        <v>0</v>
      </c>
      <c r="H6338" s="7">
        <v>0</v>
      </c>
      <c r="I6338" s="6">
        <v>0</v>
      </c>
      <c r="J6338" s="6">
        <v>0</v>
      </c>
      <c r="K6338" s="6">
        <v>0</v>
      </c>
      <c r="L6338" s="7">
        <v>0</v>
      </c>
      <c r="M6338" s="6">
        <v>0</v>
      </c>
      <c r="N6338" s="8">
        <v>0</v>
      </c>
      <c r="O6338" s="7"/>
      <c r="P6338" s="7">
        <v>0</v>
      </c>
      <c r="Q6338" s="6">
        <v>0</v>
      </c>
      <c r="R6338" s="6">
        <v>0</v>
      </c>
      <c r="S6338" s="43">
        <v>0</v>
      </c>
      <c r="T6338" s="43">
        <v>0</v>
      </c>
      <c r="U6338" s="6">
        <v>2</v>
      </c>
      <c r="V6338" s="7"/>
      <c r="W6338" s="7">
        <v>0</v>
      </c>
      <c r="X6338" s="6">
        <v>0</v>
      </c>
      <c r="Y6338" s="7">
        <v>0</v>
      </c>
      <c r="Z6338" s="7">
        <v>0</v>
      </c>
      <c r="AA6338" s="9"/>
      <c r="AC6338" s="38">
        <v>0</v>
      </c>
    </row>
    <row r="6339" spans="1:29" x14ac:dyDescent="0.25">
      <c r="A6339" s="22">
        <v>44690</v>
      </c>
      <c r="B6339" s="6">
        <v>0</v>
      </c>
      <c r="C6339" s="6">
        <v>0</v>
      </c>
      <c r="D6339" s="6">
        <v>0</v>
      </c>
      <c r="E6339" s="7">
        <v>0</v>
      </c>
      <c r="F6339" s="43">
        <v>0</v>
      </c>
      <c r="G6339" s="6">
        <v>0</v>
      </c>
      <c r="H6339" s="7">
        <v>0</v>
      </c>
      <c r="I6339" s="6">
        <v>0</v>
      </c>
      <c r="J6339" s="6">
        <v>0</v>
      </c>
      <c r="K6339" s="6">
        <v>0</v>
      </c>
      <c r="L6339" s="7">
        <v>0</v>
      </c>
      <c r="M6339" s="6">
        <v>0</v>
      </c>
      <c r="N6339" s="8">
        <v>0</v>
      </c>
      <c r="O6339" s="7"/>
      <c r="P6339" s="7">
        <v>0</v>
      </c>
      <c r="Q6339" s="6">
        <v>0</v>
      </c>
      <c r="R6339" s="6">
        <v>0</v>
      </c>
      <c r="S6339" s="43">
        <v>0</v>
      </c>
      <c r="T6339" s="43">
        <v>0</v>
      </c>
      <c r="U6339" s="6">
        <v>0</v>
      </c>
      <c r="V6339" s="7"/>
      <c r="W6339" s="7">
        <v>0</v>
      </c>
      <c r="X6339" s="6">
        <v>0</v>
      </c>
      <c r="Y6339" s="7">
        <v>0</v>
      </c>
      <c r="Z6339" s="7">
        <v>0</v>
      </c>
      <c r="AA6339" s="9"/>
      <c r="AC6339" s="38">
        <v>0</v>
      </c>
    </row>
    <row r="6340" spans="1:29" x14ac:dyDescent="0.25">
      <c r="A6340" s="22">
        <v>44691</v>
      </c>
      <c r="B6340" s="6">
        <v>0</v>
      </c>
      <c r="C6340" s="6">
        <v>0</v>
      </c>
      <c r="D6340" s="6">
        <v>0</v>
      </c>
      <c r="E6340" s="7">
        <v>0</v>
      </c>
      <c r="F6340" s="43">
        <v>0</v>
      </c>
      <c r="G6340" s="6">
        <v>0</v>
      </c>
      <c r="H6340" s="7">
        <v>0</v>
      </c>
      <c r="I6340" s="6">
        <v>0</v>
      </c>
      <c r="J6340" s="6">
        <v>0</v>
      </c>
      <c r="K6340" s="6">
        <v>0</v>
      </c>
      <c r="L6340" s="7">
        <v>0</v>
      </c>
      <c r="M6340" s="6">
        <v>0</v>
      </c>
      <c r="N6340" s="8">
        <v>0</v>
      </c>
      <c r="O6340" s="7"/>
      <c r="P6340" s="7">
        <v>0</v>
      </c>
      <c r="Q6340" s="6">
        <v>0</v>
      </c>
      <c r="R6340" s="6">
        <v>0</v>
      </c>
      <c r="S6340" s="43">
        <v>0</v>
      </c>
      <c r="T6340" s="43">
        <v>0</v>
      </c>
      <c r="U6340" s="6">
        <v>0</v>
      </c>
      <c r="V6340" s="7"/>
      <c r="W6340" s="7">
        <v>0</v>
      </c>
      <c r="X6340" s="6">
        <v>0</v>
      </c>
      <c r="Y6340" s="7">
        <v>0</v>
      </c>
      <c r="Z6340" s="7">
        <v>0</v>
      </c>
      <c r="AA6340" s="9"/>
      <c r="AC6340" s="38">
        <v>0</v>
      </c>
    </row>
    <row r="6341" spans="1:29" x14ac:dyDescent="0.25">
      <c r="A6341" s="22">
        <v>44692</v>
      </c>
      <c r="B6341" s="6">
        <v>0</v>
      </c>
      <c r="C6341" s="6">
        <v>0</v>
      </c>
      <c r="D6341" s="6">
        <v>0</v>
      </c>
      <c r="E6341" s="7">
        <v>0</v>
      </c>
      <c r="F6341" s="43">
        <v>0</v>
      </c>
      <c r="G6341" s="6">
        <v>0</v>
      </c>
      <c r="H6341" s="7">
        <v>0</v>
      </c>
      <c r="I6341" s="6">
        <v>0</v>
      </c>
      <c r="J6341" s="6">
        <v>0</v>
      </c>
      <c r="K6341" s="6">
        <v>0</v>
      </c>
      <c r="L6341" s="7">
        <v>0</v>
      </c>
      <c r="M6341" s="6">
        <v>0.3</v>
      </c>
      <c r="N6341" s="8">
        <v>0</v>
      </c>
      <c r="O6341" s="7"/>
      <c r="P6341" s="7">
        <v>0</v>
      </c>
      <c r="Q6341" s="6">
        <v>0</v>
      </c>
      <c r="R6341" s="6">
        <v>0</v>
      </c>
      <c r="S6341" s="43">
        <v>0</v>
      </c>
      <c r="T6341" s="43">
        <v>0</v>
      </c>
      <c r="U6341" s="6">
        <v>0</v>
      </c>
      <c r="V6341" s="7"/>
      <c r="W6341" s="7">
        <v>0</v>
      </c>
      <c r="X6341" s="6">
        <v>0</v>
      </c>
      <c r="Y6341" s="7">
        <v>0</v>
      </c>
      <c r="Z6341" s="7">
        <v>0</v>
      </c>
      <c r="AA6341" s="9"/>
      <c r="AC6341" s="38">
        <v>0</v>
      </c>
    </row>
    <row r="6342" spans="1:29" x14ac:dyDescent="0.25">
      <c r="A6342" s="22">
        <v>44693</v>
      </c>
      <c r="B6342" s="6">
        <v>0</v>
      </c>
      <c r="C6342" s="6">
        <v>0</v>
      </c>
      <c r="D6342" s="6">
        <v>0</v>
      </c>
      <c r="E6342" s="7">
        <v>0</v>
      </c>
      <c r="F6342" s="43">
        <v>0</v>
      </c>
      <c r="G6342" s="6">
        <v>0</v>
      </c>
      <c r="H6342" s="7">
        <v>0</v>
      </c>
      <c r="I6342" s="6">
        <v>0</v>
      </c>
      <c r="J6342" s="6">
        <v>0</v>
      </c>
      <c r="K6342" s="6">
        <v>0</v>
      </c>
      <c r="L6342" s="7">
        <v>0</v>
      </c>
      <c r="M6342" s="6">
        <v>0</v>
      </c>
      <c r="N6342" s="8">
        <v>0</v>
      </c>
      <c r="O6342" s="7"/>
      <c r="P6342" s="7">
        <v>0</v>
      </c>
      <c r="Q6342" s="6">
        <v>0</v>
      </c>
      <c r="R6342" s="6">
        <v>0</v>
      </c>
      <c r="S6342" s="43">
        <v>0</v>
      </c>
      <c r="T6342" s="43">
        <v>0</v>
      </c>
      <c r="U6342" s="6">
        <v>0</v>
      </c>
      <c r="V6342" s="7"/>
      <c r="W6342" s="7">
        <v>0</v>
      </c>
      <c r="X6342" s="6">
        <v>0</v>
      </c>
      <c r="Y6342" s="7">
        <v>0</v>
      </c>
      <c r="Z6342" s="7">
        <v>0</v>
      </c>
      <c r="AA6342" s="9"/>
      <c r="AC6342" s="38">
        <v>0</v>
      </c>
    </row>
    <row r="6343" spans="1:29" x14ac:dyDescent="0.25">
      <c r="A6343" s="22">
        <v>44694</v>
      </c>
      <c r="B6343" s="6">
        <v>0</v>
      </c>
      <c r="C6343" s="6">
        <v>0</v>
      </c>
      <c r="D6343" s="6">
        <v>0</v>
      </c>
      <c r="E6343" s="7">
        <v>0</v>
      </c>
      <c r="F6343" s="43">
        <v>1.8</v>
      </c>
      <c r="G6343" s="6">
        <v>0</v>
      </c>
      <c r="H6343" s="7">
        <v>0</v>
      </c>
      <c r="I6343" s="6">
        <v>0</v>
      </c>
      <c r="J6343" s="6">
        <v>0.1</v>
      </c>
      <c r="K6343" s="6">
        <v>0</v>
      </c>
      <c r="L6343" s="7">
        <v>0</v>
      </c>
      <c r="M6343" s="6">
        <v>0</v>
      </c>
      <c r="N6343" s="8">
        <v>1.6</v>
      </c>
      <c r="O6343" s="7"/>
      <c r="P6343" s="7">
        <v>0</v>
      </c>
      <c r="Q6343" s="6">
        <v>2.5</v>
      </c>
      <c r="R6343" s="6">
        <v>0</v>
      </c>
      <c r="S6343" s="43">
        <v>0</v>
      </c>
      <c r="T6343" s="43">
        <v>3</v>
      </c>
      <c r="U6343" s="6">
        <v>0</v>
      </c>
      <c r="V6343" s="7"/>
      <c r="W6343" s="7">
        <v>0</v>
      </c>
      <c r="X6343" s="6">
        <v>0</v>
      </c>
      <c r="Y6343" s="7">
        <v>0</v>
      </c>
      <c r="Z6343" s="7">
        <v>0</v>
      </c>
      <c r="AA6343" s="9"/>
      <c r="AC6343" s="38">
        <v>1</v>
      </c>
    </row>
    <row r="6344" spans="1:29" x14ac:dyDescent="0.25">
      <c r="A6344" s="22">
        <v>44695</v>
      </c>
      <c r="B6344" s="6">
        <v>0</v>
      </c>
      <c r="C6344" s="6">
        <v>6.2</v>
      </c>
      <c r="D6344" s="6">
        <v>6.2</v>
      </c>
      <c r="E6344" s="7">
        <v>0</v>
      </c>
      <c r="F6344" s="43">
        <v>1</v>
      </c>
      <c r="G6344" s="6">
        <v>9</v>
      </c>
      <c r="H6344" s="7">
        <v>3</v>
      </c>
      <c r="I6344" s="6">
        <v>4.7</v>
      </c>
      <c r="J6344" s="6">
        <v>4.5999999999999996</v>
      </c>
      <c r="K6344" s="6">
        <v>0</v>
      </c>
      <c r="L6344" s="7">
        <v>0</v>
      </c>
      <c r="M6344" s="6">
        <v>8</v>
      </c>
      <c r="N6344" s="8">
        <v>3.4</v>
      </c>
      <c r="O6344" s="7"/>
      <c r="P6344" s="7">
        <v>0</v>
      </c>
      <c r="Q6344" s="6">
        <v>0</v>
      </c>
      <c r="R6344" s="6">
        <v>5</v>
      </c>
      <c r="S6344" s="43">
        <v>0</v>
      </c>
      <c r="T6344" s="43">
        <v>0</v>
      </c>
      <c r="U6344" s="6">
        <v>10</v>
      </c>
      <c r="V6344" s="7"/>
      <c r="W6344" s="7">
        <v>0.2</v>
      </c>
      <c r="X6344" s="6">
        <v>0</v>
      </c>
      <c r="Y6344" s="7">
        <v>0</v>
      </c>
      <c r="Z6344" s="7">
        <v>0</v>
      </c>
      <c r="AA6344" s="9"/>
      <c r="AC6344" s="38">
        <v>0</v>
      </c>
    </row>
    <row r="6345" spans="1:29" x14ac:dyDescent="0.25">
      <c r="A6345" s="22">
        <v>44696</v>
      </c>
      <c r="B6345" s="6">
        <v>5</v>
      </c>
      <c r="C6345" s="6">
        <v>0</v>
      </c>
      <c r="D6345" s="6">
        <v>5.6</v>
      </c>
      <c r="E6345" s="7">
        <v>0</v>
      </c>
      <c r="F6345" s="43">
        <v>9.4</v>
      </c>
      <c r="G6345" s="6">
        <v>1.2</v>
      </c>
      <c r="H6345" s="7">
        <v>0</v>
      </c>
      <c r="I6345" s="6">
        <v>3</v>
      </c>
      <c r="J6345" s="6">
        <v>3.9</v>
      </c>
      <c r="K6345" s="6">
        <v>0</v>
      </c>
      <c r="L6345" s="7">
        <v>0</v>
      </c>
      <c r="M6345" s="6">
        <v>2.2999999999999998</v>
      </c>
      <c r="N6345" s="8">
        <v>9.1999999999999993</v>
      </c>
      <c r="O6345" s="7"/>
      <c r="P6345" s="7">
        <v>0</v>
      </c>
      <c r="Q6345" s="6">
        <v>13.2</v>
      </c>
      <c r="R6345" s="6">
        <v>12</v>
      </c>
      <c r="S6345" s="43">
        <v>2</v>
      </c>
      <c r="T6345" s="43">
        <v>6.2</v>
      </c>
      <c r="U6345" s="6">
        <v>0</v>
      </c>
      <c r="V6345" s="7"/>
      <c r="W6345" s="7">
        <v>0</v>
      </c>
      <c r="X6345" s="6">
        <v>0</v>
      </c>
      <c r="Y6345" s="7">
        <v>0</v>
      </c>
      <c r="Z6345" s="7">
        <v>0</v>
      </c>
      <c r="AA6345" s="9"/>
      <c r="AC6345" s="38">
        <v>4</v>
      </c>
    </row>
    <row r="6346" spans="1:29" x14ac:dyDescent="0.25">
      <c r="A6346" s="22">
        <v>44697</v>
      </c>
      <c r="B6346" s="6">
        <v>34</v>
      </c>
      <c r="C6346" s="6">
        <v>20.8</v>
      </c>
      <c r="D6346" s="6">
        <v>20.8</v>
      </c>
      <c r="E6346" s="7">
        <v>26</v>
      </c>
      <c r="F6346" s="43">
        <v>0.6</v>
      </c>
      <c r="G6346" s="6">
        <v>15</v>
      </c>
      <c r="H6346" s="7">
        <v>10</v>
      </c>
      <c r="I6346" s="6">
        <v>10</v>
      </c>
      <c r="J6346" s="6">
        <v>22.1</v>
      </c>
      <c r="K6346" s="6">
        <v>31.2</v>
      </c>
      <c r="L6346" s="7">
        <v>14.985999999999999</v>
      </c>
      <c r="M6346" s="6">
        <v>14.2</v>
      </c>
      <c r="N6346" s="8">
        <v>16</v>
      </c>
      <c r="O6346" s="7"/>
      <c r="P6346" s="7">
        <v>4</v>
      </c>
      <c r="Q6346" s="6">
        <v>17.7</v>
      </c>
      <c r="R6346" s="6">
        <v>3</v>
      </c>
      <c r="S6346" s="43">
        <v>2.2000000000000002</v>
      </c>
      <c r="T6346" s="43">
        <v>5</v>
      </c>
      <c r="U6346" s="6">
        <v>26</v>
      </c>
      <c r="V6346" s="7"/>
      <c r="W6346" s="7">
        <v>0.4</v>
      </c>
      <c r="X6346" s="6">
        <v>0</v>
      </c>
      <c r="Y6346" s="7">
        <f>0.08*25.4</f>
        <v>2.032</v>
      </c>
      <c r="Z6346" s="7">
        <v>10</v>
      </c>
      <c r="AA6346" s="9"/>
      <c r="AC6346" s="38">
        <v>4</v>
      </c>
    </row>
    <row r="6347" spans="1:29" x14ac:dyDescent="0.25">
      <c r="A6347" s="22">
        <v>44698</v>
      </c>
      <c r="B6347" s="6">
        <v>15</v>
      </c>
      <c r="C6347" s="6">
        <v>3.6</v>
      </c>
      <c r="D6347" s="6">
        <v>4.5999999999999996</v>
      </c>
      <c r="E6347" s="7">
        <v>7</v>
      </c>
      <c r="F6347" s="43">
        <v>8.8000000000000007</v>
      </c>
      <c r="G6347" s="6">
        <v>6.5</v>
      </c>
      <c r="H6347" s="7">
        <v>6.2</v>
      </c>
      <c r="I6347" s="6">
        <v>4.0999999999999996</v>
      </c>
      <c r="J6347" s="6">
        <v>10.1</v>
      </c>
      <c r="K6347" s="6">
        <v>8.1</v>
      </c>
      <c r="L6347" s="7">
        <v>7.1120000000000001</v>
      </c>
      <c r="M6347" s="6">
        <v>6.2</v>
      </c>
      <c r="N6347" s="8">
        <v>3.6</v>
      </c>
      <c r="O6347" s="7"/>
      <c r="P6347" s="7">
        <v>0</v>
      </c>
      <c r="Q6347" s="7">
        <v>5</v>
      </c>
      <c r="R6347" s="6">
        <v>0</v>
      </c>
      <c r="S6347" s="43">
        <v>0.2</v>
      </c>
      <c r="T6347" s="43">
        <v>0</v>
      </c>
      <c r="U6347" s="6">
        <v>2</v>
      </c>
      <c r="V6347" s="7"/>
      <c r="W6347" s="7">
        <v>0</v>
      </c>
      <c r="X6347" s="6">
        <v>0</v>
      </c>
      <c r="Y6347" s="7">
        <f>0.02*25.4</f>
        <v>0.50800000000000001</v>
      </c>
      <c r="Z6347" s="7">
        <v>0</v>
      </c>
      <c r="AA6347" s="9"/>
      <c r="AC6347" s="38">
        <v>2</v>
      </c>
    </row>
    <row r="6348" spans="1:29" x14ac:dyDescent="0.25">
      <c r="A6348" s="22">
        <v>44699</v>
      </c>
      <c r="B6348" s="6">
        <v>0</v>
      </c>
      <c r="C6348" s="6">
        <v>0</v>
      </c>
      <c r="D6348" s="6">
        <v>0.8</v>
      </c>
      <c r="E6348" s="7">
        <v>0</v>
      </c>
      <c r="F6348" s="43">
        <v>0</v>
      </c>
      <c r="G6348" s="6">
        <v>0.5</v>
      </c>
      <c r="H6348" s="7">
        <v>2</v>
      </c>
      <c r="I6348" s="6">
        <v>1.6</v>
      </c>
      <c r="J6348" s="6">
        <v>0.2</v>
      </c>
      <c r="K6348" s="6">
        <v>0.6</v>
      </c>
      <c r="L6348" s="7">
        <v>0</v>
      </c>
      <c r="M6348" s="6">
        <v>0.3</v>
      </c>
      <c r="N6348" s="8">
        <v>0.8</v>
      </c>
      <c r="O6348" s="7"/>
      <c r="P6348" s="7">
        <v>0</v>
      </c>
      <c r="Q6348" s="6">
        <v>0</v>
      </c>
      <c r="R6348" s="6">
        <v>0</v>
      </c>
      <c r="S6348" s="43">
        <v>0</v>
      </c>
      <c r="T6348" s="43">
        <v>0</v>
      </c>
      <c r="U6348" s="6">
        <v>0</v>
      </c>
      <c r="V6348" s="7"/>
      <c r="W6348" s="7">
        <v>0</v>
      </c>
      <c r="X6348" s="6">
        <v>0</v>
      </c>
      <c r="Y6348" s="7">
        <v>0</v>
      </c>
      <c r="Z6348" s="7">
        <v>0</v>
      </c>
      <c r="AA6348" s="9"/>
      <c r="AC6348" s="38">
        <v>0</v>
      </c>
    </row>
    <row r="6349" spans="1:29" x14ac:dyDescent="0.25">
      <c r="A6349" s="22">
        <v>44700</v>
      </c>
      <c r="B6349" s="6">
        <v>0</v>
      </c>
      <c r="C6349" s="6">
        <v>0</v>
      </c>
      <c r="D6349" s="6">
        <v>0.2</v>
      </c>
      <c r="E6349" s="7">
        <v>0</v>
      </c>
      <c r="F6349" s="43">
        <v>0</v>
      </c>
      <c r="G6349" s="6">
        <v>0</v>
      </c>
      <c r="H6349" s="7">
        <v>0</v>
      </c>
      <c r="I6349" s="6">
        <v>1.6</v>
      </c>
      <c r="J6349" s="6">
        <v>0</v>
      </c>
      <c r="K6349" s="6">
        <v>0.4</v>
      </c>
      <c r="L6349" s="7">
        <v>0</v>
      </c>
      <c r="M6349" s="6">
        <v>0</v>
      </c>
      <c r="N6349" s="8">
        <v>0.2</v>
      </c>
      <c r="O6349" s="7"/>
      <c r="P6349" s="7">
        <v>0</v>
      </c>
      <c r="Q6349" s="6">
        <v>0</v>
      </c>
      <c r="R6349" s="6">
        <v>0</v>
      </c>
      <c r="S6349" s="43">
        <v>0</v>
      </c>
      <c r="T6349" s="43">
        <v>0</v>
      </c>
      <c r="U6349" s="6">
        <v>0</v>
      </c>
      <c r="V6349" s="7"/>
      <c r="W6349" s="7">
        <v>0</v>
      </c>
      <c r="X6349" s="6">
        <v>0</v>
      </c>
      <c r="Y6349" s="7">
        <v>0</v>
      </c>
      <c r="Z6349" s="7">
        <v>0</v>
      </c>
      <c r="AA6349" s="9"/>
      <c r="AC6349" s="38">
        <v>0</v>
      </c>
    </row>
    <row r="6350" spans="1:29" x14ac:dyDescent="0.25">
      <c r="A6350" s="22">
        <v>44701</v>
      </c>
      <c r="B6350" s="6">
        <v>0</v>
      </c>
      <c r="C6350" s="6">
        <v>0</v>
      </c>
      <c r="D6350" s="6">
        <v>0</v>
      </c>
      <c r="E6350" s="7">
        <v>0</v>
      </c>
      <c r="F6350" s="43">
        <v>0</v>
      </c>
      <c r="G6350" s="6">
        <v>0</v>
      </c>
      <c r="H6350" s="7">
        <v>0</v>
      </c>
      <c r="I6350" s="6">
        <v>0</v>
      </c>
      <c r="J6350" s="6">
        <v>0</v>
      </c>
      <c r="K6350" s="6">
        <v>0</v>
      </c>
      <c r="L6350" s="7">
        <v>0</v>
      </c>
      <c r="M6350" s="6">
        <v>0</v>
      </c>
      <c r="N6350" s="8">
        <v>0</v>
      </c>
      <c r="O6350" s="7"/>
      <c r="P6350" s="7">
        <v>0</v>
      </c>
      <c r="Q6350" s="6">
        <v>0</v>
      </c>
      <c r="R6350" s="6">
        <v>0</v>
      </c>
      <c r="S6350" s="43">
        <v>0</v>
      </c>
      <c r="T6350" s="43">
        <v>0</v>
      </c>
      <c r="U6350" s="6">
        <v>0</v>
      </c>
      <c r="V6350" s="7"/>
      <c r="W6350" s="7">
        <v>0</v>
      </c>
      <c r="X6350" s="6">
        <v>0</v>
      </c>
      <c r="Y6350" s="7">
        <v>0</v>
      </c>
      <c r="Z6350" s="7">
        <v>0</v>
      </c>
      <c r="AA6350" s="9"/>
      <c r="AC6350" s="38">
        <v>0</v>
      </c>
    </row>
    <row r="6351" spans="1:29" x14ac:dyDescent="0.25">
      <c r="A6351" s="22">
        <v>44702</v>
      </c>
      <c r="B6351" s="6">
        <v>0</v>
      </c>
      <c r="C6351" s="6">
        <v>0</v>
      </c>
      <c r="D6351" s="6">
        <v>0</v>
      </c>
      <c r="E6351" s="7">
        <v>0</v>
      </c>
      <c r="F6351" s="43">
        <v>0</v>
      </c>
      <c r="G6351" s="6">
        <v>0</v>
      </c>
      <c r="H6351" s="7">
        <v>0</v>
      </c>
      <c r="I6351" s="6">
        <v>0</v>
      </c>
      <c r="J6351" s="6">
        <v>0</v>
      </c>
      <c r="K6351" s="6">
        <v>0</v>
      </c>
      <c r="L6351" s="7">
        <v>0</v>
      </c>
      <c r="M6351" s="6">
        <v>0</v>
      </c>
      <c r="N6351" s="8">
        <v>0.4</v>
      </c>
      <c r="O6351" s="7"/>
      <c r="P6351" s="7">
        <v>0</v>
      </c>
      <c r="Q6351" s="6">
        <v>0</v>
      </c>
      <c r="R6351" s="6">
        <v>3</v>
      </c>
      <c r="S6351" s="43">
        <v>0</v>
      </c>
      <c r="T6351" s="43">
        <v>0</v>
      </c>
      <c r="U6351" s="6">
        <v>0</v>
      </c>
      <c r="V6351" s="7"/>
      <c r="W6351" s="7">
        <v>0</v>
      </c>
      <c r="X6351" s="6">
        <v>0</v>
      </c>
      <c r="Y6351" s="7">
        <v>0</v>
      </c>
      <c r="Z6351" s="7">
        <v>0</v>
      </c>
      <c r="AA6351" s="9"/>
      <c r="AC6351" s="38">
        <v>0</v>
      </c>
    </row>
    <row r="6352" spans="1:29" x14ac:dyDescent="0.25">
      <c r="A6352" s="22">
        <v>44703</v>
      </c>
      <c r="B6352" s="6">
        <v>0</v>
      </c>
      <c r="C6352" s="6">
        <v>0</v>
      </c>
      <c r="D6352" s="6">
        <v>0.6</v>
      </c>
      <c r="E6352" s="7">
        <v>0</v>
      </c>
      <c r="F6352" s="43">
        <v>1.2</v>
      </c>
      <c r="G6352" s="6">
        <v>0</v>
      </c>
      <c r="H6352" s="7">
        <v>0</v>
      </c>
      <c r="I6352" s="6">
        <v>0</v>
      </c>
      <c r="J6352" s="6">
        <v>1.2</v>
      </c>
      <c r="K6352" s="6">
        <v>0</v>
      </c>
      <c r="L6352" s="7">
        <v>0</v>
      </c>
      <c r="M6352" s="6">
        <v>0</v>
      </c>
      <c r="N6352" s="8">
        <v>2</v>
      </c>
      <c r="O6352" s="7"/>
      <c r="P6352" s="7">
        <v>0</v>
      </c>
      <c r="Q6352" s="6">
        <v>15.2</v>
      </c>
      <c r="R6352" s="6">
        <v>0</v>
      </c>
      <c r="S6352" s="43">
        <v>0</v>
      </c>
      <c r="T6352" s="43">
        <v>0</v>
      </c>
      <c r="U6352" s="6">
        <v>0</v>
      </c>
      <c r="V6352" s="7"/>
      <c r="W6352" s="7">
        <v>0</v>
      </c>
      <c r="X6352" s="6">
        <v>0</v>
      </c>
      <c r="Y6352" s="7">
        <v>0</v>
      </c>
      <c r="Z6352" s="7">
        <v>0</v>
      </c>
      <c r="AA6352" s="9"/>
      <c r="AC6352" s="38">
        <v>0</v>
      </c>
    </row>
    <row r="6353" spans="1:29" x14ac:dyDescent="0.25">
      <c r="A6353" s="22">
        <v>44704</v>
      </c>
      <c r="B6353" s="6">
        <v>1</v>
      </c>
      <c r="C6353" s="6">
        <v>0</v>
      </c>
      <c r="D6353" s="6">
        <v>0</v>
      </c>
      <c r="E6353" s="7">
        <v>0</v>
      </c>
      <c r="F6353" s="43">
        <v>3.6</v>
      </c>
      <c r="G6353" s="6">
        <v>1.5</v>
      </c>
      <c r="H6353" s="7">
        <v>0.4</v>
      </c>
      <c r="I6353" s="6">
        <v>0.8</v>
      </c>
      <c r="J6353" s="6">
        <v>0.5</v>
      </c>
      <c r="K6353" s="6">
        <v>2.4</v>
      </c>
      <c r="L6353" s="7">
        <v>0</v>
      </c>
      <c r="M6353" s="6">
        <v>0.4</v>
      </c>
      <c r="N6353" s="8">
        <v>1.8</v>
      </c>
      <c r="O6353" s="7"/>
      <c r="P6353" s="7">
        <v>5</v>
      </c>
      <c r="Q6353" s="6">
        <v>2.7</v>
      </c>
      <c r="R6353" s="6">
        <v>3</v>
      </c>
      <c r="S6353" s="43">
        <v>0</v>
      </c>
      <c r="T6353" s="43">
        <v>0</v>
      </c>
      <c r="U6353" s="6">
        <v>0</v>
      </c>
      <c r="V6353" s="7"/>
      <c r="W6353" s="7">
        <v>0</v>
      </c>
      <c r="X6353" s="6">
        <v>0</v>
      </c>
      <c r="Y6353" s="7">
        <v>0</v>
      </c>
      <c r="Z6353" s="7">
        <v>0</v>
      </c>
      <c r="AA6353" s="9"/>
      <c r="AC6353" s="38">
        <v>0</v>
      </c>
    </row>
    <row r="6354" spans="1:29" x14ac:dyDescent="0.25">
      <c r="A6354" s="22">
        <v>44705</v>
      </c>
      <c r="B6354" s="6">
        <v>7</v>
      </c>
      <c r="C6354" s="6">
        <v>10</v>
      </c>
      <c r="D6354" s="6">
        <v>20</v>
      </c>
      <c r="E6354" s="7">
        <v>0</v>
      </c>
      <c r="F6354" s="43">
        <v>3.8</v>
      </c>
      <c r="G6354" s="6">
        <v>5</v>
      </c>
      <c r="H6354" s="7">
        <v>4.8</v>
      </c>
      <c r="I6354" s="6">
        <v>4.2</v>
      </c>
      <c r="J6354" s="6">
        <v>4.2</v>
      </c>
      <c r="K6354" s="6">
        <v>8</v>
      </c>
      <c r="L6354" s="7">
        <v>3.0479999999999996</v>
      </c>
      <c r="M6354" s="6">
        <v>4.8</v>
      </c>
      <c r="N6354" s="8">
        <v>16.600000000000001</v>
      </c>
      <c r="O6354" s="7"/>
      <c r="P6354" s="7">
        <v>0</v>
      </c>
      <c r="Q6354" s="6">
        <v>7.6</v>
      </c>
      <c r="R6354" s="6">
        <v>1</v>
      </c>
      <c r="S6354" s="43">
        <v>0</v>
      </c>
      <c r="T6354" s="43">
        <v>0.2</v>
      </c>
      <c r="U6354" s="6">
        <v>15</v>
      </c>
      <c r="V6354" s="7"/>
      <c r="W6354" s="7">
        <v>0.2</v>
      </c>
      <c r="X6354" s="6">
        <v>0</v>
      </c>
      <c r="Y6354" s="7">
        <f>25.4*0.04</f>
        <v>1.016</v>
      </c>
      <c r="Z6354" s="7">
        <v>4</v>
      </c>
      <c r="AA6354" s="9"/>
      <c r="AC6354" s="38">
        <v>3</v>
      </c>
    </row>
    <row r="6355" spans="1:29" x14ac:dyDescent="0.25">
      <c r="A6355" s="22">
        <v>44706</v>
      </c>
      <c r="B6355" s="6">
        <v>0</v>
      </c>
      <c r="C6355" s="6">
        <v>0</v>
      </c>
      <c r="D6355" s="6">
        <v>0.4</v>
      </c>
      <c r="E6355" s="7">
        <v>0</v>
      </c>
      <c r="F6355" s="43">
        <v>0</v>
      </c>
      <c r="G6355" s="6">
        <v>1.5</v>
      </c>
      <c r="H6355" s="7">
        <v>0</v>
      </c>
      <c r="I6355" s="6">
        <v>1.5</v>
      </c>
      <c r="J6355" s="6">
        <v>0.9</v>
      </c>
      <c r="K6355" s="6">
        <v>0.8</v>
      </c>
      <c r="L6355" s="7">
        <v>0.50800000000000001</v>
      </c>
      <c r="M6355" s="6">
        <v>0.7</v>
      </c>
      <c r="N6355" s="8">
        <v>0.4</v>
      </c>
      <c r="O6355" s="7"/>
      <c r="P6355" s="7">
        <v>0</v>
      </c>
      <c r="Q6355" s="6">
        <v>0</v>
      </c>
      <c r="R6355" s="6">
        <v>0</v>
      </c>
      <c r="S6355" s="43">
        <v>0</v>
      </c>
      <c r="T6355" s="43">
        <v>0</v>
      </c>
      <c r="U6355" s="6">
        <v>4</v>
      </c>
      <c r="V6355" s="7"/>
      <c r="W6355" s="7">
        <v>0</v>
      </c>
      <c r="X6355" s="6">
        <v>1.5</v>
      </c>
      <c r="Y6355" s="7">
        <v>0</v>
      </c>
      <c r="Z6355" s="7">
        <v>0</v>
      </c>
      <c r="AA6355" s="9"/>
      <c r="AC6355" s="38">
        <v>0</v>
      </c>
    </row>
    <row r="6356" spans="1:29" x14ac:dyDescent="0.25">
      <c r="A6356" s="22">
        <v>44707</v>
      </c>
      <c r="B6356" s="6">
        <v>0</v>
      </c>
      <c r="C6356" s="6">
        <v>0</v>
      </c>
      <c r="D6356" s="6">
        <v>0</v>
      </c>
      <c r="E6356" s="7">
        <v>0</v>
      </c>
      <c r="F6356" s="43">
        <v>0</v>
      </c>
      <c r="G6356" s="6">
        <v>0</v>
      </c>
      <c r="H6356" s="7">
        <v>0</v>
      </c>
      <c r="I6356" s="6">
        <v>0.2</v>
      </c>
      <c r="J6356" s="6">
        <v>0</v>
      </c>
      <c r="K6356" s="6">
        <v>0</v>
      </c>
      <c r="L6356" s="7">
        <v>0</v>
      </c>
      <c r="M6356" s="6">
        <v>0</v>
      </c>
      <c r="N6356" s="8">
        <v>0</v>
      </c>
      <c r="O6356" s="7"/>
      <c r="P6356" s="7">
        <v>0</v>
      </c>
      <c r="Q6356" s="6">
        <v>0</v>
      </c>
      <c r="R6356" s="6">
        <v>0</v>
      </c>
      <c r="S6356" s="43">
        <v>0</v>
      </c>
      <c r="T6356" s="43">
        <v>0</v>
      </c>
      <c r="U6356" s="6">
        <v>0</v>
      </c>
      <c r="V6356" s="7"/>
      <c r="W6356" s="7">
        <v>0</v>
      </c>
      <c r="X6356" s="6">
        <v>1</v>
      </c>
      <c r="Y6356" s="7">
        <v>0</v>
      </c>
      <c r="Z6356" s="7">
        <v>0</v>
      </c>
      <c r="AA6356" s="9"/>
      <c r="AC6356" s="38">
        <v>0</v>
      </c>
    </row>
    <row r="6357" spans="1:29" x14ac:dyDescent="0.25">
      <c r="A6357" s="22">
        <v>44708</v>
      </c>
      <c r="B6357" s="6">
        <v>0</v>
      </c>
      <c r="C6357" s="6">
        <v>0</v>
      </c>
      <c r="D6357" s="6">
        <v>0.2</v>
      </c>
      <c r="E6357" s="7">
        <v>0</v>
      </c>
      <c r="F6357" s="43">
        <v>0</v>
      </c>
      <c r="G6357" s="6">
        <v>0</v>
      </c>
      <c r="H6357" s="7">
        <v>0</v>
      </c>
      <c r="I6357" s="6">
        <v>0</v>
      </c>
      <c r="J6357" s="6">
        <v>1</v>
      </c>
      <c r="K6357" s="6">
        <v>0</v>
      </c>
      <c r="L6357" s="7">
        <v>0</v>
      </c>
      <c r="M6357" s="6">
        <v>4.8</v>
      </c>
      <c r="N6357" s="8">
        <v>0.6</v>
      </c>
      <c r="O6357" s="7"/>
      <c r="P6357" s="7">
        <v>0</v>
      </c>
      <c r="Q6357" s="6">
        <v>0</v>
      </c>
      <c r="R6357" s="6">
        <v>0</v>
      </c>
      <c r="S6357" s="43">
        <v>4.4000000000000004</v>
      </c>
      <c r="T6357" s="43">
        <v>4</v>
      </c>
      <c r="U6357" s="6">
        <v>0</v>
      </c>
      <c r="V6357" s="7"/>
      <c r="W6357" s="7">
        <v>0</v>
      </c>
      <c r="X6357" s="6">
        <v>1.5</v>
      </c>
      <c r="Y6357" s="7">
        <v>0</v>
      </c>
      <c r="Z6357" s="7">
        <v>0</v>
      </c>
      <c r="AA6357" s="9"/>
      <c r="AC6357" s="38">
        <v>0</v>
      </c>
    </row>
    <row r="6358" spans="1:29" x14ac:dyDescent="0.25">
      <c r="A6358" s="22">
        <v>44709</v>
      </c>
      <c r="B6358" s="6">
        <v>0</v>
      </c>
      <c r="C6358" s="6">
        <v>0.8</v>
      </c>
      <c r="D6358" s="6">
        <v>1.2</v>
      </c>
      <c r="E6358" s="7">
        <v>0</v>
      </c>
      <c r="F6358" s="43">
        <v>2</v>
      </c>
      <c r="G6358" s="6">
        <v>5.5</v>
      </c>
      <c r="H6358" s="7">
        <v>2</v>
      </c>
      <c r="I6358" s="6">
        <v>1.4</v>
      </c>
      <c r="J6358" s="6">
        <v>4.8</v>
      </c>
      <c r="K6358" s="6">
        <v>0</v>
      </c>
      <c r="L6358" s="7">
        <v>15.239999999999998</v>
      </c>
      <c r="M6358" s="6">
        <v>0.2</v>
      </c>
      <c r="N6358" s="8">
        <v>1.4</v>
      </c>
      <c r="O6358" s="7"/>
      <c r="P6358" s="7">
        <v>0</v>
      </c>
      <c r="Q6358" s="6">
        <v>0</v>
      </c>
      <c r="R6358" s="6">
        <v>1</v>
      </c>
      <c r="S6358" s="43">
        <v>7.2</v>
      </c>
      <c r="T6358" s="43">
        <v>9</v>
      </c>
      <c r="U6358" s="6">
        <v>0</v>
      </c>
      <c r="V6358" s="7"/>
      <c r="W6358" s="7">
        <v>0.1</v>
      </c>
      <c r="X6358" s="6">
        <v>0</v>
      </c>
      <c r="Y6358" s="7">
        <v>0</v>
      </c>
      <c r="Z6358" s="7">
        <v>0</v>
      </c>
      <c r="AA6358" s="9"/>
      <c r="AC6358" s="38">
        <v>0</v>
      </c>
    </row>
    <row r="6359" spans="1:29" x14ac:dyDescent="0.25">
      <c r="A6359" s="22">
        <v>44710</v>
      </c>
      <c r="B6359" s="6">
        <v>0</v>
      </c>
      <c r="C6359" s="6">
        <v>3.6</v>
      </c>
      <c r="D6359" s="6">
        <v>2.8</v>
      </c>
      <c r="E6359" s="7">
        <v>0</v>
      </c>
      <c r="F6359" s="43">
        <v>0</v>
      </c>
      <c r="G6359" s="6">
        <v>1.2</v>
      </c>
      <c r="H6359" s="7">
        <v>0</v>
      </c>
      <c r="I6359" s="6">
        <v>2.9</v>
      </c>
      <c r="J6359" s="6">
        <v>1.4</v>
      </c>
      <c r="K6359" s="6">
        <v>0</v>
      </c>
      <c r="L6359" s="7">
        <v>0</v>
      </c>
      <c r="M6359" s="6">
        <v>0.5</v>
      </c>
      <c r="N6359" s="8">
        <v>0.8</v>
      </c>
      <c r="O6359" s="7"/>
      <c r="P6359" s="7">
        <v>0</v>
      </c>
      <c r="Q6359" s="6">
        <v>0</v>
      </c>
      <c r="R6359" s="6">
        <v>0</v>
      </c>
      <c r="S6359" s="43">
        <v>0.6</v>
      </c>
      <c r="T6359" s="43">
        <v>0.4</v>
      </c>
      <c r="U6359" s="6">
        <v>0</v>
      </c>
      <c r="V6359" s="7"/>
      <c r="W6359" s="7">
        <v>0</v>
      </c>
      <c r="X6359" s="6">
        <v>1</v>
      </c>
      <c r="Y6359" s="7">
        <v>0</v>
      </c>
      <c r="Z6359" s="7">
        <v>0</v>
      </c>
      <c r="AA6359" s="9"/>
      <c r="AC6359" s="38">
        <v>0</v>
      </c>
    </row>
    <row r="6360" spans="1:29" x14ac:dyDescent="0.25">
      <c r="A6360" s="22">
        <v>44711</v>
      </c>
      <c r="B6360" s="7">
        <v>0</v>
      </c>
      <c r="C6360" s="6">
        <v>0</v>
      </c>
      <c r="D6360" s="6">
        <v>0</v>
      </c>
      <c r="E6360" s="7">
        <v>6</v>
      </c>
      <c r="F6360" s="43">
        <v>2</v>
      </c>
      <c r="G6360" s="6">
        <v>0.5</v>
      </c>
      <c r="H6360" s="7">
        <v>0</v>
      </c>
      <c r="I6360" s="6">
        <v>0</v>
      </c>
      <c r="J6360" s="6">
        <v>0</v>
      </c>
      <c r="K6360" s="6">
        <v>0</v>
      </c>
      <c r="L6360" s="7">
        <v>0</v>
      </c>
      <c r="M6360" s="6">
        <v>6.8</v>
      </c>
      <c r="N6360" s="8">
        <v>3.8</v>
      </c>
      <c r="O6360" s="7"/>
      <c r="P6360" s="7">
        <v>0</v>
      </c>
      <c r="Q6360" s="6">
        <v>9.6</v>
      </c>
      <c r="R6360" s="6">
        <v>6</v>
      </c>
      <c r="S6360" s="43">
        <v>2.8</v>
      </c>
      <c r="T6360" s="43">
        <v>2.4</v>
      </c>
      <c r="U6360" s="6">
        <v>0</v>
      </c>
      <c r="V6360" s="7"/>
      <c r="W6360" s="7">
        <v>0.1</v>
      </c>
      <c r="X6360" s="6">
        <v>0</v>
      </c>
      <c r="Y6360" s="7">
        <v>0</v>
      </c>
      <c r="Z6360" s="7">
        <v>0</v>
      </c>
      <c r="AA6360" s="9"/>
      <c r="AC6360" s="38">
        <v>0</v>
      </c>
    </row>
    <row r="6361" spans="1:29" x14ac:dyDescent="0.25">
      <c r="A6361" s="22">
        <v>44712</v>
      </c>
      <c r="B6361" s="6">
        <v>0</v>
      </c>
      <c r="C6361" s="6">
        <v>2.8</v>
      </c>
      <c r="D6361" s="6">
        <v>4</v>
      </c>
      <c r="E6361" s="7">
        <v>5</v>
      </c>
      <c r="F6361" s="43">
        <v>4.4000000000000004</v>
      </c>
      <c r="G6361" s="6">
        <v>6</v>
      </c>
      <c r="H6361" s="7">
        <v>7</v>
      </c>
      <c r="I6361" s="6">
        <v>4.0999999999999996</v>
      </c>
      <c r="J6361" s="6">
        <v>4.2</v>
      </c>
      <c r="K6361" s="6">
        <v>2.8</v>
      </c>
      <c r="L6361" s="7">
        <v>7.6199999999999992</v>
      </c>
      <c r="M6361" s="6"/>
      <c r="N6361" s="10">
        <v>0.4</v>
      </c>
      <c r="O6361" s="7"/>
      <c r="P6361" s="7">
        <v>2</v>
      </c>
      <c r="Q6361" s="6">
        <v>0</v>
      </c>
      <c r="R6361" s="6">
        <v>0</v>
      </c>
      <c r="S6361" s="43">
        <v>3.6</v>
      </c>
      <c r="T6361" s="43">
        <v>2.6</v>
      </c>
      <c r="U6361" s="6">
        <v>0</v>
      </c>
      <c r="V6361" s="7"/>
      <c r="W6361" s="7">
        <v>0</v>
      </c>
      <c r="X6361" s="6">
        <v>0</v>
      </c>
      <c r="Y6361" s="7">
        <f>0.02*25.4</f>
        <v>0.50800000000000001</v>
      </c>
      <c r="Z6361" s="7">
        <v>0</v>
      </c>
      <c r="AA6361" s="9"/>
      <c r="AC6361" s="38">
        <v>2</v>
      </c>
    </row>
    <row r="6362" spans="1:29" x14ac:dyDescent="0.25">
      <c r="A6362" s="22">
        <v>44713</v>
      </c>
      <c r="B6362" s="6">
        <v>0</v>
      </c>
      <c r="C6362" s="6">
        <v>0</v>
      </c>
      <c r="D6362" s="6">
        <v>3.4</v>
      </c>
      <c r="E6362" s="7"/>
      <c r="F6362" s="8">
        <v>6.6</v>
      </c>
      <c r="G6362" s="6">
        <v>0.4</v>
      </c>
      <c r="H6362" s="7">
        <v>2.5</v>
      </c>
      <c r="I6362" s="6">
        <v>3</v>
      </c>
      <c r="J6362" s="6">
        <v>2.2999999999999998</v>
      </c>
      <c r="K6362" s="6">
        <v>0</v>
      </c>
      <c r="L6362" s="7">
        <v>0</v>
      </c>
      <c r="M6362" s="6">
        <v>2.9</v>
      </c>
      <c r="N6362" s="8">
        <v>5</v>
      </c>
      <c r="O6362" s="7"/>
      <c r="P6362" s="7">
        <v>0</v>
      </c>
      <c r="Q6362" s="6">
        <v>0</v>
      </c>
      <c r="R6362" s="6">
        <v>0</v>
      </c>
      <c r="S6362" s="8">
        <v>2.2000000000000002</v>
      </c>
      <c r="T6362" s="8">
        <v>0.8</v>
      </c>
      <c r="U6362" s="6">
        <v>2</v>
      </c>
      <c r="V6362" s="7"/>
      <c r="W6362" s="7"/>
      <c r="X6362" s="6">
        <v>0</v>
      </c>
      <c r="Y6362" s="7"/>
      <c r="Z6362" s="7">
        <v>0</v>
      </c>
      <c r="AA6362" s="9"/>
      <c r="AC6362" s="38">
        <v>0</v>
      </c>
    </row>
    <row r="6363" spans="1:29" x14ac:dyDescent="0.25">
      <c r="A6363" s="22">
        <v>44714</v>
      </c>
      <c r="B6363" s="6">
        <v>16</v>
      </c>
      <c r="C6363" s="6">
        <v>0</v>
      </c>
      <c r="D6363" s="6">
        <v>0</v>
      </c>
      <c r="E6363" s="7"/>
      <c r="F6363" s="8">
        <v>6.8</v>
      </c>
      <c r="G6363" s="6">
        <v>1.9</v>
      </c>
      <c r="H6363" s="7">
        <v>4.3</v>
      </c>
      <c r="I6363" s="6">
        <v>0.2</v>
      </c>
      <c r="J6363" s="6">
        <v>1.2</v>
      </c>
      <c r="K6363" s="6">
        <v>0</v>
      </c>
      <c r="L6363" s="7">
        <v>0</v>
      </c>
      <c r="M6363" s="6">
        <v>4</v>
      </c>
      <c r="N6363" s="8">
        <v>2.4</v>
      </c>
      <c r="O6363" s="7"/>
      <c r="P6363" s="7">
        <v>6.5</v>
      </c>
      <c r="Q6363" s="6">
        <v>4.3</v>
      </c>
      <c r="R6363" s="6">
        <v>11</v>
      </c>
      <c r="S6363" s="8">
        <v>0.6</v>
      </c>
      <c r="T6363" s="8">
        <v>0</v>
      </c>
      <c r="U6363" s="6">
        <v>15</v>
      </c>
      <c r="V6363" s="7"/>
      <c r="W6363" s="7"/>
      <c r="X6363" s="6">
        <v>0</v>
      </c>
      <c r="Y6363" s="7"/>
      <c r="Z6363" s="7">
        <v>0</v>
      </c>
      <c r="AA6363" s="9"/>
      <c r="AC6363" s="38">
        <v>1</v>
      </c>
    </row>
    <row r="6364" spans="1:29" x14ac:dyDescent="0.25">
      <c r="A6364" s="22">
        <v>44715</v>
      </c>
      <c r="B6364" s="6">
        <v>0</v>
      </c>
      <c r="C6364" s="6">
        <v>0</v>
      </c>
      <c r="D6364" s="6">
        <v>2.8</v>
      </c>
      <c r="E6364" s="7"/>
      <c r="F6364" s="8">
        <v>0.2</v>
      </c>
      <c r="G6364" s="6">
        <v>5</v>
      </c>
      <c r="H6364" s="7">
        <v>2</v>
      </c>
      <c r="I6364" s="6">
        <v>3.9</v>
      </c>
      <c r="J6364" s="6">
        <v>2</v>
      </c>
      <c r="K6364" s="6">
        <v>4.2</v>
      </c>
      <c r="L6364" s="7">
        <v>6.0959999999999992</v>
      </c>
      <c r="M6364" s="6">
        <v>2.4</v>
      </c>
      <c r="N6364" s="8">
        <v>2.4</v>
      </c>
      <c r="O6364" s="7"/>
      <c r="P6364" s="7">
        <v>1.5</v>
      </c>
      <c r="Q6364" s="6">
        <v>20.3</v>
      </c>
      <c r="R6364" s="6">
        <v>3</v>
      </c>
      <c r="S6364" s="8">
        <v>0.2</v>
      </c>
      <c r="T6364" s="8">
        <v>3.4</v>
      </c>
      <c r="U6364" s="6">
        <v>2</v>
      </c>
      <c r="V6364" s="7"/>
      <c r="W6364" s="7"/>
      <c r="X6364" s="6">
        <v>0</v>
      </c>
      <c r="Y6364" s="7"/>
      <c r="Z6364" s="7">
        <v>0</v>
      </c>
      <c r="AA6364" s="9"/>
      <c r="AC6364" s="38">
        <v>1</v>
      </c>
    </row>
    <row r="6365" spans="1:29" x14ac:dyDescent="0.25">
      <c r="A6365" s="22">
        <v>44716</v>
      </c>
      <c r="B6365" s="6">
        <v>0</v>
      </c>
      <c r="C6365" s="6">
        <v>4</v>
      </c>
      <c r="D6365" s="6">
        <v>1.1000000000000001</v>
      </c>
      <c r="E6365" s="7"/>
      <c r="F6365" s="8">
        <v>0.8</v>
      </c>
      <c r="G6365" s="6">
        <v>0.5</v>
      </c>
      <c r="H6365" s="7">
        <v>0</v>
      </c>
      <c r="I6365" s="6">
        <v>1</v>
      </c>
      <c r="J6365" s="6">
        <v>4.2</v>
      </c>
      <c r="K6365" s="6">
        <v>4</v>
      </c>
      <c r="L6365" s="7">
        <v>1.778</v>
      </c>
      <c r="M6365" s="6">
        <v>0.3</v>
      </c>
      <c r="N6365" s="8">
        <v>0.4</v>
      </c>
      <c r="O6365" s="7"/>
      <c r="P6365" s="7">
        <v>0</v>
      </c>
      <c r="Q6365" s="6">
        <v>0</v>
      </c>
      <c r="R6365" s="6">
        <v>0</v>
      </c>
      <c r="S6365" s="8">
        <v>0</v>
      </c>
      <c r="T6365" s="8">
        <v>1</v>
      </c>
      <c r="U6365" s="6">
        <v>0</v>
      </c>
      <c r="V6365" s="7"/>
      <c r="W6365" s="7"/>
      <c r="X6365" s="6">
        <v>0</v>
      </c>
      <c r="Y6365" s="7"/>
      <c r="Z6365" s="7">
        <v>0</v>
      </c>
      <c r="AA6365" s="9"/>
      <c r="AC6365" s="38">
        <v>1</v>
      </c>
    </row>
    <row r="6366" spans="1:29" x14ac:dyDescent="0.25">
      <c r="A6366" s="22">
        <v>44717</v>
      </c>
      <c r="B6366" s="6">
        <v>0</v>
      </c>
      <c r="C6366" s="6">
        <v>0</v>
      </c>
      <c r="D6366" s="6">
        <v>2.4</v>
      </c>
      <c r="E6366" s="7"/>
      <c r="F6366" s="8">
        <v>0.4</v>
      </c>
      <c r="G6366" s="6">
        <v>3.9</v>
      </c>
      <c r="H6366" s="7">
        <v>1.8</v>
      </c>
      <c r="I6366" s="6">
        <v>4.2</v>
      </c>
      <c r="J6366" s="6">
        <v>3</v>
      </c>
      <c r="K6366" s="6">
        <v>2</v>
      </c>
      <c r="L6366" s="7">
        <v>4.0640000000000001</v>
      </c>
      <c r="M6366" s="6">
        <v>4</v>
      </c>
      <c r="N6366" s="8">
        <v>3</v>
      </c>
      <c r="O6366" s="7"/>
      <c r="P6366" s="7">
        <v>0</v>
      </c>
      <c r="Q6366" s="6">
        <v>14</v>
      </c>
      <c r="R6366" s="6">
        <v>10</v>
      </c>
      <c r="S6366" s="8">
        <v>83</v>
      </c>
      <c r="T6366" s="8">
        <v>5.4</v>
      </c>
      <c r="U6366" s="6">
        <v>0</v>
      </c>
      <c r="V6366" s="7"/>
      <c r="W6366" s="7"/>
      <c r="X6366" s="6">
        <v>0</v>
      </c>
      <c r="Y6366" s="7"/>
      <c r="Z6366" s="7">
        <v>0</v>
      </c>
      <c r="AA6366" s="9"/>
      <c r="AC6366" s="38">
        <v>2</v>
      </c>
    </row>
    <row r="6367" spans="1:29" x14ac:dyDescent="0.25">
      <c r="A6367" s="22">
        <v>44718</v>
      </c>
      <c r="B6367" s="6">
        <v>37</v>
      </c>
      <c r="C6367" s="6">
        <v>15</v>
      </c>
      <c r="D6367" s="6">
        <v>18</v>
      </c>
      <c r="E6367" s="7"/>
      <c r="F6367" s="8">
        <v>26</v>
      </c>
      <c r="G6367" s="6">
        <v>17.2</v>
      </c>
      <c r="H6367" s="7">
        <v>13.2</v>
      </c>
      <c r="I6367" s="6">
        <v>12.8</v>
      </c>
      <c r="J6367" s="6">
        <v>23.5</v>
      </c>
      <c r="K6367" s="6">
        <v>3.5</v>
      </c>
      <c r="L6367" s="7">
        <v>10.413999999999998</v>
      </c>
      <c r="M6367" s="6">
        <v>14.9</v>
      </c>
      <c r="N6367" s="8">
        <v>36.200000000000003</v>
      </c>
      <c r="O6367" s="7"/>
      <c r="P6367" s="7">
        <v>18</v>
      </c>
      <c r="Q6367" s="6">
        <v>3</v>
      </c>
      <c r="R6367" s="6">
        <v>2</v>
      </c>
      <c r="S6367" s="8">
        <v>6.4</v>
      </c>
      <c r="T6367" s="8">
        <v>8.8000000000000007</v>
      </c>
      <c r="U6367" s="6">
        <v>20</v>
      </c>
      <c r="V6367" s="7"/>
      <c r="W6367" s="7"/>
      <c r="X6367" s="6">
        <v>10</v>
      </c>
      <c r="Y6367" s="7"/>
      <c r="Z6367" s="7">
        <v>0</v>
      </c>
      <c r="AA6367" s="9"/>
      <c r="AC6367" s="38">
        <v>4</v>
      </c>
    </row>
    <row r="6368" spans="1:29" x14ac:dyDescent="0.25">
      <c r="A6368" s="22">
        <v>44719</v>
      </c>
      <c r="B6368" s="6">
        <v>17</v>
      </c>
      <c r="C6368" s="6">
        <v>18.399999999999999</v>
      </c>
      <c r="D6368" s="6">
        <v>20</v>
      </c>
      <c r="E6368" s="7"/>
      <c r="F6368" s="8">
        <v>1.2</v>
      </c>
      <c r="G6368" s="6">
        <v>7</v>
      </c>
      <c r="H6368" s="7">
        <v>7</v>
      </c>
      <c r="I6368" s="6">
        <v>1.4</v>
      </c>
      <c r="J6368" s="6">
        <v>24.8</v>
      </c>
      <c r="K6368" s="6">
        <v>26</v>
      </c>
      <c r="L6368" s="7">
        <v>8.636000000000001</v>
      </c>
      <c r="M6368" s="6">
        <v>4.4000000000000004</v>
      </c>
      <c r="N6368" s="8">
        <v>5.2</v>
      </c>
      <c r="O6368" s="7"/>
      <c r="P6368" s="7">
        <v>1.5</v>
      </c>
      <c r="Q6368" s="6">
        <v>1</v>
      </c>
      <c r="R6368" s="6">
        <v>2</v>
      </c>
      <c r="S6368" s="8">
        <v>9.1999999999999993</v>
      </c>
      <c r="T6368" s="8">
        <v>1</v>
      </c>
      <c r="U6368" s="6">
        <v>15</v>
      </c>
      <c r="V6368" s="7"/>
      <c r="W6368" s="7"/>
      <c r="X6368" s="6">
        <v>10</v>
      </c>
      <c r="Y6368" s="7"/>
      <c r="Z6368" s="7">
        <v>0</v>
      </c>
      <c r="AA6368" s="9"/>
      <c r="AC6368" s="38">
        <v>2</v>
      </c>
    </row>
    <row r="6369" spans="1:29" x14ac:dyDescent="0.25">
      <c r="A6369" s="22">
        <v>44720</v>
      </c>
      <c r="B6369" s="6">
        <v>0</v>
      </c>
      <c r="C6369" s="6">
        <v>2.8</v>
      </c>
      <c r="D6369" s="6">
        <v>6.7</v>
      </c>
      <c r="E6369" s="7"/>
      <c r="F6369" s="8">
        <v>16.2</v>
      </c>
      <c r="G6369" s="6">
        <v>7</v>
      </c>
      <c r="H6369" s="7">
        <v>11.7</v>
      </c>
      <c r="I6369" s="6">
        <v>5.0999999999999996</v>
      </c>
      <c r="J6369" s="6">
        <v>16.399999999999999</v>
      </c>
      <c r="K6369" s="6">
        <v>22</v>
      </c>
      <c r="L6369" s="7">
        <v>1.778</v>
      </c>
      <c r="M6369" s="6">
        <v>9</v>
      </c>
      <c r="N6369" s="8">
        <v>24</v>
      </c>
      <c r="O6369" s="7"/>
      <c r="P6369" s="7">
        <v>1.5</v>
      </c>
      <c r="Q6369" s="6">
        <v>4.5</v>
      </c>
      <c r="R6369" s="6">
        <v>0</v>
      </c>
      <c r="S6369" s="8">
        <v>0.8</v>
      </c>
      <c r="T6369" s="8">
        <v>1.6</v>
      </c>
      <c r="U6369" s="6">
        <v>4</v>
      </c>
      <c r="V6369" s="7"/>
      <c r="W6369" s="7"/>
      <c r="X6369" s="6">
        <v>3</v>
      </c>
      <c r="Y6369" s="7"/>
      <c r="Z6369" s="7">
        <v>0</v>
      </c>
      <c r="AA6369" s="9"/>
      <c r="AC6369" s="38">
        <v>1</v>
      </c>
    </row>
    <row r="6370" spans="1:29" x14ac:dyDescent="0.25">
      <c r="A6370" s="22">
        <v>44721</v>
      </c>
      <c r="B6370" s="6">
        <v>10</v>
      </c>
      <c r="C6370" s="6">
        <v>8.4</v>
      </c>
      <c r="D6370" s="6">
        <v>2</v>
      </c>
      <c r="E6370" s="7"/>
      <c r="F6370" s="8">
        <v>1.2</v>
      </c>
      <c r="G6370" s="6">
        <v>4.2</v>
      </c>
      <c r="H6370" s="7">
        <v>3.2</v>
      </c>
      <c r="I6370" s="6">
        <v>3.5</v>
      </c>
      <c r="J6370" s="6">
        <v>0.2</v>
      </c>
      <c r="K6370" s="6">
        <v>1</v>
      </c>
      <c r="L6370" s="7">
        <v>8.636000000000001</v>
      </c>
      <c r="M6370" s="6">
        <v>4.8</v>
      </c>
      <c r="N6370" s="8">
        <v>0.4</v>
      </c>
      <c r="O6370" s="7"/>
      <c r="P6370" s="7">
        <v>2</v>
      </c>
      <c r="Q6370" s="6">
        <v>1</v>
      </c>
      <c r="R6370" s="6">
        <v>5</v>
      </c>
      <c r="S6370" s="8">
        <v>0</v>
      </c>
      <c r="T6370" s="8">
        <v>0</v>
      </c>
      <c r="U6370" s="6">
        <v>0</v>
      </c>
      <c r="V6370" s="7"/>
      <c r="W6370" s="7"/>
      <c r="X6370" s="6">
        <v>0</v>
      </c>
      <c r="Y6370" s="7"/>
      <c r="Z6370" s="7">
        <v>6</v>
      </c>
      <c r="AA6370" s="9"/>
      <c r="AC6370" s="38">
        <v>17</v>
      </c>
    </row>
    <row r="6371" spans="1:29" x14ac:dyDescent="0.25">
      <c r="A6371" s="22">
        <v>44722</v>
      </c>
      <c r="B6371" s="6">
        <v>7</v>
      </c>
      <c r="C6371" s="6">
        <v>4</v>
      </c>
      <c r="D6371" s="6">
        <v>8</v>
      </c>
      <c r="E6371" s="7"/>
      <c r="F6371" s="8">
        <v>1</v>
      </c>
      <c r="G6371" s="6">
        <v>2.5</v>
      </c>
      <c r="H6371" s="7">
        <v>1.4</v>
      </c>
      <c r="I6371" s="6">
        <v>6</v>
      </c>
      <c r="J6371" s="6">
        <v>0.4</v>
      </c>
      <c r="K6371" s="6">
        <v>5</v>
      </c>
      <c r="L6371" s="7">
        <v>3.0479999999999996</v>
      </c>
      <c r="M6371" s="6">
        <v>2.2000000000000002</v>
      </c>
      <c r="N6371" s="8">
        <v>7.8</v>
      </c>
      <c r="O6371" s="7"/>
      <c r="P6371" s="7">
        <v>6.5</v>
      </c>
      <c r="Q6371" s="6">
        <v>21.3</v>
      </c>
      <c r="R6371" s="6">
        <v>20</v>
      </c>
      <c r="S6371" s="8">
        <v>6</v>
      </c>
      <c r="T6371" s="8">
        <v>10.4</v>
      </c>
      <c r="U6371" s="6">
        <v>0</v>
      </c>
      <c r="V6371" s="7"/>
      <c r="W6371" s="7"/>
      <c r="X6371" s="6">
        <v>0</v>
      </c>
      <c r="Y6371" s="7"/>
      <c r="Z6371" s="7">
        <v>0</v>
      </c>
      <c r="AA6371" s="9"/>
      <c r="AC6371" s="38">
        <v>1</v>
      </c>
    </row>
    <row r="6372" spans="1:29" x14ac:dyDescent="0.25">
      <c r="A6372" s="22">
        <v>44723</v>
      </c>
      <c r="B6372" s="6">
        <v>51</v>
      </c>
      <c r="C6372" s="6">
        <v>36.4</v>
      </c>
      <c r="D6372" s="6">
        <v>38.200000000000003</v>
      </c>
      <c r="E6372" s="7"/>
      <c r="F6372" s="8">
        <v>2</v>
      </c>
      <c r="G6372" s="6">
        <v>12</v>
      </c>
      <c r="H6372" s="7">
        <v>4.2</v>
      </c>
      <c r="I6372" s="6">
        <v>10</v>
      </c>
      <c r="J6372" s="6">
        <v>16.5</v>
      </c>
      <c r="K6372" s="6">
        <v>24.6</v>
      </c>
      <c r="L6372" s="7">
        <v>43.18</v>
      </c>
      <c r="M6372" s="6">
        <v>6</v>
      </c>
      <c r="N6372" s="8">
        <v>26.6</v>
      </c>
      <c r="O6372" s="7"/>
      <c r="P6372" s="7">
        <v>48</v>
      </c>
      <c r="Q6372" s="6">
        <v>0</v>
      </c>
      <c r="R6372" s="6">
        <v>0</v>
      </c>
      <c r="S6372" s="8">
        <v>17</v>
      </c>
      <c r="T6372" s="8">
        <v>3.2</v>
      </c>
      <c r="U6372" s="6">
        <v>29</v>
      </c>
      <c r="V6372" s="7"/>
      <c r="W6372" s="7"/>
      <c r="X6372" s="6">
        <v>0</v>
      </c>
      <c r="Y6372" s="7"/>
      <c r="Z6372" s="7">
        <v>0</v>
      </c>
      <c r="AA6372" s="9"/>
      <c r="AC6372" s="38">
        <v>8</v>
      </c>
    </row>
    <row r="6373" spans="1:29" x14ac:dyDescent="0.25">
      <c r="A6373" s="22">
        <v>44724</v>
      </c>
      <c r="B6373" s="6">
        <v>0</v>
      </c>
      <c r="C6373" s="6">
        <v>0</v>
      </c>
      <c r="D6373" s="6">
        <v>3.6</v>
      </c>
      <c r="E6373" s="7"/>
      <c r="F6373" s="8">
        <v>0.2</v>
      </c>
      <c r="G6373" s="6">
        <v>7.5</v>
      </c>
      <c r="H6373" s="7">
        <v>2.9</v>
      </c>
      <c r="I6373" s="6">
        <v>1.4</v>
      </c>
      <c r="J6373" s="6">
        <v>2.1</v>
      </c>
      <c r="K6373" s="6">
        <v>2</v>
      </c>
      <c r="L6373" s="7">
        <v>0.7619999999999999</v>
      </c>
      <c r="M6373" s="6">
        <v>1.6</v>
      </c>
      <c r="N6373" s="8">
        <v>3.8</v>
      </c>
      <c r="O6373" s="7"/>
      <c r="P6373" s="7">
        <v>1</v>
      </c>
      <c r="Q6373" s="6">
        <v>0</v>
      </c>
      <c r="R6373" s="6">
        <v>0</v>
      </c>
      <c r="S6373" s="8">
        <v>3.4</v>
      </c>
      <c r="T6373" s="8">
        <v>2.6</v>
      </c>
      <c r="U6373" s="6">
        <v>5</v>
      </c>
      <c r="V6373" s="7"/>
      <c r="W6373" s="7"/>
      <c r="X6373" s="6">
        <v>10</v>
      </c>
      <c r="Y6373" s="7"/>
      <c r="Z6373" s="7">
        <v>0</v>
      </c>
      <c r="AA6373" s="9"/>
      <c r="AC6373" s="38">
        <v>2</v>
      </c>
    </row>
    <row r="6374" spans="1:29" x14ac:dyDescent="0.25">
      <c r="A6374" s="22">
        <v>44725</v>
      </c>
      <c r="B6374" s="6">
        <v>0</v>
      </c>
      <c r="C6374" s="6">
        <v>0.8</v>
      </c>
      <c r="D6374" s="6">
        <v>0</v>
      </c>
      <c r="E6374" s="7"/>
      <c r="F6374" s="8">
        <v>1.4</v>
      </c>
      <c r="G6374" s="6">
        <v>0</v>
      </c>
      <c r="H6374" s="7">
        <v>1</v>
      </c>
      <c r="I6374" s="6">
        <v>1.5</v>
      </c>
      <c r="J6374" s="6">
        <v>2.2000000000000002</v>
      </c>
      <c r="K6374" s="6">
        <v>2.8</v>
      </c>
      <c r="L6374" s="7">
        <v>0</v>
      </c>
      <c r="M6374" s="6">
        <v>0.6</v>
      </c>
      <c r="N6374" s="8">
        <v>2.2000000000000002</v>
      </c>
      <c r="O6374" s="7"/>
      <c r="P6374" s="7">
        <v>2</v>
      </c>
      <c r="Q6374" s="6">
        <v>1</v>
      </c>
      <c r="R6374" s="6">
        <v>1</v>
      </c>
      <c r="S6374" s="10"/>
      <c r="T6374" s="8">
        <v>8</v>
      </c>
      <c r="U6374" s="6">
        <v>0</v>
      </c>
      <c r="V6374" s="7"/>
      <c r="W6374" s="7"/>
      <c r="X6374" s="6">
        <v>14</v>
      </c>
      <c r="Y6374" s="7"/>
      <c r="Z6374" s="7">
        <v>0</v>
      </c>
      <c r="AA6374" s="9"/>
      <c r="AC6374" s="38">
        <v>6</v>
      </c>
    </row>
    <row r="6375" spans="1:29" x14ac:dyDescent="0.25">
      <c r="A6375" s="22">
        <v>44726</v>
      </c>
      <c r="B6375" s="6">
        <v>0</v>
      </c>
      <c r="C6375" s="6">
        <v>4.4000000000000004</v>
      </c>
      <c r="D6375" s="6">
        <v>2.1</v>
      </c>
      <c r="E6375" s="7"/>
      <c r="F6375" s="8">
        <v>0</v>
      </c>
      <c r="G6375" s="6">
        <v>7</v>
      </c>
      <c r="H6375" s="7">
        <v>3</v>
      </c>
      <c r="I6375" s="6">
        <v>0.3</v>
      </c>
      <c r="J6375" s="6">
        <v>2.8</v>
      </c>
      <c r="K6375" s="6">
        <v>2.2000000000000002</v>
      </c>
      <c r="L6375" s="7">
        <v>2.2859999999999996</v>
      </c>
      <c r="M6375" s="6">
        <v>4.4000000000000004</v>
      </c>
      <c r="N6375" s="8">
        <v>0.2</v>
      </c>
      <c r="O6375" s="7"/>
      <c r="P6375" s="7">
        <v>4</v>
      </c>
      <c r="Q6375" s="6">
        <v>11</v>
      </c>
      <c r="R6375" s="6">
        <v>16.2</v>
      </c>
      <c r="S6375" s="10"/>
      <c r="T6375" s="8">
        <v>10.199999999999999</v>
      </c>
      <c r="U6375" s="6">
        <v>4</v>
      </c>
      <c r="V6375" s="7"/>
      <c r="W6375" s="7"/>
      <c r="X6375" s="6">
        <v>3</v>
      </c>
      <c r="Y6375" s="7"/>
      <c r="Z6375" s="7">
        <v>0</v>
      </c>
      <c r="AA6375" s="9"/>
      <c r="AC6375" s="38">
        <v>5</v>
      </c>
    </row>
    <row r="6376" spans="1:29" x14ac:dyDescent="0.25">
      <c r="A6376" s="22">
        <v>44727</v>
      </c>
      <c r="B6376" s="6">
        <v>0</v>
      </c>
      <c r="C6376" s="6">
        <v>9.1999999999999993</v>
      </c>
      <c r="D6376" s="6">
        <v>15.2</v>
      </c>
      <c r="E6376" s="7"/>
      <c r="F6376" s="8">
        <v>7.2</v>
      </c>
      <c r="G6376" s="6">
        <v>5.5</v>
      </c>
      <c r="H6376" s="7">
        <v>5.5</v>
      </c>
      <c r="I6376" s="6">
        <v>4</v>
      </c>
      <c r="J6376" s="6">
        <v>8.8000000000000007</v>
      </c>
      <c r="K6376" s="6">
        <v>8.4</v>
      </c>
      <c r="L6376" s="7">
        <v>0</v>
      </c>
      <c r="M6376" s="6">
        <v>4.8</v>
      </c>
      <c r="N6376" s="8">
        <v>13.6</v>
      </c>
      <c r="O6376" s="7"/>
      <c r="P6376" s="7">
        <v>6.5</v>
      </c>
      <c r="Q6376" s="6">
        <v>7.5</v>
      </c>
      <c r="R6376" s="6">
        <v>8.1999999999999993</v>
      </c>
      <c r="S6376" s="10"/>
      <c r="T6376" s="8">
        <v>6.2</v>
      </c>
      <c r="U6376" s="6">
        <v>16</v>
      </c>
      <c r="V6376" s="7"/>
      <c r="W6376" s="7"/>
      <c r="X6376" s="6">
        <v>4</v>
      </c>
      <c r="Y6376" s="7"/>
      <c r="Z6376" s="7">
        <v>0</v>
      </c>
      <c r="AA6376" s="9"/>
      <c r="AC6376" s="38">
        <v>40</v>
      </c>
    </row>
    <row r="6377" spans="1:29" x14ac:dyDescent="0.25">
      <c r="A6377" s="22">
        <v>44728</v>
      </c>
      <c r="B6377" s="6">
        <v>30</v>
      </c>
      <c r="C6377" s="6">
        <v>24</v>
      </c>
      <c r="D6377" s="6">
        <v>17.2</v>
      </c>
      <c r="E6377" s="7"/>
      <c r="F6377" s="8">
        <v>0.8</v>
      </c>
      <c r="G6377" s="6">
        <v>11.2</v>
      </c>
      <c r="H6377" s="7">
        <v>3</v>
      </c>
      <c r="I6377" s="6">
        <v>14.8</v>
      </c>
      <c r="J6377" s="6">
        <v>12.2</v>
      </c>
      <c r="K6377" s="6">
        <v>10</v>
      </c>
      <c r="L6377" s="7">
        <v>21.335999999999999</v>
      </c>
      <c r="M6377" s="6">
        <v>7.8</v>
      </c>
      <c r="N6377" s="8">
        <v>1.8</v>
      </c>
      <c r="O6377" s="7"/>
      <c r="P6377" s="7">
        <v>14.5</v>
      </c>
      <c r="Q6377" s="6">
        <v>0</v>
      </c>
      <c r="R6377" s="6">
        <v>0</v>
      </c>
      <c r="S6377" s="10"/>
      <c r="T6377" s="8">
        <v>2.2000000000000002</v>
      </c>
      <c r="U6377" s="6">
        <v>4</v>
      </c>
      <c r="V6377" s="7"/>
      <c r="W6377" s="7"/>
      <c r="X6377" s="6">
        <v>4.3</v>
      </c>
      <c r="Y6377" s="7"/>
      <c r="Z6377" s="7">
        <v>0</v>
      </c>
      <c r="AA6377" s="9"/>
      <c r="AC6377" s="38">
        <v>3</v>
      </c>
    </row>
    <row r="6378" spans="1:29" x14ac:dyDescent="0.25">
      <c r="A6378" s="22">
        <v>44729</v>
      </c>
      <c r="B6378" s="6">
        <v>0</v>
      </c>
      <c r="C6378" s="6">
        <v>0</v>
      </c>
      <c r="D6378" s="6">
        <v>0</v>
      </c>
      <c r="E6378" s="7"/>
      <c r="F6378" s="8">
        <v>0</v>
      </c>
      <c r="G6378" s="6">
        <v>0.5</v>
      </c>
      <c r="H6378" s="7">
        <v>0</v>
      </c>
      <c r="I6378" s="6">
        <v>0</v>
      </c>
      <c r="J6378" s="6">
        <v>0</v>
      </c>
      <c r="K6378" s="6">
        <v>0</v>
      </c>
      <c r="L6378" s="7">
        <v>2.2859999999999996</v>
      </c>
      <c r="M6378" s="6">
        <v>0.2</v>
      </c>
      <c r="N6378" s="8">
        <v>0.2</v>
      </c>
      <c r="O6378" s="7"/>
      <c r="P6378" s="7">
        <v>0</v>
      </c>
      <c r="Q6378" s="7">
        <v>0.1</v>
      </c>
      <c r="R6378" s="6">
        <v>0</v>
      </c>
      <c r="S6378" s="10"/>
      <c r="T6378" s="8">
        <v>0</v>
      </c>
      <c r="U6378" s="6">
        <v>2</v>
      </c>
      <c r="V6378" s="7"/>
      <c r="W6378" s="7"/>
      <c r="X6378" s="6">
        <v>0</v>
      </c>
      <c r="Y6378" s="7"/>
      <c r="Z6378" s="7">
        <v>14</v>
      </c>
      <c r="AA6378" s="9"/>
      <c r="AC6378" s="38">
        <v>0</v>
      </c>
    </row>
    <row r="6379" spans="1:29" x14ac:dyDescent="0.25">
      <c r="A6379" s="22">
        <v>44730</v>
      </c>
      <c r="B6379" s="6">
        <v>0</v>
      </c>
      <c r="C6379" s="6">
        <v>0.4</v>
      </c>
      <c r="D6379" s="6">
        <v>1</v>
      </c>
      <c r="E6379" s="7"/>
      <c r="F6379" s="8">
        <v>0</v>
      </c>
      <c r="G6379" s="6">
        <v>0.5</v>
      </c>
      <c r="H6379" s="7">
        <v>0</v>
      </c>
      <c r="I6379" s="6">
        <v>0.2</v>
      </c>
      <c r="J6379" s="6">
        <v>2.5</v>
      </c>
      <c r="K6379" s="6">
        <v>0</v>
      </c>
      <c r="L6379" s="7">
        <v>1.5239999999999998</v>
      </c>
      <c r="M6379" s="6">
        <v>0.2</v>
      </c>
      <c r="N6379" s="8">
        <v>2.8</v>
      </c>
      <c r="O6379" s="7"/>
      <c r="P6379" s="7">
        <v>0</v>
      </c>
      <c r="Q6379" s="6">
        <v>0</v>
      </c>
      <c r="R6379" s="6">
        <v>0</v>
      </c>
      <c r="S6379" s="10"/>
      <c r="T6379" s="8">
        <v>0</v>
      </c>
      <c r="U6379" s="6">
        <v>0</v>
      </c>
      <c r="V6379" s="7"/>
      <c r="W6379" s="7"/>
      <c r="X6379" s="6">
        <v>0</v>
      </c>
      <c r="Y6379" s="7"/>
      <c r="Z6379" s="7">
        <v>0</v>
      </c>
      <c r="AA6379" s="9"/>
      <c r="AC6379" s="38">
        <v>1</v>
      </c>
    </row>
    <row r="6380" spans="1:29" x14ac:dyDescent="0.25">
      <c r="A6380" s="22">
        <v>44731</v>
      </c>
      <c r="B6380" s="6">
        <v>0</v>
      </c>
      <c r="C6380" s="6">
        <v>3</v>
      </c>
      <c r="D6380" s="6">
        <v>3.6</v>
      </c>
      <c r="E6380" s="7"/>
      <c r="F6380" s="8">
        <v>0</v>
      </c>
      <c r="G6380" s="6">
        <v>0</v>
      </c>
      <c r="H6380" s="7">
        <v>0</v>
      </c>
      <c r="I6380" s="6">
        <v>0</v>
      </c>
      <c r="J6380" s="6">
        <v>0</v>
      </c>
      <c r="K6380" s="6">
        <v>0</v>
      </c>
      <c r="L6380" s="7">
        <v>0.7619999999999999</v>
      </c>
      <c r="M6380" s="6">
        <v>0</v>
      </c>
      <c r="N6380" s="8">
        <v>0.8</v>
      </c>
      <c r="O6380" s="7"/>
      <c r="P6380" s="7">
        <v>6.5</v>
      </c>
      <c r="Q6380" s="6">
        <v>0.2</v>
      </c>
      <c r="R6380" s="6">
        <v>0</v>
      </c>
      <c r="S6380" s="10"/>
      <c r="T6380" s="8">
        <v>2</v>
      </c>
      <c r="U6380" s="6">
        <v>4</v>
      </c>
      <c r="V6380" s="7"/>
      <c r="W6380" s="7"/>
      <c r="X6380" s="6">
        <v>2</v>
      </c>
      <c r="Y6380" s="7"/>
      <c r="Z6380" s="7">
        <v>0</v>
      </c>
      <c r="AA6380" s="9"/>
      <c r="AC6380" s="38">
        <v>0</v>
      </c>
    </row>
    <row r="6381" spans="1:29" x14ac:dyDescent="0.25">
      <c r="A6381" s="22">
        <v>44732</v>
      </c>
      <c r="B6381" s="6">
        <v>34</v>
      </c>
      <c r="C6381" s="6">
        <v>0</v>
      </c>
      <c r="D6381" s="6">
        <v>0</v>
      </c>
      <c r="E6381" s="7"/>
      <c r="F6381" s="8">
        <v>0</v>
      </c>
      <c r="G6381" s="6">
        <v>0</v>
      </c>
      <c r="H6381" s="7">
        <v>0</v>
      </c>
      <c r="I6381" s="6">
        <v>0</v>
      </c>
      <c r="J6381" s="6">
        <v>0</v>
      </c>
      <c r="K6381" s="6">
        <v>0</v>
      </c>
      <c r="L6381" s="7">
        <v>2.2859999999999996</v>
      </c>
      <c r="M6381" s="6">
        <v>0</v>
      </c>
      <c r="N6381" s="8">
        <v>0.2</v>
      </c>
      <c r="O6381" s="7"/>
      <c r="P6381" s="7">
        <v>0</v>
      </c>
      <c r="Q6381" s="6">
        <v>38.6</v>
      </c>
      <c r="R6381" s="6">
        <v>34</v>
      </c>
      <c r="S6381" s="10"/>
      <c r="T6381" s="8">
        <v>0</v>
      </c>
      <c r="U6381" s="6">
        <v>0</v>
      </c>
      <c r="V6381" s="7"/>
      <c r="W6381" s="7"/>
      <c r="X6381" s="6">
        <v>0</v>
      </c>
      <c r="Y6381" s="7"/>
      <c r="Z6381" s="7">
        <v>2</v>
      </c>
      <c r="AA6381" s="9"/>
      <c r="AC6381" s="38">
        <v>3</v>
      </c>
    </row>
    <row r="6382" spans="1:29" x14ac:dyDescent="0.25">
      <c r="A6382" s="22">
        <v>44733</v>
      </c>
      <c r="B6382" s="6">
        <v>0</v>
      </c>
      <c r="C6382" s="6">
        <v>32.799999999999997</v>
      </c>
      <c r="D6382" s="6">
        <v>40</v>
      </c>
      <c r="E6382" s="7"/>
      <c r="F6382" s="8">
        <v>35.4</v>
      </c>
      <c r="G6382" s="6">
        <v>32.5</v>
      </c>
      <c r="H6382" s="7">
        <v>29.3</v>
      </c>
      <c r="I6382" s="6">
        <v>20.6</v>
      </c>
      <c r="J6382" s="6">
        <v>40.1</v>
      </c>
      <c r="K6382" s="6">
        <v>39.6</v>
      </c>
      <c r="L6382" s="7">
        <v>53.339999999999996</v>
      </c>
      <c r="M6382" s="6">
        <v>26</v>
      </c>
      <c r="N6382" s="8">
        <v>41.4</v>
      </c>
      <c r="O6382" s="7"/>
      <c r="P6382" s="7">
        <v>46.5</v>
      </c>
      <c r="Q6382" s="6">
        <v>9.6</v>
      </c>
      <c r="R6382" s="6">
        <v>0</v>
      </c>
      <c r="S6382" s="10">
        <v>0</v>
      </c>
      <c r="T6382" s="8">
        <v>33</v>
      </c>
      <c r="U6382" s="6">
        <v>35</v>
      </c>
      <c r="V6382" s="7"/>
      <c r="W6382" s="7"/>
      <c r="X6382" s="6">
        <v>34</v>
      </c>
      <c r="Y6382" s="7"/>
      <c r="Z6382" s="7">
        <v>0</v>
      </c>
      <c r="AA6382" s="9"/>
      <c r="AC6382" s="38">
        <v>24</v>
      </c>
    </row>
    <row r="6383" spans="1:29" x14ac:dyDescent="0.25">
      <c r="A6383" s="22">
        <v>44734</v>
      </c>
      <c r="B6383" s="6">
        <v>0</v>
      </c>
      <c r="C6383" s="6">
        <v>15.8</v>
      </c>
      <c r="D6383" s="6">
        <v>8.8000000000000007</v>
      </c>
      <c r="E6383" s="7"/>
      <c r="F6383" s="8">
        <v>17</v>
      </c>
      <c r="G6383" s="6">
        <v>18.5</v>
      </c>
      <c r="H6383" s="7">
        <v>16</v>
      </c>
      <c r="I6383" s="6">
        <v>15</v>
      </c>
      <c r="J6383" s="6">
        <v>26.95</v>
      </c>
      <c r="K6383" s="6">
        <v>21.6</v>
      </c>
      <c r="L6383" s="7">
        <v>4.0640000000000001</v>
      </c>
      <c r="M6383" s="6">
        <v>14</v>
      </c>
      <c r="N6383" s="8">
        <v>21</v>
      </c>
      <c r="O6383" s="7"/>
      <c r="P6383" s="7">
        <v>2.5</v>
      </c>
      <c r="Q6383" s="6">
        <v>0</v>
      </c>
      <c r="R6383" s="6">
        <v>8.1</v>
      </c>
      <c r="S6383" s="10">
        <v>0.2</v>
      </c>
      <c r="T6383" s="8">
        <v>2.4</v>
      </c>
      <c r="U6383" s="6">
        <v>10</v>
      </c>
      <c r="V6383" s="7"/>
      <c r="W6383" s="7"/>
      <c r="X6383" s="6">
        <v>14</v>
      </c>
      <c r="Y6383" s="7"/>
      <c r="Z6383" s="7">
        <v>52</v>
      </c>
      <c r="AA6383" s="9"/>
      <c r="AC6383" s="38">
        <v>2</v>
      </c>
    </row>
    <row r="6384" spans="1:29" x14ac:dyDescent="0.25">
      <c r="A6384" s="22">
        <v>44735</v>
      </c>
      <c r="B6384" s="6">
        <v>0</v>
      </c>
      <c r="C6384" s="6">
        <v>3.2</v>
      </c>
      <c r="D6384" s="6">
        <v>2.8</v>
      </c>
      <c r="E6384" s="7"/>
      <c r="F6384" s="8">
        <v>0.2</v>
      </c>
      <c r="G6384" s="6">
        <v>1.3</v>
      </c>
      <c r="H6384" s="7">
        <v>2</v>
      </c>
      <c r="I6384" s="6">
        <v>0.5</v>
      </c>
      <c r="J6384" s="6">
        <v>2</v>
      </c>
      <c r="K6384" s="6">
        <v>4</v>
      </c>
      <c r="L6384" s="7">
        <v>5.8419999999999996</v>
      </c>
      <c r="M6384" s="6">
        <v>0.5</v>
      </c>
      <c r="N6384" s="8">
        <v>0</v>
      </c>
      <c r="O6384" s="7"/>
      <c r="P6384" s="7">
        <v>0</v>
      </c>
      <c r="Q6384" s="6">
        <v>0</v>
      </c>
      <c r="R6384" s="6">
        <v>0.1</v>
      </c>
      <c r="S6384" s="8">
        <v>0</v>
      </c>
      <c r="T6384" s="8">
        <v>0</v>
      </c>
      <c r="U6384" s="6">
        <v>0</v>
      </c>
      <c r="V6384" s="7"/>
      <c r="W6384" s="7"/>
      <c r="X6384" s="6">
        <v>0</v>
      </c>
      <c r="Y6384" s="7"/>
      <c r="Z6384" s="7">
        <v>15</v>
      </c>
      <c r="AA6384" s="9"/>
      <c r="AC6384" s="38">
        <v>0</v>
      </c>
    </row>
    <row r="6385" spans="1:29" x14ac:dyDescent="0.25">
      <c r="A6385" s="22">
        <v>44736</v>
      </c>
      <c r="B6385" s="6">
        <v>0</v>
      </c>
      <c r="C6385" s="6">
        <v>0</v>
      </c>
      <c r="D6385" s="6">
        <v>2</v>
      </c>
      <c r="E6385" s="7"/>
      <c r="F6385" s="8">
        <v>0</v>
      </c>
      <c r="G6385" s="6">
        <v>0</v>
      </c>
      <c r="H6385" s="7">
        <v>0</v>
      </c>
      <c r="I6385" s="6">
        <v>1.4</v>
      </c>
      <c r="J6385" s="6">
        <v>0</v>
      </c>
      <c r="K6385" s="6">
        <v>0.8</v>
      </c>
      <c r="L6385" s="7">
        <v>1.27</v>
      </c>
      <c r="M6385" s="6">
        <v>0.6</v>
      </c>
      <c r="N6385" s="8">
        <v>0.8</v>
      </c>
      <c r="O6385" s="7"/>
      <c r="P6385" s="7">
        <v>0</v>
      </c>
      <c r="Q6385" s="6">
        <v>3.8</v>
      </c>
      <c r="R6385" s="6">
        <v>0</v>
      </c>
      <c r="S6385" s="8">
        <v>0</v>
      </c>
      <c r="T6385" s="8">
        <v>0</v>
      </c>
      <c r="U6385" s="6">
        <v>10</v>
      </c>
      <c r="V6385" s="7"/>
      <c r="W6385" s="7"/>
      <c r="X6385" s="6">
        <v>0</v>
      </c>
      <c r="Y6385" s="7"/>
      <c r="Z6385" s="7">
        <v>0</v>
      </c>
      <c r="AA6385" s="9"/>
      <c r="AC6385" s="38">
        <v>0</v>
      </c>
    </row>
    <row r="6386" spans="1:29" x14ac:dyDescent="0.25">
      <c r="A6386" s="22">
        <v>44737</v>
      </c>
      <c r="B6386" s="6">
        <v>0</v>
      </c>
      <c r="C6386" s="6">
        <v>0</v>
      </c>
      <c r="D6386" s="6">
        <v>0</v>
      </c>
      <c r="E6386" s="7"/>
      <c r="F6386" s="8">
        <v>0</v>
      </c>
      <c r="G6386" s="6">
        <v>2.5</v>
      </c>
      <c r="H6386" s="7">
        <v>0</v>
      </c>
      <c r="I6386" s="6">
        <v>1</v>
      </c>
      <c r="J6386" s="6">
        <v>0</v>
      </c>
      <c r="K6386" s="6">
        <v>0</v>
      </c>
      <c r="L6386" s="7">
        <v>9.3979999999999997</v>
      </c>
      <c r="M6386" s="6">
        <v>0</v>
      </c>
      <c r="N6386" s="8">
        <v>0</v>
      </c>
      <c r="O6386" s="7"/>
      <c r="P6386" s="7">
        <v>2.5</v>
      </c>
      <c r="Q6386" s="6">
        <v>8</v>
      </c>
      <c r="R6386" s="6">
        <v>12</v>
      </c>
      <c r="S6386" s="8">
        <v>0</v>
      </c>
      <c r="T6386" s="8">
        <v>0</v>
      </c>
      <c r="U6386" s="6">
        <v>0</v>
      </c>
      <c r="V6386" s="7"/>
      <c r="W6386" s="7"/>
      <c r="X6386" s="6">
        <v>0</v>
      </c>
      <c r="Y6386" s="7"/>
      <c r="Z6386" s="7">
        <v>12</v>
      </c>
      <c r="AA6386" s="9"/>
      <c r="AC6386" s="38">
        <v>0</v>
      </c>
    </row>
    <row r="6387" spans="1:29" x14ac:dyDescent="0.25">
      <c r="A6387" s="22">
        <v>44738</v>
      </c>
      <c r="B6387" s="6">
        <v>27</v>
      </c>
      <c r="C6387" s="6">
        <v>6</v>
      </c>
      <c r="D6387" s="6">
        <v>4</v>
      </c>
      <c r="E6387" s="7"/>
      <c r="F6387" s="8">
        <v>12</v>
      </c>
      <c r="G6387" s="6">
        <v>6.1</v>
      </c>
      <c r="H6387" s="7">
        <v>6.5</v>
      </c>
      <c r="I6387" s="6">
        <v>2.8</v>
      </c>
      <c r="J6387" s="6">
        <v>8.8000000000000007</v>
      </c>
      <c r="K6387" s="6">
        <v>10</v>
      </c>
      <c r="L6387" s="7">
        <v>16.509999999999998</v>
      </c>
      <c r="M6387" s="6">
        <v>6.4</v>
      </c>
      <c r="N6387" s="8">
        <v>0.4</v>
      </c>
      <c r="O6387" s="7"/>
      <c r="P6387" s="7">
        <v>9</v>
      </c>
      <c r="Q6387" s="6">
        <v>19</v>
      </c>
      <c r="R6387" s="6">
        <v>19</v>
      </c>
      <c r="S6387" s="8">
        <v>0</v>
      </c>
      <c r="T6387" s="8">
        <v>10.4</v>
      </c>
      <c r="U6387" s="6">
        <v>5</v>
      </c>
      <c r="V6387" s="7"/>
      <c r="W6387" s="7"/>
      <c r="X6387" s="6">
        <v>8</v>
      </c>
      <c r="Y6387" s="7"/>
      <c r="Z6387" s="7">
        <v>0</v>
      </c>
      <c r="AA6387" s="9"/>
      <c r="AC6387" s="38">
        <v>20</v>
      </c>
    </row>
    <row r="6388" spans="1:29" x14ac:dyDescent="0.25">
      <c r="A6388" s="22">
        <v>44739</v>
      </c>
      <c r="B6388" s="6">
        <v>23</v>
      </c>
      <c r="C6388" s="6">
        <v>31.6</v>
      </c>
      <c r="D6388" s="6">
        <v>48</v>
      </c>
      <c r="E6388" s="7"/>
      <c r="F6388" s="8">
        <v>11.8</v>
      </c>
      <c r="G6388" s="6">
        <v>29.5</v>
      </c>
      <c r="H6388" s="7">
        <v>19</v>
      </c>
      <c r="I6388" s="6">
        <v>27</v>
      </c>
      <c r="J6388" s="6">
        <v>22.5</v>
      </c>
      <c r="K6388" s="6">
        <v>24</v>
      </c>
      <c r="L6388" s="7">
        <v>4.3180000000000005</v>
      </c>
      <c r="M6388" s="6">
        <v>26</v>
      </c>
      <c r="N6388" s="8">
        <v>32.6</v>
      </c>
      <c r="O6388" s="7"/>
      <c r="P6388" s="7">
        <v>8.5</v>
      </c>
      <c r="Q6388" s="6">
        <v>3</v>
      </c>
      <c r="R6388" s="6">
        <v>8</v>
      </c>
      <c r="S6388" s="8">
        <v>0.4</v>
      </c>
      <c r="T6388" s="8">
        <v>6</v>
      </c>
      <c r="U6388" s="6">
        <v>5.6</v>
      </c>
      <c r="V6388" s="7"/>
      <c r="W6388" s="7"/>
      <c r="X6388" s="6">
        <v>23</v>
      </c>
      <c r="Y6388" s="7"/>
      <c r="Z6388" s="7">
        <v>88</v>
      </c>
      <c r="AA6388" s="9"/>
      <c r="AC6388" s="38">
        <v>2</v>
      </c>
    </row>
    <row r="6389" spans="1:29" x14ac:dyDescent="0.25">
      <c r="A6389" s="22">
        <v>44740</v>
      </c>
      <c r="B6389" s="6">
        <v>8</v>
      </c>
      <c r="C6389" s="6">
        <v>9.1999999999999993</v>
      </c>
      <c r="D6389" s="6">
        <v>30</v>
      </c>
      <c r="E6389" s="7"/>
      <c r="F6389" s="8">
        <v>63</v>
      </c>
      <c r="G6389" s="6">
        <v>7</v>
      </c>
      <c r="H6389" s="7">
        <v>6.2</v>
      </c>
      <c r="I6389" s="6">
        <v>6.1</v>
      </c>
      <c r="J6389" s="6">
        <v>16.399999999999999</v>
      </c>
      <c r="K6389" s="6">
        <v>30.6</v>
      </c>
      <c r="L6389" s="7">
        <v>72.897999999999996</v>
      </c>
      <c r="M6389" s="6">
        <v>8</v>
      </c>
      <c r="N6389" s="8">
        <v>77.599999999999994</v>
      </c>
      <c r="O6389" s="7"/>
      <c r="P6389" s="7">
        <v>3</v>
      </c>
      <c r="Q6389" s="6">
        <v>74</v>
      </c>
      <c r="R6389" s="6">
        <v>51</v>
      </c>
      <c r="S6389" s="8">
        <v>7.8</v>
      </c>
      <c r="T6389" s="8">
        <v>26.2</v>
      </c>
      <c r="U6389" s="6">
        <v>26</v>
      </c>
      <c r="V6389" s="7"/>
      <c r="W6389" s="7"/>
      <c r="X6389" s="6">
        <v>0</v>
      </c>
      <c r="Y6389" s="7"/>
      <c r="Z6389" s="7">
        <v>50</v>
      </c>
      <c r="AA6389" s="9"/>
      <c r="AC6389" s="38">
        <v>84</v>
      </c>
    </row>
    <row r="6390" spans="1:29" x14ac:dyDescent="0.25">
      <c r="A6390" s="22">
        <v>44741</v>
      </c>
      <c r="B6390" s="6">
        <v>102</v>
      </c>
      <c r="C6390" s="6">
        <v>112.8</v>
      </c>
      <c r="D6390" s="6">
        <v>96</v>
      </c>
      <c r="E6390" s="7"/>
      <c r="F6390" s="8">
        <v>65.2</v>
      </c>
      <c r="G6390" s="6">
        <v>130</v>
      </c>
      <c r="H6390" s="7">
        <v>104.2</v>
      </c>
      <c r="I6390" s="6">
        <v>104</v>
      </c>
      <c r="J6390" s="6">
        <v>146.4</v>
      </c>
      <c r="K6390" s="6">
        <v>75</v>
      </c>
      <c r="L6390" s="7">
        <v>13.97</v>
      </c>
      <c r="M6390" s="6">
        <v>116.4</v>
      </c>
      <c r="N6390" s="8">
        <v>68.8</v>
      </c>
      <c r="O6390" s="7"/>
      <c r="P6390" s="7">
        <v>81</v>
      </c>
      <c r="Q6390" s="6">
        <v>19</v>
      </c>
      <c r="R6390" s="6">
        <v>41.2</v>
      </c>
      <c r="S6390" s="8">
        <v>1.2</v>
      </c>
      <c r="T6390" s="8">
        <v>18.600000000000001</v>
      </c>
      <c r="U6390" s="6">
        <v>31</v>
      </c>
      <c r="V6390" s="7"/>
      <c r="W6390" s="7"/>
      <c r="X6390" s="6">
        <v>102</v>
      </c>
      <c r="Y6390" s="7"/>
      <c r="Z6390" s="7">
        <v>4</v>
      </c>
      <c r="AA6390" s="9"/>
      <c r="AC6390" s="38">
        <v>59</v>
      </c>
    </row>
    <row r="6391" spans="1:29" x14ac:dyDescent="0.25">
      <c r="A6391" s="22">
        <v>44742</v>
      </c>
      <c r="B6391" s="7">
        <v>0</v>
      </c>
      <c r="C6391" s="6">
        <v>22</v>
      </c>
      <c r="D6391" s="6">
        <v>32</v>
      </c>
      <c r="E6391" s="7"/>
      <c r="F6391" s="8">
        <v>4.5999999999999996</v>
      </c>
      <c r="G6391" s="6">
        <v>36</v>
      </c>
      <c r="H6391" s="7">
        <v>21.8</v>
      </c>
      <c r="I6391" s="6">
        <v>34.200000000000003</v>
      </c>
      <c r="J6391" s="6">
        <v>36.200000000000003</v>
      </c>
      <c r="K6391" s="6">
        <v>40.200000000000003</v>
      </c>
      <c r="L6391" s="7">
        <v>10.921999999999999</v>
      </c>
      <c r="M6391" s="6">
        <v>27.6</v>
      </c>
      <c r="N6391" s="8">
        <v>10</v>
      </c>
      <c r="O6391" s="7"/>
      <c r="P6391" s="7">
        <v>8</v>
      </c>
      <c r="Q6391" s="6">
        <v>6</v>
      </c>
      <c r="R6391" s="6">
        <v>2</v>
      </c>
      <c r="S6391" s="8">
        <v>0</v>
      </c>
      <c r="T6391" s="8">
        <v>5.8</v>
      </c>
      <c r="U6391" s="6">
        <v>50</v>
      </c>
      <c r="V6391" s="7">
        <v>326.89999999999998</v>
      </c>
      <c r="W6391" s="7">
        <v>373.4</v>
      </c>
      <c r="X6391" s="6">
        <v>21</v>
      </c>
      <c r="Y6391" s="7">
        <v>147</v>
      </c>
      <c r="Z6391" s="7">
        <v>16</v>
      </c>
      <c r="AA6391" s="9"/>
      <c r="AC6391" s="38">
        <v>0</v>
      </c>
    </row>
    <row r="6392" spans="1:29" x14ac:dyDescent="0.25">
      <c r="A6392" s="22">
        <v>44743</v>
      </c>
      <c r="B6392" s="7">
        <v>29</v>
      </c>
      <c r="C6392" s="7">
        <v>9</v>
      </c>
      <c r="D6392" s="7">
        <v>8</v>
      </c>
      <c r="E6392" s="7">
        <v>6</v>
      </c>
      <c r="F6392" s="8">
        <v>5</v>
      </c>
      <c r="G6392" s="7">
        <v>19</v>
      </c>
      <c r="H6392" s="7">
        <v>14.9</v>
      </c>
      <c r="I6392" s="7">
        <v>34.200000000000003</v>
      </c>
      <c r="J6392" s="7">
        <v>12.3</v>
      </c>
      <c r="K6392" s="7">
        <v>11.9</v>
      </c>
      <c r="L6392" s="7">
        <v>9.3979999999999997</v>
      </c>
      <c r="M6392" s="7">
        <v>22</v>
      </c>
      <c r="N6392" s="8">
        <v>10.8</v>
      </c>
      <c r="O6392" s="7"/>
      <c r="P6392" s="7">
        <v>9</v>
      </c>
      <c r="Q6392" s="7">
        <v>6</v>
      </c>
      <c r="R6392" s="7">
        <v>17</v>
      </c>
      <c r="S6392" s="8"/>
      <c r="T6392" s="8">
        <v>30</v>
      </c>
      <c r="U6392" s="7">
        <v>5</v>
      </c>
      <c r="V6392" s="7">
        <v>8.5</v>
      </c>
      <c r="W6392" s="7">
        <v>0.2</v>
      </c>
      <c r="X6392" s="7">
        <v>15</v>
      </c>
      <c r="Y6392" s="7">
        <v>12</v>
      </c>
      <c r="Z6392" s="7">
        <v>12</v>
      </c>
      <c r="AA6392" s="9"/>
      <c r="AC6392" s="38">
        <v>25</v>
      </c>
    </row>
    <row r="6393" spans="1:29" x14ac:dyDescent="0.25">
      <c r="A6393" s="22">
        <v>44744</v>
      </c>
      <c r="B6393" s="7">
        <v>0</v>
      </c>
      <c r="C6393" s="7">
        <v>4</v>
      </c>
      <c r="D6393" s="7">
        <v>8</v>
      </c>
      <c r="E6393" s="7">
        <v>0</v>
      </c>
      <c r="F6393" s="8">
        <v>28.1</v>
      </c>
      <c r="G6393" s="7">
        <v>26</v>
      </c>
      <c r="H6393" s="7">
        <v>23.4</v>
      </c>
      <c r="I6393" s="7">
        <v>32.299999999999997</v>
      </c>
      <c r="J6393" s="7">
        <v>16.5</v>
      </c>
      <c r="K6393" s="7">
        <v>10.6</v>
      </c>
      <c r="L6393" s="7">
        <v>21.081999999999997</v>
      </c>
      <c r="M6393" s="7">
        <v>22</v>
      </c>
      <c r="N6393" s="8">
        <v>2.6</v>
      </c>
      <c r="O6393" s="7"/>
      <c r="P6393" s="7"/>
      <c r="Q6393" s="7">
        <v>13.4</v>
      </c>
      <c r="R6393" s="7">
        <v>2</v>
      </c>
      <c r="S6393" s="8"/>
      <c r="T6393" s="8">
        <v>1.6</v>
      </c>
      <c r="U6393" s="7">
        <v>0</v>
      </c>
      <c r="V6393" s="7">
        <v>25.2</v>
      </c>
      <c r="W6393" s="7">
        <v>1.4</v>
      </c>
      <c r="X6393" s="7">
        <v>5</v>
      </c>
      <c r="Y6393" s="7">
        <v>6</v>
      </c>
      <c r="Z6393" s="7">
        <v>0.2</v>
      </c>
      <c r="AA6393" s="9"/>
      <c r="AC6393" s="38">
        <v>0</v>
      </c>
    </row>
    <row r="6394" spans="1:29" x14ac:dyDescent="0.25">
      <c r="A6394" s="22">
        <v>44745</v>
      </c>
      <c r="B6394" s="7">
        <v>22.5</v>
      </c>
      <c r="C6394" s="7">
        <v>12</v>
      </c>
      <c r="D6394" s="7">
        <v>1</v>
      </c>
      <c r="E6394" s="7">
        <v>20</v>
      </c>
      <c r="F6394" s="30" t="s">
        <v>9</v>
      </c>
      <c r="G6394" s="7">
        <v>0.1</v>
      </c>
      <c r="H6394" s="30" t="s">
        <v>9</v>
      </c>
      <c r="I6394" s="7">
        <v>1.1000000000000001</v>
      </c>
      <c r="J6394" s="7">
        <v>2</v>
      </c>
      <c r="K6394" s="30" t="s">
        <v>9</v>
      </c>
      <c r="L6394" s="7">
        <v>2.794</v>
      </c>
      <c r="M6394" s="7">
        <v>6</v>
      </c>
      <c r="N6394" s="8">
        <v>1.2</v>
      </c>
      <c r="O6394" s="7"/>
      <c r="P6394" s="7">
        <v>25</v>
      </c>
      <c r="Q6394" s="7">
        <v>2</v>
      </c>
      <c r="R6394" s="7">
        <v>0</v>
      </c>
      <c r="S6394" s="8"/>
      <c r="T6394" s="8">
        <v>3.4</v>
      </c>
      <c r="U6394" s="7">
        <v>4</v>
      </c>
      <c r="V6394" s="7">
        <v>0</v>
      </c>
      <c r="W6394" s="7">
        <v>0</v>
      </c>
      <c r="X6394" s="7">
        <v>0</v>
      </c>
      <c r="Y6394" s="7">
        <v>6</v>
      </c>
      <c r="Z6394" s="7">
        <v>7</v>
      </c>
      <c r="AA6394" s="9"/>
      <c r="AC6394" s="38">
        <v>0</v>
      </c>
    </row>
    <row r="6395" spans="1:29" x14ac:dyDescent="0.25">
      <c r="A6395" s="22">
        <v>44746</v>
      </c>
      <c r="B6395" s="7">
        <v>29</v>
      </c>
      <c r="C6395" s="7">
        <v>9</v>
      </c>
      <c r="D6395" s="7">
        <v>8</v>
      </c>
      <c r="E6395" s="7">
        <v>0</v>
      </c>
      <c r="F6395" s="30" t="s">
        <v>9</v>
      </c>
      <c r="G6395" s="7">
        <v>2</v>
      </c>
      <c r="H6395" s="30" t="s">
        <v>9</v>
      </c>
      <c r="I6395" s="7">
        <v>0.2</v>
      </c>
      <c r="J6395" s="7">
        <v>0.6</v>
      </c>
      <c r="K6395" s="7">
        <v>2</v>
      </c>
      <c r="L6395" s="7">
        <v>0</v>
      </c>
      <c r="M6395" s="30" t="s">
        <v>9</v>
      </c>
      <c r="N6395" s="8">
        <v>0.4</v>
      </c>
      <c r="O6395" s="7"/>
      <c r="P6395" s="7"/>
      <c r="Q6395" s="9">
        <v>6</v>
      </c>
      <c r="R6395" s="7">
        <v>17</v>
      </c>
      <c r="S6395" s="8"/>
      <c r="T6395" s="8">
        <v>0</v>
      </c>
      <c r="U6395" s="7">
        <v>5</v>
      </c>
      <c r="V6395" s="7" t="s">
        <v>9</v>
      </c>
      <c r="W6395" s="7" t="s">
        <v>9</v>
      </c>
      <c r="X6395" s="7">
        <v>15</v>
      </c>
      <c r="Y6395" s="7">
        <v>12</v>
      </c>
      <c r="Z6395" s="7">
        <v>12</v>
      </c>
      <c r="AA6395" s="9"/>
      <c r="AC6395" s="38">
        <v>0</v>
      </c>
    </row>
    <row r="6396" spans="1:29" x14ac:dyDescent="0.25">
      <c r="A6396" s="22">
        <v>44747</v>
      </c>
      <c r="B6396" s="7">
        <v>0</v>
      </c>
      <c r="C6396" s="7">
        <v>2.4</v>
      </c>
      <c r="D6396" s="7">
        <v>1</v>
      </c>
      <c r="E6396" s="7">
        <v>0</v>
      </c>
      <c r="F6396" s="8">
        <v>0.1</v>
      </c>
      <c r="G6396" s="7">
        <v>0.5</v>
      </c>
      <c r="H6396" s="30" t="s">
        <v>9</v>
      </c>
      <c r="I6396" s="30" t="s">
        <v>9</v>
      </c>
      <c r="J6396" s="7">
        <v>0.8</v>
      </c>
      <c r="K6396" s="7">
        <v>1</v>
      </c>
      <c r="L6396" s="7">
        <v>0</v>
      </c>
      <c r="M6396" s="7">
        <v>0.4</v>
      </c>
      <c r="N6396" s="8">
        <v>5.4</v>
      </c>
      <c r="O6396" s="7"/>
      <c r="P6396" s="7">
        <v>0</v>
      </c>
      <c r="Q6396" s="7">
        <v>1</v>
      </c>
      <c r="R6396" s="7">
        <v>0</v>
      </c>
      <c r="S6396" s="8"/>
      <c r="T6396" s="8">
        <v>8.6</v>
      </c>
      <c r="U6396" s="7">
        <v>0</v>
      </c>
      <c r="V6396" s="7" t="s">
        <v>9</v>
      </c>
      <c r="W6396" s="7" t="s">
        <v>9</v>
      </c>
      <c r="X6396" s="7">
        <v>0</v>
      </c>
      <c r="Y6396" s="7">
        <v>0</v>
      </c>
      <c r="Z6396" s="7">
        <v>0</v>
      </c>
      <c r="AA6396" s="9"/>
      <c r="AC6396" s="38">
        <v>1</v>
      </c>
    </row>
    <row r="6397" spans="1:29" x14ac:dyDescent="0.25">
      <c r="A6397" s="22">
        <v>44748</v>
      </c>
      <c r="B6397" s="7">
        <v>49</v>
      </c>
      <c r="C6397" s="7">
        <v>21.8</v>
      </c>
      <c r="D6397" s="7">
        <v>20</v>
      </c>
      <c r="E6397" s="7">
        <v>35</v>
      </c>
      <c r="F6397" s="8">
        <v>20.100000000000001</v>
      </c>
      <c r="G6397" s="7">
        <v>16.5</v>
      </c>
      <c r="H6397" s="7">
        <v>15.2</v>
      </c>
      <c r="I6397" s="7">
        <v>13</v>
      </c>
      <c r="J6397" s="7">
        <v>24.5</v>
      </c>
      <c r="K6397" s="7">
        <v>20</v>
      </c>
      <c r="L6397" s="7">
        <v>37.845999999999997</v>
      </c>
      <c r="M6397" s="7">
        <v>14.8</v>
      </c>
      <c r="N6397" s="8">
        <v>14.8</v>
      </c>
      <c r="O6397" s="7"/>
      <c r="P6397" s="7">
        <v>45.5</v>
      </c>
      <c r="Q6397" s="7">
        <v>36.299999999999997</v>
      </c>
      <c r="R6397" s="7">
        <v>28</v>
      </c>
      <c r="S6397" s="8"/>
      <c r="T6397" s="8">
        <v>2.4</v>
      </c>
      <c r="U6397" s="7">
        <v>24</v>
      </c>
      <c r="V6397" s="7">
        <v>18.5</v>
      </c>
      <c r="W6397" s="7">
        <v>12.7</v>
      </c>
      <c r="X6397" s="7">
        <v>19</v>
      </c>
      <c r="Y6397" s="7">
        <v>10</v>
      </c>
      <c r="Z6397" s="7">
        <v>12</v>
      </c>
      <c r="AA6397" s="9"/>
      <c r="AC6397" s="38">
        <v>9</v>
      </c>
    </row>
    <row r="6398" spans="1:29" x14ac:dyDescent="0.25">
      <c r="A6398" s="22">
        <v>44749</v>
      </c>
      <c r="B6398" s="30" t="s">
        <v>9</v>
      </c>
      <c r="C6398" s="7">
        <v>5.6</v>
      </c>
      <c r="D6398" s="7">
        <v>5.6</v>
      </c>
      <c r="E6398" s="7">
        <v>0</v>
      </c>
      <c r="F6398" s="30" t="s">
        <v>9</v>
      </c>
      <c r="G6398" s="30" t="s">
        <v>9</v>
      </c>
      <c r="H6398" s="30" t="s">
        <v>9</v>
      </c>
      <c r="I6398" s="7">
        <v>0.1</v>
      </c>
      <c r="J6398" s="30" t="s">
        <v>9</v>
      </c>
      <c r="K6398" s="7">
        <v>0.5</v>
      </c>
      <c r="L6398" s="7">
        <v>0</v>
      </c>
      <c r="M6398" s="30" t="s">
        <v>9</v>
      </c>
      <c r="N6398" s="8">
        <v>0.4</v>
      </c>
      <c r="O6398" s="7"/>
      <c r="P6398" s="7" t="s">
        <v>9</v>
      </c>
      <c r="Q6398" s="7" t="s">
        <v>9</v>
      </c>
      <c r="R6398" s="7" t="s">
        <v>9</v>
      </c>
      <c r="S6398" s="8"/>
      <c r="T6398" s="8">
        <v>1</v>
      </c>
      <c r="U6398" s="7" t="s">
        <v>9</v>
      </c>
      <c r="V6398" s="7" t="s">
        <v>9</v>
      </c>
      <c r="W6398" s="7" t="s">
        <v>9</v>
      </c>
      <c r="X6398" s="7" t="s">
        <v>9</v>
      </c>
      <c r="Y6398" s="7" t="s">
        <v>9</v>
      </c>
      <c r="Z6398" s="7" t="s">
        <v>9</v>
      </c>
      <c r="AA6398" s="9"/>
      <c r="AC6398" s="38">
        <v>0</v>
      </c>
    </row>
    <row r="6399" spans="1:29" x14ac:dyDescent="0.25">
      <c r="A6399" s="22">
        <v>44750</v>
      </c>
      <c r="B6399" s="30" t="s">
        <v>9</v>
      </c>
      <c r="C6399" s="7">
        <v>0.4</v>
      </c>
      <c r="D6399" s="30" t="s">
        <v>9</v>
      </c>
      <c r="E6399" s="7">
        <v>0</v>
      </c>
      <c r="F6399" s="30" t="s">
        <v>9</v>
      </c>
      <c r="G6399" s="30" t="s">
        <v>9</v>
      </c>
      <c r="H6399" s="30" t="s">
        <v>9</v>
      </c>
      <c r="I6399" s="30" t="s">
        <v>9</v>
      </c>
      <c r="J6399" s="30" t="s">
        <v>9</v>
      </c>
      <c r="K6399" s="30" t="s">
        <v>9</v>
      </c>
      <c r="L6399" s="7">
        <v>0</v>
      </c>
      <c r="M6399" s="30" t="s">
        <v>9</v>
      </c>
      <c r="N6399" s="8">
        <v>3</v>
      </c>
      <c r="O6399" s="7"/>
      <c r="P6399" s="7" t="s">
        <v>9</v>
      </c>
      <c r="Q6399" s="7" t="s">
        <v>9</v>
      </c>
      <c r="R6399" s="7" t="s">
        <v>9</v>
      </c>
      <c r="S6399" s="8"/>
      <c r="T6399" s="8">
        <v>2.6</v>
      </c>
      <c r="U6399" s="7">
        <v>3</v>
      </c>
      <c r="V6399" s="7" t="s">
        <v>9</v>
      </c>
      <c r="W6399" s="7" t="s">
        <v>9</v>
      </c>
      <c r="X6399" s="7" t="s">
        <v>9</v>
      </c>
      <c r="Y6399" s="7" t="s">
        <v>9</v>
      </c>
      <c r="Z6399" s="7" t="s">
        <v>9</v>
      </c>
      <c r="AA6399" s="9"/>
      <c r="AC6399" s="38">
        <v>6</v>
      </c>
    </row>
    <row r="6400" spans="1:29" x14ac:dyDescent="0.25">
      <c r="A6400" s="22">
        <v>44751</v>
      </c>
      <c r="B6400" s="7">
        <v>20</v>
      </c>
      <c r="C6400" s="7">
        <v>11.6</v>
      </c>
      <c r="D6400" s="7">
        <v>18</v>
      </c>
      <c r="E6400" s="7">
        <v>0</v>
      </c>
      <c r="F6400" s="8">
        <v>11</v>
      </c>
      <c r="G6400" s="7">
        <v>19</v>
      </c>
      <c r="H6400" s="7">
        <v>14</v>
      </c>
      <c r="I6400" s="7">
        <v>13</v>
      </c>
      <c r="J6400" s="7">
        <v>16.2</v>
      </c>
      <c r="K6400" s="7">
        <v>20.2</v>
      </c>
      <c r="L6400" s="7">
        <v>8.1280000000000001</v>
      </c>
      <c r="M6400" s="7">
        <v>16.8</v>
      </c>
      <c r="N6400" s="8">
        <v>15.4</v>
      </c>
      <c r="O6400" s="7"/>
      <c r="P6400" s="7">
        <v>12.5</v>
      </c>
      <c r="Q6400" s="7">
        <v>12.4</v>
      </c>
      <c r="R6400" s="7">
        <v>13</v>
      </c>
      <c r="S6400" s="8"/>
      <c r="T6400" s="8">
        <v>4.2</v>
      </c>
      <c r="U6400" s="7">
        <v>8</v>
      </c>
      <c r="V6400" s="7">
        <v>17.2</v>
      </c>
      <c r="W6400" s="7">
        <v>15</v>
      </c>
      <c r="X6400" s="7">
        <v>4</v>
      </c>
      <c r="Y6400" s="7">
        <v>5</v>
      </c>
      <c r="Z6400" s="7">
        <v>6</v>
      </c>
      <c r="AA6400" s="9"/>
      <c r="AC6400" s="38">
        <v>7</v>
      </c>
    </row>
    <row r="6401" spans="1:29" x14ac:dyDescent="0.25">
      <c r="A6401" s="22">
        <v>44752</v>
      </c>
      <c r="B6401" s="30" t="s">
        <v>10</v>
      </c>
      <c r="C6401" s="7">
        <v>4.8</v>
      </c>
      <c r="D6401" s="7">
        <v>4.8</v>
      </c>
      <c r="E6401" s="7">
        <v>14</v>
      </c>
      <c r="F6401" s="8">
        <v>0.3</v>
      </c>
      <c r="G6401" s="7">
        <v>3.9</v>
      </c>
      <c r="H6401" s="7">
        <v>0.5</v>
      </c>
      <c r="I6401" s="7">
        <v>1.8</v>
      </c>
      <c r="J6401" s="7">
        <v>2.9</v>
      </c>
      <c r="K6401" s="7">
        <v>4.4000000000000004</v>
      </c>
      <c r="L6401" s="7">
        <v>0.50800000000000001</v>
      </c>
      <c r="M6401" s="7">
        <v>2.2000000000000002</v>
      </c>
      <c r="N6401" s="8">
        <v>0.4</v>
      </c>
      <c r="O6401" s="7"/>
      <c r="P6401" s="7" t="s">
        <v>9</v>
      </c>
      <c r="Q6401" s="7" t="s">
        <v>9</v>
      </c>
      <c r="R6401" s="7">
        <v>1</v>
      </c>
      <c r="S6401" s="8"/>
      <c r="T6401" s="8">
        <v>0</v>
      </c>
      <c r="U6401" s="7" t="s">
        <v>9</v>
      </c>
      <c r="V6401" s="7">
        <v>0.6</v>
      </c>
      <c r="W6401" s="7">
        <v>0.2</v>
      </c>
      <c r="X6401" s="7">
        <v>10</v>
      </c>
      <c r="Y6401" s="7" t="s">
        <v>9</v>
      </c>
      <c r="Z6401" s="7">
        <v>2</v>
      </c>
      <c r="AA6401" s="9"/>
      <c r="AC6401" s="38">
        <v>0</v>
      </c>
    </row>
    <row r="6402" spans="1:29" x14ac:dyDescent="0.25">
      <c r="A6402" s="22">
        <v>44753</v>
      </c>
      <c r="B6402" s="30" t="s">
        <v>9</v>
      </c>
      <c r="C6402" s="30" t="s">
        <v>9</v>
      </c>
      <c r="D6402" s="7">
        <v>2</v>
      </c>
      <c r="E6402" s="7">
        <v>0</v>
      </c>
      <c r="F6402" s="30" t="s">
        <v>9</v>
      </c>
      <c r="G6402" s="30" t="s">
        <v>9</v>
      </c>
      <c r="H6402" s="30" t="s">
        <v>9</v>
      </c>
      <c r="I6402" s="30" t="s">
        <v>9</v>
      </c>
      <c r="J6402" s="30" t="s">
        <v>9</v>
      </c>
      <c r="K6402" s="30" t="s">
        <v>9</v>
      </c>
      <c r="L6402" s="7">
        <v>0</v>
      </c>
      <c r="M6402" s="7">
        <v>2.2999999999999998</v>
      </c>
      <c r="N6402" s="8">
        <v>0.6</v>
      </c>
      <c r="O6402" s="7"/>
      <c r="P6402" s="7" t="s">
        <v>9</v>
      </c>
      <c r="Q6402" s="7" t="s">
        <v>9</v>
      </c>
      <c r="R6402" s="7" t="s">
        <v>9</v>
      </c>
      <c r="S6402" s="8"/>
      <c r="T6402" s="8">
        <v>0</v>
      </c>
      <c r="U6402" s="7">
        <v>16</v>
      </c>
      <c r="V6402" s="7" t="s">
        <v>9</v>
      </c>
      <c r="W6402" s="7" t="s">
        <v>9</v>
      </c>
      <c r="X6402" s="7" t="s">
        <v>9</v>
      </c>
      <c r="Y6402" s="7" t="s">
        <v>9</v>
      </c>
      <c r="Z6402" s="7" t="s">
        <v>9</v>
      </c>
      <c r="AA6402" s="9"/>
      <c r="AC6402" s="38">
        <v>0</v>
      </c>
    </row>
    <row r="6403" spans="1:29" x14ac:dyDescent="0.25">
      <c r="A6403" s="22">
        <v>44754</v>
      </c>
      <c r="B6403" s="30" t="s">
        <v>9</v>
      </c>
      <c r="C6403" s="7">
        <v>0.8</v>
      </c>
      <c r="D6403" s="30" t="s">
        <v>9</v>
      </c>
      <c r="E6403" s="7">
        <v>0</v>
      </c>
      <c r="F6403" s="30" t="s">
        <v>9</v>
      </c>
      <c r="G6403" s="30" t="s">
        <v>9</v>
      </c>
      <c r="H6403" s="30" t="s">
        <v>9</v>
      </c>
      <c r="I6403" s="7">
        <v>2.1</v>
      </c>
      <c r="J6403" s="30" t="s">
        <v>9</v>
      </c>
      <c r="K6403" s="30" t="s">
        <v>9</v>
      </c>
      <c r="L6403" s="7">
        <v>0</v>
      </c>
      <c r="M6403" s="30" t="s">
        <v>9</v>
      </c>
      <c r="N6403" s="8">
        <v>0.2</v>
      </c>
      <c r="O6403" s="7"/>
      <c r="P6403" s="7" t="s">
        <v>9</v>
      </c>
      <c r="Q6403" s="7" t="s">
        <v>9</v>
      </c>
      <c r="R6403" s="7" t="s">
        <v>9</v>
      </c>
      <c r="S6403" s="8"/>
      <c r="T6403" s="8">
        <v>0</v>
      </c>
      <c r="U6403" s="7">
        <v>5</v>
      </c>
      <c r="V6403" s="7" t="s">
        <v>9</v>
      </c>
      <c r="W6403" s="7" t="s">
        <v>9</v>
      </c>
      <c r="X6403" s="7" t="s">
        <v>9</v>
      </c>
      <c r="Y6403" s="7" t="s">
        <v>9</v>
      </c>
      <c r="Z6403" s="7" t="s">
        <v>9</v>
      </c>
      <c r="AA6403" s="9"/>
      <c r="AC6403" s="38">
        <v>0</v>
      </c>
    </row>
    <row r="6404" spans="1:29" x14ac:dyDescent="0.25">
      <c r="A6404" s="22">
        <v>44755</v>
      </c>
      <c r="B6404" s="30" t="s">
        <v>9</v>
      </c>
      <c r="C6404" s="7">
        <v>1</v>
      </c>
      <c r="D6404" s="7">
        <v>1.2</v>
      </c>
      <c r="E6404" s="7">
        <v>2</v>
      </c>
      <c r="F6404" s="30" t="s">
        <v>9</v>
      </c>
      <c r="G6404" s="7">
        <v>1.5</v>
      </c>
      <c r="H6404" s="30" t="s">
        <v>9</v>
      </c>
      <c r="I6404" s="7">
        <v>1.2</v>
      </c>
      <c r="J6404" s="7">
        <v>0.8</v>
      </c>
      <c r="K6404" s="7">
        <v>1</v>
      </c>
      <c r="L6404" s="7">
        <v>1.27</v>
      </c>
      <c r="M6404" s="7">
        <v>0.6</v>
      </c>
      <c r="N6404" s="8">
        <v>0.4</v>
      </c>
      <c r="O6404" s="7"/>
      <c r="P6404" s="7" t="s">
        <v>9</v>
      </c>
      <c r="Q6404" s="7" t="s">
        <v>9</v>
      </c>
      <c r="R6404" s="7" t="s">
        <v>9</v>
      </c>
      <c r="S6404" s="10"/>
      <c r="T6404" s="8">
        <v>0</v>
      </c>
      <c r="U6404" s="7" t="s">
        <v>9</v>
      </c>
      <c r="V6404" s="7">
        <v>0.5</v>
      </c>
      <c r="W6404" s="7" t="s">
        <v>9</v>
      </c>
      <c r="X6404" s="7" t="s">
        <v>9</v>
      </c>
      <c r="Y6404" s="7" t="s">
        <v>9</v>
      </c>
      <c r="Z6404" s="7" t="s">
        <v>9</v>
      </c>
      <c r="AA6404" s="9"/>
      <c r="AC6404" s="38">
        <v>0</v>
      </c>
    </row>
    <row r="6405" spans="1:29" x14ac:dyDescent="0.25">
      <c r="A6405" s="22">
        <v>44756</v>
      </c>
      <c r="B6405" s="7">
        <v>5.5</v>
      </c>
      <c r="C6405" s="7">
        <v>2.4</v>
      </c>
      <c r="D6405" s="30" t="s">
        <v>9</v>
      </c>
      <c r="E6405" s="7">
        <v>0</v>
      </c>
      <c r="F6405" s="30" t="s">
        <v>9</v>
      </c>
      <c r="G6405" s="7">
        <v>2</v>
      </c>
      <c r="H6405" s="7">
        <v>0.4</v>
      </c>
      <c r="I6405" s="7">
        <v>1</v>
      </c>
      <c r="J6405" s="7">
        <v>0.2</v>
      </c>
      <c r="K6405" s="30" t="s">
        <v>9</v>
      </c>
      <c r="L6405" s="7">
        <v>2.2859999999999996</v>
      </c>
      <c r="M6405" s="7">
        <v>1.8</v>
      </c>
      <c r="N6405" s="8">
        <v>0.2</v>
      </c>
      <c r="O6405" s="7"/>
      <c r="P6405" s="7">
        <v>0.5</v>
      </c>
      <c r="Q6405" s="7" t="s">
        <v>9</v>
      </c>
      <c r="R6405" s="7" t="s">
        <v>9</v>
      </c>
      <c r="S6405" s="10"/>
      <c r="T6405" s="8">
        <v>1.2</v>
      </c>
      <c r="U6405" s="7">
        <v>3</v>
      </c>
      <c r="V6405" s="7">
        <v>0.7</v>
      </c>
      <c r="W6405" s="7" t="s">
        <v>9</v>
      </c>
      <c r="X6405" s="7">
        <v>1</v>
      </c>
      <c r="Y6405" s="7">
        <v>1</v>
      </c>
      <c r="Z6405" s="7" t="s">
        <v>9</v>
      </c>
      <c r="AA6405" s="9"/>
      <c r="AC6405" s="38">
        <v>1</v>
      </c>
    </row>
    <row r="6406" spans="1:29" x14ac:dyDescent="0.25">
      <c r="A6406" s="22">
        <v>44757</v>
      </c>
      <c r="B6406" s="7">
        <v>11</v>
      </c>
      <c r="C6406" s="7">
        <v>2</v>
      </c>
      <c r="D6406" s="7">
        <v>4.8</v>
      </c>
      <c r="E6406" s="7">
        <v>4</v>
      </c>
      <c r="F6406" s="8">
        <v>4.3</v>
      </c>
      <c r="G6406" s="7">
        <v>4.5999999999999996</v>
      </c>
      <c r="H6406" s="7">
        <v>5</v>
      </c>
      <c r="I6406" s="7">
        <v>6.1</v>
      </c>
      <c r="J6406" s="7">
        <v>2.9</v>
      </c>
      <c r="K6406" s="7">
        <v>3.3</v>
      </c>
      <c r="L6406" s="7">
        <v>4.3180000000000005</v>
      </c>
      <c r="M6406" s="7">
        <v>6.4</v>
      </c>
      <c r="N6406" s="8">
        <v>17.2</v>
      </c>
      <c r="O6406" s="7"/>
      <c r="P6406" s="7">
        <v>5</v>
      </c>
      <c r="Q6406" s="7">
        <v>2.2999999999999998</v>
      </c>
      <c r="R6406" s="7">
        <v>2</v>
      </c>
      <c r="S6406" s="10"/>
      <c r="T6406" s="8">
        <v>19</v>
      </c>
      <c r="U6406" s="7">
        <v>9</v>
      </c>
      <c r="V6406" s="7" t="s">
        <v>9</v>
      </c>
      <c r="W6406" s="7" t="s">
        <v>9</v>
      </c>
      <c r="X6406" s="7" t="s">
        <v>9</v>
      </c>
      <c r="Y6406" s="7">
        <v>1</v>
      </c>
      <c r="Z6406" s="7">
        <v>6</v>
      </c>
      <c r="AA6406" s="9"/>
      <c r="AC6406" s="38">
        <v>11</v>
      </c>
    </row>
    <row r="6407" spans="1:29" x14ac:dyDescent="0.25">
      <c r="A6407" s="22">
        <v>44758</v>
      </c>
      <c r="B6407" s="7">
        <v>15</v>
      </c>
      <c r="C6407" s="7">
        <v>20.6</v>
      </c>
      <c r="D6407" s="7">
        <v>24</v>
      </c>
      <c r="E6407" s="7">
        <v>0</v>
      </c>
      <c r="F6407" s="8">
        <v>20.399999999999999</v>
      </c>
      <c r="G6407" s="7">
        <v>26</v>
      </c>
      <c r="H6407" s="7">
        <v>14.6</v>
      </c>
      <c r="I6407" s="7">
        <v>21</v>
      </c>
      <c r="J6407" s="7">
        <v>36.200000000000003</v>
      </c>
      <c r="K6407" s="7">
        <v>30.8</v>
      </c>
      <c r="L6407" s="7">
        <v>13.208</v>
      </c>
      <c r="M6407" s="7">
        <v>22.4</v>
      </c>
      <c r="N6407" s="8">
        <v>14</v>
      </c>
      <c r="O6407" s="7"/>
      <c r="P6407" s="7">
        <v>16</v>
      </c>
      <c r="Q6407" s="7">
        <v>20.7</v>
      </c>
      <c r="R6407" s="7">
        <v>21</v>
      </c>
      <c r="S6407" s="10"/>
      <c r="T6407" s="8">
        <v>1.6</v>
      </c>
      <c r="U6407" s="7">
        <v>13</v>
      </c>
      <c r="V6407" s="7">
        <v>24.2</v>
      </c>
      <c r="W6407" s="7">
        <v>23</v>
      </c>
      <c r="X6407" s="7">
        <v>4.5</v>
      </c>
      <c r="Y6407" s="7">
        <v>4</v>
      </c>
      <c r="Z6407" s="7">
        <v>0.2</v>
      </c>
      <c r="AA6407" s="9"/>
      <c r="AC6407" s="38">
        <v>12</v>
      </c>
    </row>
    <row r="6408" spans="1:29" x14ac:dyDescent="0.25">
      <c r="A6408" s="22">
        <v>44759</v>
      </c>
      <c r="B6408" s="7">
        <v>24</v>
      </c>
      <c r="C6408" s="7">
        <v>18</v>
      </c>
      <c r="D6408" s="7">
        <v>35.6</v>
      </c>
      <c r="E6408" s="7">
        <v>45</v>
      </c>
      <c r="F6408" s="8">
        <v>13.2</v>
      </c>
      <c r="G6408" s="7">
        <v>18.7</v>
      </c>
      <c r="H6408" s="7">
        <v>21</v>
      </c>
      <c r="I6408" s="7">
        <v>5.9</v>
      </c>
      <c r="J6408" s="7">
        <v>18.2</v>
      </c>
      <c r="K6408" s="7">
        <v>19.5</v>
      </c>
      <c r="L6408" s="7">
        <v>16.509999999999998</v>
      </c>
      <c r="M6408" s="7">
        <v>14.4</v>
      </c>
      <c r="N6408" s="8">
        <v>22</v>
      </c>
      <c r="O6408" s="7"/>
      <c r="P6408" s="7">
        <v>13.5</v>
      </c>
      <c r="Q6408" s="7">
        <v>18</v>
      </c>
      <c r="R6408" s="7">
        <v>17</v>
      </c>
      <c r="S6408" s="10"/>
      <c r="T6408" s="8">
        <v>6</v>
      </c>
      <c r="U6408" s="7">
        <v>50</v>
      </c>
      <c r="V6408" s="7">
        <v>13.5</v>
      </c>
      <c r="W6408" s="7">
        <v>13</v>
      </c>
      <c r="X6408" s="7">
        <v>32</v>
      </c>
      <c r="Y6408" s="7">
        <v>50</v>
      </c>
      <c r="Z6408" s="7">
        <v>16</v>
      </c>
      <c r="AA6408" s="9"/>
      <c r="AC6408" s="38">
        <v>7</v>
      </c>
    </row>
    <row r="6409" spans="1:29" x14ac:dyDescent="0.25">
      <c r="A6409" s="22">
        <v>44760</v>
      </c>
      <c r="B6409" s="7">
        <v>5.5</v>
      </c>
      <c r="C6409" s="7">
        <v>15.8</v>
      </c>
      <c r="D6409" s="7">
        <v>2</v>
      </c>
      <c r="E6409" s="7">
        <v>0</v>
      </c>
      <c r="F6409" s="8">
        <v>5.2</v>
      </c>
      <c r="G6409" s="7">
        <v>6.8</v>
      </c>
      <c r="H6409" s="7">
        <v>0</v>
      </c>
      <c r="I6409" s="7">
        <v>12.2</v>
      </c>
      <c r="J6409" s="7">
        <v>2.9</v>
      </c>
      <c r="K6409" s="7">
        <v>3.2</v>
      </c>
      <c r="L6409" s="7">
        <v>2.794</v>
      </c>
      <c r="M6409" s="7">
        <v>28.8</v>
      </c>
      <c r="N6409" s="8">
        <v>0.2</v>
      </c>
      <c r="O6409" s="7"/>
      <c r="P6409" s="7">
        <v>0</v>
      </c>
      <c r="Q6409" s="7">
        <v>11.4</v>
      </c>
      <c r="R6409" s="7">
        <v>6.7</v>
      </c>
      <c r="S6409" s="10"/>
      <c r="T6409" s="8">
        <v>0.8</v>
      </c>
      <c r="U6409" s="7">
        <v>3</v>
      </c>
      <c r="V6409" s="7">
        <v>0</v>
      </c>
      <c r="W6409" s="7">
        <v>0</v>
      </c>
      <c r="X6409" s="7">
        <v>5</v>
      </c>
      <c r="Y6409" s="7">
        <v>3</v>
      </c>
      <c r="Z6409" s="7">
        <v>0.2</v>
      </c>
      <c r="AA6409" s="9"/>
      <c r="AC6409" s="38">
        <v>1</v>
      </c>
    </row>
    <row r="6410" spans="1:29" x14ac:dyDescent="0.25">
      <c r="A6410" s="22">
        <v>44761</v>
      </c>
      <c r="B6410" s="7">
        <v>0</v>
      </c>
      <c r="C6410" s="7">
        <v>0</v>
      </c>
      <c r="D6410" s="7">
        <v>0</v>
      </c>
      <c r="E6410" s="7">
        <v>0</v>
      </c>
      <c r="F6410" s="8">
        <v>4</v>
      </c>
      <c r="G6410" s="7">
        <v>6</v>
      </c>
      <c r="H6410" s="7">
        <v>0</v>
      </c>
      <c r="I6410" s="7">
        <v>5.0999999999999996</v>
      </c>
      <c r="J6410" s="7">
        <v>4.3</v>
      </c>
      <c r="K6410" s="7">
        <v>3</v>
      </c>
      <c r="L6410" s="7">
        <v>0.7619999999999999</v>
      </c>
      <c r="M6410" s="7">
        <v>35.200000000000003</v>
      </c>
      <c r="N6410" s="8">
        <v>8.6</v>
      </c>
      <c r="O6410" s="7"/>
      <c r="P6410" s="7">
        <v>0</v>
      </c>
      <c r="Q6410" s="7">
        <v>0</v>
      </c>
      <c r="R6410" s="7">
        <v>0</v>
      </c>
      <c r="S6410" s="10"/>
      <c r="T6410" s="8">
        <v>0</v>
      </c>
      <c r="U6410" s="7">
        <v>0</v>
      </c>
      <c r="V6410" s="7">
        <v>10.199999999999999</v>
      </c>
      <c r="W6410" s="7">
        <v>2.5</v>
      </c>
      <c r="X6410" s="7">
        <v>0</v>
      </c>
      <c r="Y6410" s="7">
        <v>0</v>
      </c>
      <c r="Z6410" s="7">
        <v>0</v>
      </c>
      <c r="AA6410" s="9"/>
      <c r="AC6410" s="38">
        <v>5</v>
      </c>
    </row>
    <row r="6411" spans="1:29" x14ac:dyDescent="0.25">
      <c r="A6411" s="22">
        <v>44762</v>
      </c>
      <c r="B6411" s="7">
        <v>32</v>
      </c>
      <c r="C6411" s="7">
        <v>34.799999999999997</v>
      </c>
      <c r="D6411" s="7">
        <v>44.4</v>
      </c>
      <c r="E6411" s="7">
        <v>10</v>
      </c>
      <c r="F6411" s="8">
        <v>25.2</v>
      </c>
      <c r="G6411" s="7">
        <v>36</v>
      </c>
      <c r="H6411" s="7">
        <v>0</v>
      </c>
      <c r="I6411" s="7">
        <v>23</v>
      </c>
      <c r="J6411" s="7">
        <v>20.9</v>
      </c>
      <c r="K6411" s="7">
        <v>41</v>
      </c>
      <c r="L6411" s="7">
        <v>18.033999999999999</v>
      </c>
      <c r="M6411" s="7">
        <v>22.3</v>
      </c>
      <c r="N6411" s="8">
        <v>35.200000000000003</v>
      </c>
      <c r="O6411" s="7"/>
      <c r="P6411" s="7">
        <v>12</v>
      </c>
      <c r="Q6411" s="7">
        <v>17.899999999999999</v>
      </c>
      <c r="R6411" s="7">
        <v>7.1</v>
      </c>
      <c r="S6411" s="10"/>
      <c r="T6411" s="8">
        <v>3.6</v>
      </c>
      <c r="U6411" s="7">
        <v>37</v>
      </c>
      <c r="V6411" s="7">
        <v>33.6</v>
      </c>
      <c r="W6411" s="7">
        <v>30.4</v>
      </c>
      <c r="X6411" s="7">
        <v>20</v>
      </c>
      <c r="Y6411" s="7">
        <v>14</v>
      </c>
      <c r="Z6411" s="7">
        <v>20</v>
      </c>
      <c r="AA6411" s="9"/>
      <c r="AC6411" s="38">
        <v>15</v>
      </c>
    </row>
    <row r="6412" spans="1:29" x14ac:dyDescent="0.25">
      <c r="A6412" s="22">
        <v>44763</v>
      </c>
      <c r="B6412" s="7">
        <v>20</v>
      </c>
      <c r="C6412" s="7">
        <v>19.2</v>
      </c>
      <c r="D6412" s="7">
        <v>15.6</v>
      </c>
      <c r="E6412" s="7">
        <v>10</v>
      </c>
      <c r="F6412" s="8">
        <v>12</v>
      </c>
      <c r="G6412" s="7">
        <v>16.3</v>
      </c>
      <c r="H6412" s="7">
        <v>14.2</v>
      </c>
      <c r="I6412" s="7">
        <v>15.8</v>
      </c>
      <c r="J6412" s="7">
        <v>42</v>
      </c>
      <c r="K6412" s="7">
        <v>42.8</v>
      </c>
      <c r="L6412" s="7">
        <v>8.8899999999999988</v>
      </c>
      <c r="M6412" s="7">
        <v>13.6</v>
      </c>
      <c r="N6412" s="8">
        <v>21.2</v>
      </c>
      <c r="O6412" s="7"/>
      <c r="P6412" s="7">
        <v>14.5</v>
      </c>
      <c r="Q6412" s="7">
        <v>6.2</v>
      </c>
      <c r="R6412" s="7">
        <v>3.1</v>
      </c>
      <c r="S6412" s="10"/>
      <c r="T6412" s="8">
        <v>5.8</v>
      </c>
      <c r="U6412" s="7">
        <v>26</v>
      </c>
      <c r="V6412" s="7">
        <v>14.2</v>
      </c>
      <c r="W6412" s="7">
        <v>7.2</v>
      </c>
      <c r="X6412" s="7">
        <v>10</v>
      </c>
      <c r="Y6412" s="7">
        <v>10</v>
      </c>
      <c r="Z6412" s="7">
        <v>12</v>
      </c>
      <c r="AA6412" s="9"/>
      <c r="AC6412" s="38">
        <v>5</v>
      </c>
    </row>
    <row r="6413" spans="1:29" x14ac:dyDescent="0.25">
      <c r="A6413" s="22">
        <v>44764</v>
      </c>
      <c r="B6413" s="7">
        <v>0</v>
      </c>
      <c r="C6413" s="7">
        <v>8.4</v>
      </c>
      <c r="D6413" s="7">
        <v>17.600000000000001</v>
      </c>
      <c r="E6413" s="7">
        <v>3</v>
      </c>
      <c r="F6413" s="8">
        <v>1.2</v>
      </c>
      <c r="G6413" s="7">
        <v>8.4</v>
      </c>
      <c r="H6413" s="7">
        <v>3</v>
      </c>
      <c r="I6413" s="7">
        <v>6.5</v>
      </c>
      <c r="J6413" s="7">
        <v>0.4</v>
      </c>
      <c r="K6413" s="7">
        <v>4.8</v>
      </c>
      <c r="L6413" s="7">
        <v>0.50800000000000001</v>
      </c>
      <c r="M6413" s="7">
        <v>5.8</v>
      </c>
      <c r="N6413" s="8">
        <v>1</v>
      </c>
      <c r="O6413" s="7"/>
      <c r="P6413" s="7">
        <v>0</v>
      </c>
      <c r="Q6413" s="7">
        <v>4</v>
      </c>
      <c r="R6413" s="7">
        <v>0</v>
      </c>
      <c r="S6413" s="10"/>
      <c r="T6413" s="8">
        <v>0</v>
      </c>
      <c r="U6413" s="7">
        <v>2</v>
      </c>
      <c r="V6413" s="7">
        <v>13.5</v>
      </c>
      <c r="W6413" s="7">
        <v>10.199999999999999</v>
      </c>
      <c r="X6413" s="7">
        <v>13.5</v>
      </c>
      <c r="Y6413" s="7">
        <v>5</v>
      </c>
      <c r="Z6413" s="7">
        <v>2</v>
      </c>
      <c r="AA6413" s="9"/>
      <c r="AC6413" s="38">
        <v>0</v>
      </c>
    </row>
    <row r="6414" spans="1:29" x14ac:dyDescent="0.25">
      <c r="A6414" s="22">
        <v>44765</v>
      </c>
      <c r="B6414" s="7">
        <v>0</v>
      </c>
      <c r="C6414" s="7">
        <v>0.8</v>
      </c>
      <c r="D6414" s="7">
        <v>3.4</v>
      </c>
      <c r="E6414" s="7">
        <v>0</v>
      </c>
      <c r="F6414" s="8">
        <v>0</v>
      </c>
      <c r="G6414" s="7">
        <v>0</v>
      </c>
      <c r="H6414" s="7">
        <v>0</v>
      </c>
      <c r="I6414" s="7">
        <v>0</v>
      </c>
      <c r="J6414" s="7">
        <v>0</v>
      </c>
      <c r="K6414" s="7">
        <v>0</v>
      </c>
      <c r="L6414" s="7">
        <v>0</v>
      </c>
      <c r="M6414" s="7">
        <v>0</v>
      </c>
      <c r="N6414" s="8">
        <v>0.2</v>
      </c>
      <c r="O6414" s="7"/>
      <c r="P6414" s="7">
        <v>0</v>
      </c>
      <c r="Q6414" s="7">
        <v>0</v>
      </c>
      <c r="R6414" s="7">
        <v>0</v>
      </c>
      <c r="S6414" s="8"/>
      <c r="T6414" s="8">
        <v>0</v>
      </c>
      <c r="U6414" s="7">
        <v>0</v>
      </c>
      <c r="V6414" s="7">
        <v>0</v>
      </c>
      <c r="W6414" s="7">
        <v>0</v>
      </c>
      <c r="X6414" s="7">
        <v>0</v>
      </c>
      <c r="Y6414" s="7">
        <v>0</v>
      </c>
      <c r="Z6414" s="7">
        <v>0</v>
      </c>
      <c r="AA6414" s="9"/>
      <c r="AC6414" s="38">
        <v>0</v>
      </c>
    </row>
    <row r="6415" spans="1:29" x14ac:dyDescent="0.25">
      <c r="A6415" s="22">
        <v>44766</v>
      </c>
      <c r="B6415" s="7">
        <v>20</v>
      </c>
      <c r="C6415" s="7">
        <v>0</v>
      </c>
      <c r="D6415" s="7">
        <v>4.8</v>
      </c>
      <c r="E6415" s="7">
        <v>6</v>
      </c>
      <c r="F6415" s="8">
        <v>0</v>
      </c>
      <c r="G6415" s="7">
        <v>0.5</v>
      </c>
      <c r="H6415" s="7">
        <v>0</v>
      </c>
      <c r="I6415" s="7">
        <v>1.2</v>
      </c>
      <c r="J6415" s="7">
        <v>6.1</v>
      </c>
      <c r="K6415" s="7">
        <v>0</v>
      </c>
      <c r="L6415" s="7">
        <v>2.794</v>
      </c>
      <c r="M6415" s="7">
        <v>0</v>
      </c>
      <c r="N6415" s="8">
        <v>2.4</v>
      </c>
      <c r="O6415" s="7"/>
      <c r="P6415" s="7">
        <v>1</v>
      </c>
      <c r="Q6415" s="7">
        <v>7</v>
      </c>
      <c r="R6415" s="7">
        <v>0</v>
      </c>
      <c r="S6415" s="8"/>
      <c r="T6415" s="8">
        <v>0</v>
      </c>
      <c r="U6415" s="7">
        <v>0</v>
      </c>
      <c r="V6415" s="7">
        <v>0</v>
      </c>
      <c r="W6415" s="7">
        <v>0</v>
      </c>
      <c r="X6415" s="7">
        <v>4</v>
      </c>
      <c r="Y6415" s="7">
        <v>0</v>
      </c>
      <c r="Z6415" s="7">
        <v>0</v>
      </c>
      <c r="AA6415" s="9"/>
      <c r="AC6415" s="38">
        <v>0</v>
      </c>
    </row>
    <row r="6416" spans="1:29" x14ac:dyDescent="0.25">
      <c r="A6416" s="22">
        <v>44767</v>
      </c>
      <c r="B6416" s="7">
        <v>0</v>
      </c>
      <c r="C6416" s="7">
        <v>0</v>
      </c>
      <c r="D6416" s="7">
        <v>0</v>
      </c>
      <c r="E6416" s="7">
        <v>0</v>
      </c>
      <c r="F6416" s="8">
        <v>0.1</v>
      </c>
      <c r="G6416" s="7">
        <v>0</v>
      </c>
      <c r="H6416" s="7">
        <v>0</v>
      </c>
      <c r="I6416" s="7">
        <v>0</v>
      </c>
      <c r="J6416" s="7">
        <v>0</v>
      </c>
      <c r="K6416" s="7">
        <v>0</v>
      </c>
      <c r="L6416" s="7">
        <v>0</v>
      </c>
      <c r="M6416" s="7">
        <v>2.6</v>
      </c>
      <c r="N6416" s="8">
        <v>0.2</v>
      </c>
      <c r="O6416" s="7"/>
      <c r="P6416" s="7">
        <v>0.5</v>
      </c>
      <c r="Q6416" s="7">
        <v>0</v>
      </c>
      <c r="R6416" s="7">
        <v>0</v>
      </c>
      <c r="S6416" s="8"/>
      <c r="T6416" s="8">
        <v>0</v>
      </c>
      <c r="U6416" s="7">
        <v>3</v>
      </c>
      <c r="V6416" s="7">
        <v>0</v>
      </c>
      <c r="W6416" s="7">
        <v>0</v>
      </c>
      <c r="X6416" s="7">
        <v>0</v>
      </c>
      <c r="Y6416" s="7">
        <v>0</v>
      </c>
      <c r="Z6416" s="7">
        <v>0</v>
      </c>
      <c r="AA6416" s="9"/>
      <c r="AC6416" s="38">
        <v>0</v>
      </c>
    </row>
    <row r="6417" spans="1:29" x14ac:dyDescent="0.25">
      <c r="A6417" s="22">
        <v>44768</v>
      </c>
      <c r="B6417" s="7">
        <v>7</v>
      </c>
      <c r="C6417" s="7">
        <v>27.3</v>
      </c>
      <c r="D6417" s="7">
        <v>43</v>
      </c>
      <c r="E6417" s="7">
        <v>13</v>
      </c>
      <c r="F6417" s="8">
        <v>19.2</v>
      </c>
      <c r="G6417" s="7">
        <v>20.5</v>
      </c>
      <c r="H6417" s="7">
        <v>24.2</v>
      </c>
      <c r="I6417" s="7">
        <v>20.2</v>
      </c>
      <c r="J6417" s="7">
        <v>40.299999999999997</v>
      </c>
      <c r="K6417" s="7">
        <v>46.6</v>
      </c>
      <c r="L6417" s="7">
        <v>14.985999999999999</v>
      </c>
      <c r="M6417" s="7">
        <v>24.4</v>
      </c>
      <c r="N6417" s="8">
        <v>37</v>
      </c>
      <c r="O6417" s="7"/>
      <c r="P6417" s="7">
        <v>1</v>
      </c>
      <c r="Q6417" s="7">
        <v>5</v>
      </c>
      <c r="R6417" s="7">
        <v>3.8</v>
      </c>
      <c r="S6417" s="8"/>
      <c r="T6417" s="8">
        <v>2.4</v>
      </c>
      <c r="U6417" s="7">
        <v>48</v>
      </c>
      <c r="V6417" s="7">
        <v>20.5</v>
      </c>
      <c r="W6417" s="7">
        <v>28.2</v>
      </c>
      <c r="X6417" s="7">
        <v>4</v>
      </c>
      <c r="Y6417" s="7">
        <v>7</v>
      </c>
      <c r="Z6417" s="7">
        <v>16</v>
      </c>
      <c r="AA6417" s="9"/>
      <c r="AC6417" s="38">
        <v>18</v>
      </c>
    </row>
    <row r="6418" spans="1:29" x14ac:dyDescent="0.25">
      <c r="A6418" s="22">
        <v>44769</v>
      </c>
      <c r="B6418" s="7">
        <v>0</v>
      </c>
      <c r="C6418" s="7">
        <v>27.3</v>
      </c>
      <c r="D6418" s="7">
        <v>18</v>
      </c>
      <c r="E6418" s="7">
        <v>9</v>
      </c>
      <c r="F6418" s="8">
        <v>8.3000000000000007</v>
      </c>
      <c r="G6418" s="7">
        <v>15</v>
      </c>
      <c r="H6418" s="7">
        <v>4.8</v>
      </c>
      <c r="I6418" s="7">
        <v>21.4</v>
      </c>
      <c r="J6418" s="7">
        <v>12.8</v>
      </c>
      <c r="K6418" s="7">
        <v>18.2</v>
      </c>
      <c r="L6418" s="7">
        <v>5.3339999999999996</v>
      </c>
      <c r="M6418" s="7">
        <v>10.6</v>
      </c>
      <c r="N6418" s="8">
        <v>22.6</v>
      </c>
      <c r="O6418" s="7"/>
      <c r="P6418" s="7">
        <v>1</v>
      </c>
      <c r="Q6418" s="7">
        <v>6.8</v>
      </c>
      <c r="R6418" s="7">
        <v>2.5</v>
      </c>
      <c r="S6418" s="8"/>
      <c r="T6418" s="8">
        <v>4.8</v>
      </c>
      <c r="U6418" s="7">
        <v>20</v>
      </c>
      <c r="V6418" s="7">
        <v>11.5</v>
      </c>
      <c r="W6418" s="7">
        <v>14.2</v>
      </c>
      <c r="X6418" s="7">
        <v>5</v>
      </c>
      <c r="Y6418" s="7">
        <v>7</v>
      </c>
      <c r="Z6418" s="7">
        <v>0.2</v>
      </c>
      <c r="AA6418" s="9"/>
      <c r="AC6418" s="38">
        <v>4</v>
      </c>
    </row>
    <row r="6419" spans="1:29" x14ac:dyDescent="0.25">
      <c r="A6419" s="22">
        <v>44770</v>
      </c>
      <c r="B6419" s="7">
        <v>13</v>
      </c>
      <c r="C6419" s="7">
        <v>9.6</v>
      </c>
      <c r="D6419" s="7">
        <v>11.6</v>
      </c>
      <c r="E6419" s="7">
        <v>14</v>
      </c>
      <c r="F6419" s="8">
        <v>12.4</v>
      </c>
      <c r="G6419" s="7">
        <v>20</v>
      </c>
      <c r="H6419" s="7">
        <v>4.8</v>
      </c>
      <c r="I6419" s="7">
        <v>10.5</v>
      </c>
      <c r="J6419" s="7">
        <v>17</v>
      </c>
      <c r="K6419" s="7">
        <v>14.6</v>
      </c>
      <c r="L6419" s="7">
        <v>10.414</v>
      </c>
      <c r="M6419" s="7">
        <v>18.399999999999999</v>
      </c>
      <c r="N6419" s="8">
        <v>5.6</v>
      </c>
      <c r="O6419" s="7"/>
      <c r="P6419" s="7">
        <v>12</v>
      </c>
      <c r="Q6419" s="7">
        <v>10</v>
      </c>
      <c r="R6419" s="7">
        <v>5.2</v>
      </c>
      <c r="S6419" s="8"/>
      <c r="T6419" s="8">
        <v>5.8</v>
      </c>
      <c r="U6419" s="7">
        <v>10</v>
      </c>
      <c r="V6419" s="7">
        <v>14.3</v>
      </c>
      <c r="W6419" s="7">
        <v>10.199999999999999</v>
      </c>
      <c r="X6419" s="7">
        <v>20</v>
      </c>
      <c r="Y6419" s="7">
        <v>10</v>
      </c>
      <c r="Z6419" s="7">
        <v>0.6</v>
      </c>
      <c r="AA6419" s="9"/>
      <c r="AC6419" s="38">
        <v>1</v>
      </c>
    </row>
    <row r="6420" spans="1:29" x14ac:dyDescent="0.25">
      <c r="A6420" s="22">
        <v>44771</v>
      </c>
      <c r="B6420" s="7">
        <v>0</v>
      </c>
      <c r="C6420" s="7">
        <v>1.4</v>
      </c>
      <c r="D6420" s="7">
        <v>3.2</v>
      </c>
      <c r="E6420" s="7">
        <v>3</v>
      </c>
      <c r="F6420" s="8">
        <v>2.4</v>
      </c>
      <c r="G6420" s="7">
        <v>2.5</v>
      </c>
      <c r="H6420" s="7">
        <v>5.2</v>
      </c>
      <c r="I6420" s="7">
        <v>2.8</v>
      </c>
      <c r="J6420" s="7">
        <v>2.8</v>
      </c>
      <c r="K6420" s="7">
        <v>4</v>
      </c>
      <c r="L6420" s="7">
        <v>23.622</v>
      </c>
      <c r="M6420" s="7">
        <v>6.8</v>
      </c>
      <c r="N6420" s="8">
        <v>0.4</v>
      </c>
      <c r="O6420" s="7"/>
      <c r="P6420" s="7">
        <v>0</v>
      </c>
      <c r="Q6420" s="7">
        <v>0</v>
      </c>
      <c r="R6420" s="7">
        <v>0.1</v>
      </c>
      <c r="S6420" s="8"/>
      <c r="T6420" s="8">
        <v>0</v>
      </c>
      <c r="U6420" s="7">
        <v>0</v>
      </c>
      <c r="V6420" s="7">
        <v>0</v>
      </c>
      <c r="W6420" s="7">
        <v>0</v>
      </c>
      <c r="X6420" s="7">
        <v>0</v>
      </c>
      <c r="Y6420" s="7">
        <v>3</v>
      </c>
      <c r="Z6420" s="7">
        <v>16</v>
      </c>
      <c r="AA6420" s="9"/>
      <c r="AC6420" s="38">
        <v>6</v>
      </c>
    </row>
    <row r="6421" spans="1:29" x14ac:dyDescent="0.25">
      <c r="A6421" s="22">
        <v>44772</v>
      </c>
      <c r="B6421" s="7">
        <v>0</v>
      </c>
      <c r="C6421" s="7">
        <v>6.8</v>
      </c>
      <c r="D6421" s="7">
        <v>4.2</v>
      </c>
      <c r="E6421" s="7">
        <v>0</v>
      </c>
      <c r="F6421" s="8">
        <v>5.0999999999999996</v>
      </c>
      <c r="G6421" s="7">
        <v>10</v>
      </c>
      <c r="H6421" s="7">
        <v>1.2</v>
      </c>
      <c r="I6421" s="7">
        <v>0.2</v>
      </c>
      <c r="J6421" s="7">
        <v>11</v>
      </c>
      <c r="K6421" s="7">
        <v>11.9</v>
      </c>
      <c r="L6421" s="7">
        <v>0</v>
      </c>
      <c r="M6421" s="7">
        <v>7.2</v>
      </c>
      <c r="N6421" s="8">
        <v>6.2</v>
      </c>
      <c r="O6421" s="7"/>
      <c r="P6421" s="7">
        <v>0</v>
      </c>
      <c r="Q6421" s="7">
        <v>0</v>
      </c>
      <c r="R6421" s="7">
        <v>0</v>
      </c>
      <c r="S6421" s="8"/>
      <c r="T6421" s="8">
        <v>0</v>
      </c>
      <c r="U6421" s="7">
        <v>25</v>
      </c>
      <c r="V6421" s="7">
        <v>0</v>
      </c>
      <c r="W6421" s="7">
        <v>0</v>
      </c>
      <c r="X6421" s="7">
        <v>0</v>
      </c>
      <c r="Y6421" s="7">
        <v>0</v>
      </c>
      <c r="Z6421" s="7">
        <v>8</v>
      </c>
      <c r="AA6421" s="9"/>
      <c r="AC6421" s="38">
        <v>5</v>
      </c>
    </row>
    <row r="6422" spans="1:29" x14ac:dyDescent="0.25">
      <c r="A6422" s="22">
        <v>44773</v>
      </c>
      <c r="B6422" s="6">
        <v>89</v>
      </c>
      <c r="C6422" s="6">
        <v>67.2</v>
      </c>
      <c r="D6422" s="6">
        <v>66.2</v>
      </c>
      <c r="E6422" s="6">
        <v>67</v>
      </c>
      <c r="F6422" s="6">
        <v>38</v>
      </c>
      <c r="G6422" s="6">
        <v>50</v>
      </c>
      <c r="H6422" s="6">
        <v>46.2</v>
      </c>
      <c r="I6422" s="6">
        <v>43.3</v>
      </c>
      <c r="J6422" s="6">
        <v>58</v>
      </c>
      <c r="K6422" s="6">
        <v>11.9</v>
      </c>
      <c r="L6422" s="6">
        <v>49.021999999999998</v>
      </c>
      <c r="M6422" s="6">
        <v>35.200000000000003</v>
      </c>
      <c r="N6422" s="6">
        <v>61.8</v>
      </c>
      <c r="O6422" s="6"/>
      <c r="P6422" s="6">
        <v>72</v>
      </c>
      <c r="Q6422" s="6">
        <v>60</v>
      </c>
      <c r="R6422" s="6">
        <v>49.8</v>
      </c>
      <c r="S6422" s="6"/>
      <c r="T6422" s="6">
        <v>10.6</v>
      </c>
      <c r="U6422" s="6">
        <v>48</v>
      </c>
      <c r="V6422" s="6">
        <v>73.2</v>
      </c>
      <c r="W6422" s="6">
        <v>63.2</v>
      </c>
      <c r="X6422" s="6">
        <v>42</v>
      </c>
      <c r="Y6422" s="6">
        <v>44</v>
      </c>
      <c r="Z6422" s="6">
        <v>82</v>
      </c>
      <c r="AA6422" s="9"/>
      <c r="AC6422" s="38">
        <v>29</v>
      </c>
    </row>
    <row r="6423" spans="1:29" x14ac:dyDescent="0.25">
      <c r="A6423" s="22">
        <v>44774</v>
      </c>
      <c r="B6423" s="9">
        <v>12</v>
      </c>
      <c r="C6423" s="9">
        <v>22.6</v>
      </c>
      <c r="D6423" s="9">
        <v>21.2</v>
      </c>
      <c r="E6423" s="9">
        <v>12</v>
      </c>
      <c r="F6423" s="9">
        <v>1.4</v>
      </c>
      <c r="G6423" s="9">
        <v>14.5</v>
      </c>
      <c r="H6423" s="9">
        <v>9.1</v>
      </c>
      <c r="I6423" s="9">
        <v>6.4</v>
      </c>
      <c r="J6423" s="9">
        <v>14.4</v>
      </c>
      <c r="K6423" s="9">
        <v>14</v>
      </c>
      <c r="L6423" s="9">
        <v>82</v>
      </c>
      <c r="M6423" s="9">
        <v>11.4</v>
      </c>
      <c r="N6423" s="9">
        <v>0.6</v>
      </c>
      <c r="O6423" s="9"/>
      <c r="P6423" s="9">
        <v>0</v>
      </c>
      <c r="Q6423" s="9">
        <v>20</v>
      </c>
      <c r="R6423" s="9">
        <v>21.2</v>
      </c>
      <c r="S6423" s="9"/>
      <c r="T6423" s="9">
        <v>0</v>
      </c>
      <c r="U6423" s="9">
        <v>30</v>
      </c>
      <c r="V6423" s="9"/>
      <c r="W6423" s="9">
        <v>20.2</v>
      </c>
      <c r="X6423" s="9">
        <v>20</v>
      </c>
      <c r="Y6423" s="9">
        <v>6</v>
      </c>
      <c r="Z6423" s="9">
        <v>8</v>
      </c>
      <c r="AA6423" s="9"/>
      <c r="AC6423" s="38">
        <v>1</v>
      </c>
    </row>
    <row r="6424" spans="1:29" x14ac:dyDescent="0.25">
      <c r="A6424" s="22">
        <v>44775</v>
      </c>
      <c r="B6424" s="9">
        <v>1</v>
      </c>
      <c r="C6424" s="9">
        <v>1.2</v>
      </c>
      <c r="D6424" s="9">
        <v>3.2</v>
      </c>
      <c r="E6424" s="9">
        <v>0</v>
      </c>
      <c r="F6424" s="9">
        <v>1.8</v>
      </c>
      <c r="G6424" s="9">
        <v>9.5</v>
      </c>
      <c r="H6424" s="9">
        <v>3.4</v>
      </c>
      <c r="I6424" s="9">
        <v>4</v>
      </c>
      <c r="J6424" s="9">
        <v>12.7</v>
      </c>
      <c r="K6424" s="9">
        <v>11</v>
      </c>
      <c r="L6424" s="9">
        <v>82</v>
      </c>
      <c r="M6424" s="9">
        <v>3.7</v>
      </c>
      <c r="N6424" s="9">
        <v>10.4</v>
      </c>
      <c r="O6424" s="9"/>
      <c r="P6424" s="9">
        <v>1.1000000000000001</v>
      </c>
      <c r="Q6424" s="9">
        <v>17.7</v>
      </c>
      <c r="R6424" s="9">
        <v>1.1000000000000001</v>
      </c>
      <c r="S6424" s="9"/>
      <c r="T6424" s="9">
        <v>2.8</v>
      </c>
      <c r="U6424" s="9">
        <v>55</v>
      </c>
      <c r="V6424" s="9">
        <v>10.199999999999999</v>
      </c>
      <c r="W6424" s="9">
        <v>10.3</v>
      </c>
      <c r="X6424" s="9">
        <v>4</v>
      </c>
      <c r="Y6424" s="9">
        <v>2</v>
      </c>
      <c r="Z6424" s="9">
        <v>8</v>
      </c>
      <c r="AA6424" s="9"/>
      <c r="AC6424" s="38">
        <v>5</v>
      </c>
    </row>
    <row r="6425" spans="1:29" x14ac:dyDescent="0.25">
      <c r="A6425" s="22">
        <v>44776</v>
      </c>
      <c r="B6425" s="9">
        <v>9</v>
      </c>
      <c r="C6425" s="9">
        <v>16.600000000000001</v>
      </c>
      <c r="D6425" s="9">
        <v>8.6</v>
      </c>
      <c r="E6425" s="9">
        <v>10</v>
      </c>
      <c r="F6425" s="9">
        <v>5</v>
      </c>
      <c r="G6425" s="9">
        <v>3</v>
      </c>
      <c r="H6425" s="9">
        <v>4</v>
      </c>
      <c r="I6425" s="9">
        <v>3</v>
      </c>
      <c r="J6425" s="9">
        <v>2.6</v>
      </c>
      <c r="K6425" s="9">
        <v>2</v>
      </c>
      <c r="L6425" s="9">
        <v>9</v>
      </c>
      <c r="M6425" s="9">
        <v>3.6</v>
      </c>
      <c r="N6425" s="9">
        <v>2.2000000000000002</v>
      </c>
      <c r="O6425" s="9"/>
      <c r="P6425" s="9">
        <v>3</v>
      </c>
      <c r="Q6425" s="9">
        <v>12</v>
      </c>
      <c r="R6425" s="9">
        <v>8.5</v>
      </c>
      <c r="S6425" s="9"/>
      <c r="T6425" s="9">
        <v>0.2</v>
      </c>
      <c r="U6425" s="9">
        <v>3</v>
      </c>
      <c r="V6425" s="9">
        <v>8.8000000000000007</v>
      </c>
      <c r="W6425" s="9">
        <v>4.2</v>
      </c>
      <c r="X6425" s="9">
        <v>5</v>
      </c>
      <c r="Y6425" s="9">
        <v>0.1</v>
      </c>
      <c r="Z6425" s="9">
        <v>0</v>
      </c>
      <c r="AA6425" s="9">
        <v>2</v>
      </c>
      <c r="AC6425" s="38">
        <v>5</v>
      </c>
    </row>
    <row r="6426" spans="1:29" x14ac:dyDescent="0.25">
      <c r="A6426" s="22">
        <v>44777</v>
      </c>
      <c r="B6426" s="9">
        <v>15</v>
      </c>
      <c r="C6426" s="9">
        <v>22.4</v>
      </c>
      <c r="D6426" s="9">
        <v>20</v>
      </c>
      <c r="E6426" s="9">
        <v>9</v>
      </c>
      <c r="F6426" s="9">
        <v>3.6</v>
      </c>
      <c r="G6426" s="9">
        <v>11.8</v>
      </c>
      <c r="H6426" s="9">
        <v>14.3</v>
      </c>
      <c r="I6426" s="9">
        <v>8.6</v>
      </c>
      <c r="J6426" s="9">
        <v>18</v>
      </c>
      <c r="K6426" s="9">
        <v>22</v>
      </c>
      <c r="L6426" s="9">
        <v>9</v>
      </c>
      <c r="M6426" s="9">
        <v>10</v>
      </c>
      <c r="N6426" s="9">
        <v>14.6</v>
      </c>
      <c r="O6426" s="9"/>
      <c r="P6426" s="9">
        <v>8.5</v>
      </c>
      <c r="Q6426" s="9">
        <v>13</v>
      </c>
      <c r="R6426" s="9">
        <v>10.1</v>
      </c>
      <c r="S6426" s="9"/>
      <c r="T6426" s="9">
        <v>0</v>
      </c>
      <c r="U6426" s="9">
        <v>10</v>
      </c>
      <c r="V6426" s="9">
        <v>12.3</v>
      </c>
      <c r="W6426" s="9">
        <v>12.3</v>
      </c>
      <c r="X6426" s="9">
        <v>8</v>
      </c>
      <c r="Y6426" s="9">
        <v>6</v>
      </c>
      <c r="Z6426" s="9">
        <v>2</v>
      </c>
      <c r="AA6426" s="9">
        <v>12</v>
      </c>
      <c r="AC6426" s="38">
        <v>4</v>
      </c>
    </row>
    <row r="6427" spans="1:29" x14ac:dyDescent="0.25">
      <c r="A6427" s="22">
        <v>44778</v>
      </c>
      <c r="B6427" s="9">
        <v>15</v>
      </c>
      <c r="C6427" s="9">
        <v>19.8</v>
      </c>
      <c r="D6427" s="9">
        <v>8.6</v>
      </c>
      <c r="E6427" s="9">
        <v>5</v>
      </c>
      <c r="F6427" s="9">
        <v>12</v>
      </c>
      <c r="G6427" s="9">
        <v>4.8</v>
      </c>
      <c r="H6427" s="9">
        <v>14.3</v>
      </c>
      <c r="I6427" s="9">
        <v>6.4</v>
      </c>
      <c r="J6427" s="9">
        <v>7</v>
      </c>
      <c r="K6427" s="9">
        <v>11</v>
      </c>
      <c r="L6427" s="9">
        <v>6.4</v>
      </c>
      <c r="M6427" s="9">
        <v>10.6</v>
      </c>
      <c r="N6427" s="9">
        <v>25.6</v>
      </c>
      <c r="O6427" s="9"/>
      <c r="P6427" s="9">
        <v>2</v>
      </c>
      <c r="Q6427" s="9">
        <v>4.5</v>
      </c>
      <c r="R6427" s="9">
        <v>3.1</v>
      </c>
      <c r="S6427" s="9"/>
      <c r="T6427" s="9">
        <v>13.8</v>
      </c>
      <c r="U6427" s="9">
        <v>30</v>
      </c>
      <c r="V6427" s="9">
        <v>10.199999999999999</v>
      </c>
      <c r="W6427" s="9">
        <v>4.2</v>
      </c>
      <c r="X6427" s="9">
        <v>0</v>
      </c>
      <c r="Y6427" s="9">
        <v>0.6</v>
      </c>
      <c r="Z6427" s="9">
        <v>0.6</v>
      </c>
      <c r="AA6427" s="9">
        <v>2</v>
      </c>
      <c r="AC6427" s="38">
        <v>15</v>
      </c>
    </row>
    <row r="6428" spans="1:29" x14ac:dyDescent="0.25">
      <c r="A6428" s="22">
        <v>44779</v>
      </c>
      <c r="B6428" s="9">
        <v>29</v>
      </c>
      <c r="C6428" s="9">
        <v>12.6</v>
      </c>
      <c r="D6428" s="9">
        <v>28.2</v>
      </c>
      <c r="E6428" s="9">
        <v>0</v>
      </c>
      <c r="F6428" s="9">
        <v>7.6</v>
      </c>
      <c r="G6428" s="9">
        <v>16</v>
      </c>
      <c r="H6428" s="9">
        <v>19.600000000000001</v>
      </c>
      <c r="I6428" s="9">
        <v>8.9</v>
      </c>
      <c r="J6428" s="9">
        <v>20</v>
      </c>
      <c r="K6428" s="9">
        <v>17.5</v>
      </c>
      <c r="L6428" s="9">
        <v>11.4</v>
      </c>
      <c r="M6428" s="9">
        <v>16</v>
      </c>
      <c r="N6428" s="9">
        <v>2.8</v>
      </c>
      <c r="O6428" s="9"/>
      <c r="P6428" s="9">
        <v>2</v>
      </c>
      <c r="Q6428" s="9">
        <v>22</v>
      </c>
      <c r="R6428" s="9">
        <v>19</v>
      </c>
      <c r="S6428" s="9"/>
      <c r="T6428" s="9">
        <v>1</v>
      </c>
      <c r="U6428" s="9">
        <v>26</v>
      </c>
      <c r="V6428" s="9">
        <v>0</v>
      </c>
      <c r="W6428" s="9">
        <v>0</v>
      </c>
      <c r="X6428" s="9">
        <v>6</v>
      </c>
      <c r="Y6428" s="9">
        <v>7</v>
      </c>
      <c r="Z6428" s="9">
        <v>0.6</v>
      </c>
      <c r="AA6428" s="9">
        <v>22</v>
      </c>
      <c r="AC6428" s="38">
        <v>8</v>
      </c>
    </row>
    <row r="6429" spans="1:29" x14ac:dyDescent="0.25">
      <c r="A6429" s="22">
        <v>44780</v>
      </c>
      <c r="B6429" s="9">
        <v>0</v>
      </c>
      <c r="C6429" s="9">
        <v>2</v>
      </c>
      <c r="D6429" s="9">
        <v>6.8</v>
      </c>
      <c r="E6429" s="9">
        <v>8</v>
      </c>
      <c r="F6429" s="9">
        <v>1.2</v>
      </c>
      <c r="G6429" s="9">
        <v>1.9</v>
      </c>
      <c r="H6429" s="9">
        <v>1</v>
      </c>
      <c r="I6429" s="9">
        <v>8</v>
      </c>
      <c r="J6429" s="9">
        <v>6.4</v>
      </c>
      <c r="K6429" s="9">
        <v>7</v>
      </c>
      <c r="L6429" s="9">
        <v>6.4</v>
      </c>
      <c r="M6429" s="9">
        <v>2.8</v>
      </c>
      <c r="N6429" s="9">
        <v>6.8</v>
      </c>
      <c r="O6429" s="9"/>
      <c r="P6429" s="9">
        <v>4</v>
      </c>
      <c r="Q6429" s="9">
        <v>4.5</v>
      </c>
      <c r="R6429" s="9">
        <v>3.1</v>
      </c>
      <c r="S6429" s="9"/>
      <c r="T6429" s="9">
        <v>6.2</v>
      </c>
      <c r="U6429" s="9">
        <v>30</v>
      </c>
      <c r="V6429" s="9">
        <v>0</v>
      </c>
      <c r="W6429" s="9">
        <v>0</v>
      </c>
      <c r="X6429" s="9">
        <v>0</v>
      </c>
      <c r="Y6429" s="9">
        <v>0.6</v>
      </c>
      <c r="Z6429" s="9">
        <v>0.6</v>
      </c>
      <c r="AA6429" s="9">
        <v>0</v>
      </c>
      <c r="AC6429" s="38">
        <v>1</v>
      </c>
    </row>
    <row r="6430" spans="1:29" x14ac:dyDescent="0.25">
      <c r="A6430" s="22">
        <v>44781</v>
      </c>
      <c r="B6430" s="9">
        <v>5</v>
      </c>
      <c r="C6430" s="9">
        <v>2.6</v>
      </c>
      <c r="D6430" s="9">
        <v>2.2000000000000002</v>
      </c>
      <c r="E6430" s="9">
        <v>0</v>
      </c>
      <c r="F6430" s="9">
        <v>1</v>
      </c>
      <c r="G6430" s="9">
        <v>4</v>
      </c>
      <c r="H6430" s="9">
        <v>2.4</v>
      </c>
      <c r="I6430" s="9">
        <v>2</v>
      </c>
      <c r="J6430" s="9">
        <v>5.8</v>
      </c>
      <c r="K6430" s="9">
        <v>2</v>
      </c>
      <c r="L6430" s="9">
        <v>6.4</v>
      </c>
      <c r="M6430" s="9">
        <v>5.6</v>
      </c>
      <c r="N6430" s="9">
        <v>1.6</v>
      </c>
      <c r="O6430" s="9"/>
      <c r="P6430" s="9">
        <v>2</v>
      </c>
      <c r="Q6430" s="9">
        <v>4.5</v>
      </c>
      <c r="R6430" s="9">
        <v>3.1</v>
      </c>
      <c r="S6430" s="9"/>
      <c r="T6430" s="9">
        <v>2.2000000000000002</v>
      </c>
      <c r="U6430" s="9">
        <v>30</v>
      </c>
      <c r="V6430" s="9">
        <v>0</v>
      </c>
      <c r="W6430" s="9">
        <v>0</v>
      </c>
      <c r="X6430" s="9">
        <v>0</v>
      </c>
      <c r="Y6430" s="9">
        <v>0.6</v>
      </c>
      <c r="Z6430" s="9">
        <v>0.6</v>
      </c>
      <c r="AA6430" s="9">
        <v>2</v>
      </c>
      <c r="AC6430" s="38">
        <v>1</v>
      </c>
    </row>
    <row r="6431" spans="1:29" x14ac:dyDescent="0.25">
      <c r="A6431" s="22">
        <v>44782</v>
      </c>
      <c r="B6431" s="9">
        <v>0</v>
      </c>
      <c r="C6431" s="9">
        <v>4.4000000000000004</v>
      </c>
      <c r="D6431" s="9">
        <v>12</v>
      </c>
      <c r="E6431" s="9">
        <v>4</v>
      </c>
      <c r="F6431" s="9">
        <v>2.6</v>
      </c>
      <c r="G6431" s="9">
        <v>4</v>
      </c>
      <c r="H6431" s="9">
        <v>2</v>
      </c>
      <c r="I6431" s="9">
        <v>2.4</v>
      </c>
      <c r="J6431" s="9">
        <v>6</v>
      </c>
      <c r="K6431" s="9">
        <v>2</v>
      </c>
      <c r="L6431" s="9">
        <v>6.4</v>
      </c>
      <c r="M6431" s="9">
        <v>3.2</v>
      </c>
      <c r="N6431" s="9">
        <v>3.4</v>
      </c>
      <c r="O6431" s="9"/>
      <c r="P6431" s="9">
        <v>2</v>
      </c>
      <c r="Q6431" s="9">
        <v>4.5</v>
      </c>
      <c r="R6431" s="9">
        <v>3.1</v>
      </c>
      <c r="S6431" s="9"/>
      <c r="T6431" s="9">
        <v>4.2</v>
      </c>
      <c r="U6431" s="9">
        <v>30</v>
      </c>
      <c r="V6431" s="9">
        <v>0</v>
      </c>
      <c r="W6431" s="9">
        <v>0</v>
      </c>
      <c r="X6431" s="9">
        <v>0</v>
      </c>
      <c r="Y6431" s="9">
        <v>0.6</v>
      </c>
      <c r="Z6431" s="9">
        <v>0.6</v>
      </c>
      <c r="AA6431" s="9">
        <v>6</v>
      </c>
      <c r="AC6431" s="38">
        <v>3</v>
      </c>
    </row>
    <row r="6432" spans="1:29" x14ac:dyDescent="0.25">
      <c r="A6432" s="22">
        <v>44783</v>
      </c>
      <c r="B6432" s="9">
        <v>5</v>
      </c>
      <c r="C6432" s="9">
        <v>1.6</v>
      </c>
      <c r="D6432" s="9">
        <v>0.8</v>
      </c>
      <c r="E6432" s="9">
        <v>0</v>
      </c>
      <c r="F6432" s="9">
        <v>0.2</v>
      </c>
      <c r="G6432" s="9">
        <v>2</v>
      </c>
      <c r="H6432" s="9">
        <v>0</v>
      </c>
      <c r="I6432" s="9">
        <v>0.2</v>
      </c>
      <c r="J6432" s="9">
        <v>0</v>
      </c>
      <c r="K6432" s="9">
        <v>0</v>
      </c>
      <c r="L6432" s="9">
        <v>6.4</v>
      </c>
      <c r="M6432" s="9">
        <v>0.4</v>
      </c>
      <c r="N6432" s="9">
        <v>1</v>
      </c>
      <c r="O6432" s="9"/>
      <c r="P6432" s="9">
        <v>2</v>
      </c>
      <c r="Q6432" s="9">
        <v>0.5</v>
      </c>
      <c r="R6432" s="9">
        <v>0</v>
      </c>
      <c r="S6432" s="9"/>
      <c r="T6432" s="9">
        <v>1.4</v>
      </c>
      <c r="U6432" s="9">
        <v>3</v>
      </c>
      <c r="V6432" s="9">
        <v>0</v>
      </c>
      <c r="W6432" s="9">
        <v>0</v>
      </c>
      <c r="X6432" s="9">
        <v>0</v>
      </c>
      <c r="Y6432" s="9">
        <v>0</v>
      </c>
      <c r="Z6432" s="9">
        <v>0</v>
      </c>
      <c r="AA6432" s="9">
        <v>0</v>
      </c>
      <c r="AC6432" s="38">
        <v>0</v>
      </c>
    </row>
    <row r="6433" spans="1:29" x14ac:dyDescent="0.25">
      <c r="A6433" s="22">
        <v>44784</v>
      </c>
      <c r="B6433" s="9">
        <v>0</v>
      </c>
      <c r="C6433" s="9">
        <v>1</v>
      </c>
      <c r="D6433" s="9">
        <v>0</v>
      </c>
      <c r="E6433" s="9">
        <v>0</v>
      </c>
      <c r="F6433" s="9">
        <v>0</v>
      </c>
      <c r="G6433" s="9">
        <v>0</v>
      </c>
      <c r="H6433" s="9">
        <v>0</v>
      </c>
      <c r="I6433" s="9">
        <v>0</v>
      </c>
      <c r="J6433" s="9">
        <v>0</v>
      </c>
      <c r="K6433" s="9">
        <v>0</v>
      </c>
      <c r="L6433" s="9">
        <v>0</v>
      </c>
      <c r="M6433" s="9">
        <v>0</v>
      </c>
      <c r="N6433" s="9">
        <v>0.6</v>
      </c>
      <c r="O6433" s="9"/>
      <c r="P6433" s="9">
        <v>0</v>
      </c>
      <c r="Q6433" s="9">
        <v>0</v>
      </c>
      <c r="R6433" s="9">
        <v>0</v>
      </c>
      <c r="S6433" s="9"/>
      <c r="T6433" s="9">
        <v>0</v>
      </c>
      <c r="U6433" s="9">
        <v>10</v>
      </c>
      <c r="V6433" s="9">
        <v>0</v>
      </c>
      <c r="W6433" s="9">
        <v>0</v>
      </c>
      <c r="X6433" s="9">
        <v>6</v>
      </c>
      <c r="Y6433" s="9">
        <v>0</v>
      </c>
      <c r="Z6433" s="9">
        <v>0</v>
      </c>
      <c r="AA6433" s="9">
        <v>0</v>
      </c>
      <c r="AC6433" s="38">
        <v>0</v>
      </c>
    </row>
    <row r="6434" spans="1:29" x14ac:dyDescent="0.25">
      <c r="A6434" s="22">
        <v>44785</v>
      </c>
      <c r="B6434" s="9">
        <v>6</v>
      </c>
      <c r="C6434" s="9">
        <v>0.4</v>
      </c>
      <c r="D6434" s="9">
        <v>0.8</v>
      </c>
      <c r="E6434" s="9">
        <v>0</v>
      </c>
      <c r="F6434" s="9">
        <v>11</v>
      </c>
      <c r="G6434" s="9">
        <v>2</v>
      </c>
      <c r="H6434" s="9">
        <v>14.4</v>
      </c>
      <c r="I6434" s="9">
        <v>4</v>
      </c>
      <c r="J6434" s="9">
        <v>10.199999999999999</v>
      </c>
      <c r="K6434" s="9">
        <v>10</v>
      </c>
      <c r="L6434" s="9">
        <v>1.5</v>
      </c>
      <c r="M6434" s="9">
        <v>9.8000000000000007</v>
      </c>
      <c r="N6434" s="9">
        <v>24.4</v>
      </c>
      <c r="O6434" s="9"/>
      <c r="P6434" s="9">
        <v>0</v>
      </c>
      <c r="Q6434" s="9">
        <v>2.2999999999999998</v>
      </c>
      <c r="R6434" s="9">
        <v>2.5</v>
      </c>
      <c r="S6434" s="9"/>
      <c r="T6434" s="9">
        <v>2.4</v>
      </c>
      <c r="U6434" s="9">
        <v>0</v>
      </c>
      <c r="V6434" s="9">
        <v>7.3</v>
      </c>
      <c r="W6434" s="9">
        <v>6.2</v>
      </c>
      <c r="X6434" s="9">
        <v>10</v>
      </c>
      <c r="Y6434" s="9">
        <v>0.6</v>
      </c>
      <c r="Z6434" s="9">
        <v>10</v>
      </c>
      <c r="AA6434" s="9">
        <v>14</v>
      </c>
      <c r="AC6434" s="38">
        <v>11</v>
      </c>
    </row>
    <row r="6435" spans="1:29" x14ac:dyDescent="0.25">
      <c r="A6435" s="22">
        <v>44786</v>
      </c>
      <c r="B6435" s="9">
        <v>0</v>
      </c>
      <c r="C6435" s="9">
        <v>15.6</v>
      </c>
      <c r="D6435" s="9">
        <v>12</v>
      </c>
      <c r="E6435" s="9">
        <v>0</v>
      </c>
      <c r="F6435" s="9">
        <v>4.2</v>
      </c>
      <c r="G6435" s="9">
        <v>9</v>
      </c>
      <c r="H6435" s="9">
        <v>11</v>
      </c>
      <c r="I6435" s="9">
        <v>9.1</v>
      </c>
      <c r="J6435" s="9">
        <v>22</v>
      </c>
      <c r="K6435" s="9">
        <v>19.8</v>
      </c>
      <c r="L6435" s="9">
        <v>15.4</v>
      </c>
      <c r="M6435" s="9">
        <v>17.8</v>
      </c>
      <c r="N6435" s="9">
        <v>6.2</v>
      </c>
      <c r="O6435" s="9"/>
      <c r="P6435" s="9">
        <v>6</v>
      </c>
      <c r="Q6435" s="9">
        <v>11</v>
      </c>
      <c r="R6435" s="9">
        <v>7</v>
      </c>
      <c r="S6435" s="9"/>
      <c r="T6435" s="9">
        <v>0</v>
      </c>
      <c r="U6435" s="9">
        <v>13</v>
      </c>
      <c r="V6435" s="9">
        <v>0</v>
      </c>
      <c r="W6435" s="9">
        <v>6.2</v>
      </c>
      <c r="X6435" s="9">
        <v>2</v>
      </c>
      <c r="Y6435" s="9">
        <v>3</v>
      </c>
      <c r="Z6435" s="9">
        <v>0.8</v>
      </c>
      <c r="AA6435" s="9">
        <v>8</v>
      </c>
      <c r="AC6435" s="38">
        <v>0</v>
      </c>
    </row>
    <row r="6436" spans="1:29" x14ac:dyDescent="0.25">
      <c r="A6436" s="22">
        <v>44787</v>
      </c>
      <c r="B6436" s="9">
        <v>0</v>
      </c>
      <c r="C6436" s="9">
        <v>11.4</v>
      </c>
      <c r="D6436" s="9">
        <v>0.49</v>
      </c>
      <c r="E6436" s="9">
        <v>21</v>
      </c>
      <c r="F6436" s="9">
        <v>8.6</v>
      </c>
      <c r="G6436" s="9">
        <v>0</v>
      </c>
      <c r="H6436" s="9">
        <v>5.2</v>
      </c>
      <c r="I6436" s="9">
        <v>0</v>
      </c>
      <c r="J6436" s="9">
        <v>1</v>
      </c>
      <c r="K6436" s="9">
        <v>0</v>
      </c>
      <c r="L6436" s="9">
        <v>0.21</v>
      </c>
      <c r="M6436" s="9">
        <v>1</v>
      </c>
      <c r="N6436" s="9">
        <v>9</v>
      </c>
      <c r="O6436" s="9"/>
      <c r="P6436" s="9">
        <v>9.5</v>
      </c>
      <c r="Q6436" s="9">
        <v>0.7</v>
      </c>
      <c r="R6436" s="9">
        <v>2.1</v>
      </c>
      <c r="S6436" s="9"/>
      <c r="T6436" s="9">
        <v>8.1999999999999993</v>
      </c>
      <c r="U6436" s="9">
        <v>0</v>
      </c>
      <c r="V6436" s="9">
        <v>0</v>
      </c>
      <c r="W6436" s="9">
        <v>0.2</v>
      </c>
      <c r="X6436" s="9">
        <v>3</v>
      </c>
      <c r="Y6436" s="9">
        <v>1</v>
      </c>
      <c r="Z6436" s="9">
        <v>0.4</v>
      </c>
      <c r="AA6436" s="9">
        <v>0</v>
      </c>
      <c r="AC6436" s="38">
        <v>3</v>
      </c>
    </row>
    <row r="6437" spans="1:29" x14ac:dyDescent="0.25">
      <c r="A6437" s="22">
        <v>44788</v>
      </c>
      <c r="B6437" s="9">
        <v>0</v>
      </c>
      <c r="C6437" s="9">
        <v>2</v>
      </c>
      <c r="D6437" s="9">
        <v>12</v>
      </c>
      <c r="E6437" s="9">
        <v>0</v>
      </c>
      <c r="F6437" s="9">
        <v>0.2</v>
      </c>
      <c r="G6437" s="9">
        <v>4</v>
      </c>
      <c r="H6437" s="9">
        <v>11</v>
      </c>
      <c r="I6437" s="9">
        <v>4</v>
      </c>
      <c r="J6437" s="9">
        <v>4</v>
      </c>
      <c r="K6437" s="9">
        <v>7.2</v>
      </c>
      <c r="L6437" s="9">
        <v>17</v>
      </c>
      <c r="M6437" s="9">
        <v>8.4</v>
      </c>
      <c r="N6437" s="9">
        <v>1</v>
      </c>
      <c r="O6437" s="9"/>
      <c r="P6437" s="9">
        <v>17</v>
      </c>
      <c r="Q6437" s="9">
        <v>20</v>
      </c>
      <c r="R6437" s="9">
        <v>16</v>
      </c>
      <c r="S6437" s="9"/>
      <c r="T6437" s="9">
        <v>0</v>
      </c>
      <c r="U6437" s="9">
        <v>30</v>
      </c>
      <c r="V6437" s="9">
        <v>0</v>
      </c>
      <c r="W6437" s="9">
        <v>6.4</v>
      </c>
      <c r="X6437" s="9">
        <v>12</v>
      </c>
      <c r="Y6437" s="9">
        <v>3</v>
      </c>
      <c r="Z6437" s="9">
        <v>0</v>
      </c>
      <c r="AA6437" s="9">
        <v>10</v>
      </c>
      <c r="AC6437" s="38">
        <v>0</v>
      </c>
    </row>
    <row r="6438" spans="1:29" x14ac:dyDescent="0.25">
      <c r="A6438" s="22">
        <v>44789</v>
      </c>
      <c r="B6438" s="11">
        <v>0</v>
      </c>
      <c r="C6438" s="9">
        <v>0</v>
      </c>
      <c r="D6438" s="9">
        <v>0</v>
      </c>
      <c r="E6438" s="9">
        <v>0</v>
      </c>
      <c r="F6438" s="9">
        <v>0.2</v>
      </c>
      <c r="G6438" s="9">
        <v>0.5</v>
      </c>
      <c r="H6438" s="9">
        <v>0</v>
      </c>
      <c r="I6438" s="9">
        <v>4</v>
      </c>
      <c r="J6438" s="9">
        <v>0</v>
      </c>
      <c r="K6438" s="9">
        <v>0</v>
      </c>
      <c r="L6438" s="9">
        <v>6.4</v>
      </c>
      <c r="M6438" s="9">
        <v>0</v>
      </c>
      <c r="N6438" s="9">
        <v>1.2</v>
      </c>
      <c r="O6438" s="9"/>
      <c r="P6438" s="9">
        <v>0</v>
      </c>
      <c r="Q6438" s="9">
        <v>0</v>
      </c>
      <c r="R6438" s="9">
        <v>0</v>
      </c>
      <c r="S6438" s="9"/>
      <c r="T6438" s="9">
        <v>0.2</v>
      </c>
      <c r="U6438" s="9">
        <v>0</v>
      </c>
      <c r="V6438" s="9">
        <v>0.2</v>
      </c>
      <c r="W6438" s="9">
        <v>0</v>
      </c>
      <c r="X6438" s="9">
        <v>0</v>
      </c>
      <c r="Y6438" s="9">
        <v>0</v>
      </c>
      <c r="Z6438" s="9">
        <v>0</v>
      </c>
      <c r="AA6438" s="9">
        <v>0</v>
      </c>
      <c r="AC6438" s="38">
        <v>0</v>
      </c>
    </row>
    <row r="6439" spans="1:29" x14ac:dyDescent="0.25">
      <c r="A6439" s="22">
        <v>44790</v>
      </c>
      <c r="B6439" s="11">
        <v>0</v>
      </c>
      <c r="C6439" s="9">
        <v>1.6</v>
      </c>
      <c r="D6439" s="9">
        <v>3.6</v>
      </c>
      <c r="E6439" s="9">
        <v>0</v>
      </c>
      <c r="F6439" s="9">
        <v>0</v>
      </c>
      <c r="G6439" s="9">
        <v>16</v>
      </c>
      <c r="H6439" s="9">
        <v>19.600000000000001</v>
      </c>
      <c r="I6439" s="9">
        <v>8.9</v>
      </c>
      <c r="J6439" s="9">
        <v>20</v>
      </c>
      <c r="K6439" s="9">
        <v>17.5</v>
      </c>
      <c r="L6439" s="9">
        <v>1.27</v>
      </c>
      <c r="M6439" s="9">
        <v>16</v>
      </c>
      <c r="N6439" s="9">
        <v>4</v>
      </c>
      <c r="O6439" s="9"/>
      <c r="P6439" s="9">
        <v>4</v>
      </c>
      <c r="Q6439" s="9">
        <v>0</v>
      </c>
      <c r="R6439" s="9">
        <v>0</v>
      </c>
      <c r="S6439" s="9"/>
      <c r="T6439" s="9">
        <v>0</v>
      </c>
      <c r="U6439" s="9">
        <v>0</v>
      </c>
      <c r="V6439" s="9">
        <v>0</v>
      </c>
      <c r="W6439" s="9">
        <v>0</v>
      </c>
      <c r="X6439" s="9">
        <v>0</v>
      </c>
      <c r="Y6439" s="9">
        <v>0</v>
      </c>
      <c r="Z6439" s="9">
        <v>0</v>
      </c>
      <c r="AA6439" s="9">
        <v>5</v>
      </c>
      <c r="AC6439" s="38">
        <v>6</v>
      </c>
    </row>
    <row r="6440" spans="1:29" x14ac:dyDescent="0.25">
      <c r="A6440" s="22">
        <v>44791</v>
      </c>
      <c r="B6440" s="11">
        <v>10</v>
      </c>
      <c r="C6440" s="9">
        <v>6</v>
      </c>
      <c r="D6440" s="9">
        <v>3.6</v>
      </c>
      <c r="E6440" s="9">
        <v>9</v>
      </c>
      <c r="F6440" s="9">
        <v>13.4</v>
      </c>
      <c r="G6440" s="9">
        <v>16</v>
      </c>
      <c r="H6440" s="9">
        <v>19.600000000000001</v>
      </c>
      <c r="I6440" s="9">
        <v>8.9</v>
      </c>
      <c r="J6440" s="9">
        <v>20</v>
      </c>
      <c r="K6440" s="9">
        <v>17.5</v>
      </c>
      <c r="L6440" s="9">
        <v>11.4</v>
      </c>
      <c r="M6440" s="9">
        <v>16</v>
      </c>
      <c r="N6440" s="9">
        <v>12.2</v>
      </c>
      <c r="O6440" s="9"/>
      <c r="P6440" s="9">
        <v>2.5</v>
      </c>
      <c r="Q6440" s="9">
        <v>22</v>
      </c>
      <c r="R6440" s="9">
        <v>8.1</v>
      </c>
      <c r="S6440" s="9"/>
      <c r="T6440" s="9">
        <v>6.2</v>
      </c>
      <c r="U6440" s="9">
        <v>26</v>
      </c>
      <c r="V6440" s="9">
        <v>0</v>
      </c>
      <c r="W6440" s="9">
        <v>0</v>
      </c>
      <c r="X6440" s="9">
        <v>8</v>
      </c>
      <c r="Y6440" s="9">
        <v>9</v>
      </c>
      <c r="Z6440" s="9">
        <v>0</v>
      </c>
      <c r="AA6440" s="9">
        <v>10</v>
      </c>
      <c r="AC6440" s="38">
        <v>8</v>
      </c>
    </row>
    <row r="6441" spans="1:29" x14ac:dyDescent="0.25">
      <c r="A6441" s="22">
        <v>44792</v>
      </c>
      <c r="B6441" s="11">
        <v>0</v>
      </c>
      <c r="C6441" s="9">
        <v>10.8</v>
      </c>
      <c r="D6441" s="9">
        <v>8.1999999999999993</v>
      </c>
      <c r="E6441" s="9">
        <v>4</v>
      </c>
      <c r="F6441" s="9">
        <v>7.4</v>
      </c>
      <c r="G6441" s="9">
        <v>16</v>
      </c>
      <c r="H6441" s="9">
        <v>19.600000000000001</v>
      </c>
      <c r="I6441" s="9">
        <v>8.9</v>
      </c>
      <c r="J6441" s="9">
        <v>20</v>
      </c>
      <c r="K6441" s="9">
        <v>17.5</v>
      </c>
      <c r="L6441" s="9">
        <v>5.3</v>
      </c>
      <c r="M6441" s="9">
        <v>16</v>
      </c>
      <c r="N6441" s="9">
        <v>11.4</v>
      </c>
      <c r="O6441" s="9"/>
      <c r="P6441" s="9">
        <v>4</v>
      </c>
      <c r="Q6441" s="9">
        <v>8</v>
      </c>
      <c r="R6441" s="9">
        <v>10.199999999999999</v>
      </c>
      <c r="S6441" s="9"/>
      <c r="T6441" s="9">
        <v>0.8</v>
      </c>
      <c r="U6441" s="9">
        <v>6</v>
      </c>
      <c r="V6441" s="9">
        <v>0</v>
      </c>
      <c r="W6441" s="9">
        <v>0</v>
      </c>
      <c r="X6441" s="9">
        <v>4</v>
      </c>
      <c r="Y6441" s="9">
        <v>2</v>
      </c>
      <c r="Z6441" s="9">
        <v>2</v>
      </c>
      <c r="AA6441" s="9">
        <v>5</v>
      </c>
      <c r="AC6441" s="38">
        <v>0</v>
      </c>
    </row>
    <row r="6442" spans="1:29" x14ac:dyDescent="0.25">
      <c r="A6442" s="22">
        <v>44793</v>
      </c>
      <c r="B6442" s="11">
        <v>72</v>
      </c>
      <c r="C6442" s="9">
        <v>41.2</v>
      </c>
      <c r="D6442" s="9">
        <v>46.6</v>
      </c>
      <c r="E6442" s="9">
        <v>0</v>
      </c>
      <c r="F6442" s="9">
        <v>40.6</v>
      </c>
      <c r="G6442" s="9">
        <v>15.5</v>
      </c>
      <c r="H6442" s="9">
        <v>28.6</v>
      </c>
      <c r="I6442" s="9">
        <v>13.8</v>
      </c>
      <c r="J6442" s="9">
        <v>28.2</v>
      </c>
      <c r="K6442" s="9">
        <v>13.8</v>
      </c>
      <c r="L6442" s="9">
        <v>60.7</v>
      </c>
      <c r="M6442" s="9">
        <v>20.8</v>
      </c>
      <c r="N6442" s="9">
        <v>39.799999999999997</v>
      </c>
      <c r="O6442" s="9"/>
      <c r="P6442" s="9">
        <v>90.5</v>
      </c>
      <c r="Q6442" s="9">
        <v>69</v>
      </c>
      <c r="R6442" s="9">
        <v>52.4</v>
      </c>
      <c r="S6442" s="9"/>
      <c r="T6442" s="9">
        <v>18.399999999999999</v>
      </c>
      <c r="U6442" s="9">
        <v>54</v>
      </c>
      <c r="V6442" s="9">
        <v>0.5</v>
      </c>
      <c r="W6442" s="9">
        <v>2.2000000000000002</v>
      </c>
      <c r="X6442" s="9">
        <v>42</v>
      </c>
      <c r="Y6442" s="9">
        <v>23</v>
      </c>
      <c r="Z6442" s="9">
        <v>38</v>
      </c>
      <c r="AA6442" s="9">
        <v>5</v>
      </c>
      <c r="AC6442" s="38">
        <v>4</v>
      </c>
    </row>
    <row r="6443" spans="1:29" x14ac:dyDescent="0.25">
      <c r="A6443" s="22">
        <v>44794</v>
      </c>
      <c r="B6443" s="11">
        <v>5</v>
      </c>
      <c r="C6443" s="9">
        <v>2.4</v>
      </c>
      <c r="D6443" s="9">
        <v>0.8</v>
      </c>
      <c r="E6443" s="9">
        <v>55</v>
      </c>
      <c r="F6443" s="9">
        <v>30</v>
      </c>
      <c r="G6443" s="9">
        <v>15.5</v>
      </c>
      <c r="H6443" s="9">
        <v>12.3</v>
      </c>
      <c r="I6443" s="9">
        <v>0.2</v>
      </c>
      <c r="J6443" s="9">
        <v>1.2</v>
      </c>
      <c r="K6443" s="9">
        <v>2</v>
      </c>
      <c r="L6443" s="9">
        <v>6.4</v>
      </c>
      <c r="M6443" s="9">
        <v>4.2</v>
      </c>
      <c r="N6443" s="9">
        <v>24.6</v>
      </c>
      <c r="O6443" s="9"/>
      <c r="P6443" s="9">
        <v>7</v>
      </c>
      <c r="Q6443" s="9">
        <v>5.8</v>
      </c>
      <c r="R6443" s="9">
        <v>7.9</v>
      </c>
      <c r="S6443" s="9"/>
      <c r="T6443" s="9">
        <v>22.8</v>
      </c>
      <c r="U6443" s="9">
        <v>10</v>
      </c>
      <c r="V6443" s="9">
        <v>0.5</v>
      </c>
      <c r="W6443" s="9">
        <v>2.2000000000000002</v>
      </c>
      <c r="X6443" s="9">
        <v>18</v>
      </c>
      <c r="Y6443" s="9">
        <v>0</v>
      </c>
      <c r="Z6443" s="9">
        <v>0.4</v>
      </c>
      <c r="AA6443" s="9">
        <v>5</v>
      </c>
      <c r="AC6443" s="38">
        <v>15</v>
      </c>
    </row>
    <row r="6444" spans="1:29" x14ac:dyDescent="0.25">
      <c r="A6444" s="22">
        <v>44795</v>
      </c>
      <c r="B6444" s="11">
        <v>47</v>
      </c>
      <c r="C6444" s="9">
        <v>21.6</v>
      </c>
      <c r="D6444" s="9">
        <v>32</v>
      </c>
      <c r="E6444" s="9">
        <v>45</v>
      </c>
      <c r="F6444" s="9">
        <v>13.8</v>
      </c>
      <c r="G6444" s="9">
        <v>15.5</v>
      </c>
      <c r="H6444" s="9">
        <v>12.3</v>
      </c>
      <c r="I6444" s="9">
        <v>18.3</v>
      </c>
      <c r="J6444" s="9">
        <v>1.2</v>
      </c>
      <c r="K6444" s="9">
        <v>34.6</v>
      </c>
      <c r="L6444" s="9">
        <v>22.1</v>
      </c>
      <c r="M6444" s="9">
        <v>30</v>
      </c>
      <c r="N6444" s="9">
        <v>18.8</v>
      </c>
      <c r="O6444" s="9"/>
      <c r="P6444" s="9">
        <v>20</v>
      </c>
      <c r="Q6444" s="9">
        <v>37.6</v>
      </c>
      <c r="R6444" s="9">
        <v>44.1</v>
      </c>
      <c r="S6444" s="9"/>
      <c r="T6444" s="9">
        <v>19.2</v>
      </c>
      <c r="U6444" s="9">
        <v>40</v>
      </c>
      <c r="V6444" s="9">
        <v>0.5</v>
      </c>
      <c r="W6444" s="9">
        <v>2.2000000000000002</v>
      </c>
      <c r="X6444" s="9">
        <v>9</v>
      </c>
      <c r="Y6444" s="9">
        <v>15</v>
      </c>
      <c r="Z6444" s="9">
        <v>36</v>
      </c>
      <c r="AA6444" s="9">
        <v>5</v>
      </c>
      <c r="AC6444" s="38">
        <v>16</v>
      </c>
    </row>
    <row r="6445" spans="1:29" x14ac:dyDescent="0.25">
      <c r="A6445" s="22">
        <v>44796</v>
      </c>
      <c r="B6445" s="11">
        <v>15</v>
      </c>
      <c r="C6445" s="9">
        <v>11.6</v>
      </c>
      <c r="D6445" s="9">
        <v>12</v>
      </c>
      <c r="E6445" s="9">
        <v>16</v>
      </c>
      <c r="F6445" s="9">
        <v>26.2</v>
      </c>
      <c r="G6445" s="9">
        <v>7</v>
      </c>
      <c r="H6445" s="9">
        <v>18.399999999999999</v>
      </c>
      <c r="I6445" s="9">
        <v>8.8000000000000007</v>
      </c>
      <c r="J6445" s="9">
        <v>6.5</v>
      </c>
      <c r="K6445" s="9">
        <v>8.1999999999999993</v>
      </c>
      <c r="L6445" s="9">
        <v>18</v>
      </c>
      <c r="M6445" s="9">
        <v>19.8</v>
      </c>
      <c r="N6445" s="9">
        <v>26.2</v>
      </c>
      <c r="O6445" s="9"/>
      <c r="P6445" s="9">
        <v>6</v>
      </c>
      <c r="Q6445" s="9">
        <v>12.7</v>
      </c>
      <c r="R6445" s="9">
        <v>29.8</v>
      </c>
      <c r="S6445" s="9"/>
      <c r="T6445" s="9">
        <v>23.8</v>
      </c>
      <c r="U6445" s="9">
        <v>0</v>
      </c>
      <c r="V6445" s="9">
        <v>0.6</v>
      </c>
      <c r="W6445" s="9">
        <v>0.8</v>
      </c>
      <c r="X6445" s="9">
        <v>12.7</v>
      </c>
      <c r="Y6445" s="9">
        <v>10</v>
      </c>
      <c r="Z6445" s="9">
        <v>12</v>
      </c>
      <c r="AA6445" s="9">
        <v>14</v>
      </c>
      <c r="AC6445" s="38">
        <v>11</v>
      </c>
    </row>
    <row r="6446" spans="1:29" x14ac:dyDescent="0.25">
      <c r="A6446" s="22">
        <v>44797</v>
      </c>
      <c r="B6446" s="11">
        <v>15</v>
      </c>
      <c r="C6446" s="9">
        <v>14</v>
      </c>
      <c r="D6446" s="9">
        <v>12</v>
      </c>
      <c r="E6446" s="9">
        <v>21</v>
      </c>
      <c r="F6446" s="9">
        <v>10.199999999999999</v>
      </c>
      <c r="G6446" s="9">
        <v>27.5</v>
      </c>
      <c r="H6446" s="9">
        <v>6.4</v>
      </c>
      <c r="I6446" s="9">
        <v>24</v>
      </c>
      <c r="J6446" s="9">
        <v>30.8</v>
      </c>
      <c r="K6446" s="9">
        <v>32.4</v>
      </c>
      <c r="L6446" s="9">
        <v>18</v>
      </c>
      <c r="M6446" s="9">
        <v>17.600000000000001</v>
      </c>
      <c r="N6446" s="9">
        <v>5</v>
      </c>
      <c r="O6446" s="9"/>
      <c r="P6446" s="9">
        <v>6</v>
      </c>
      <c r="Q6446" s="9">
        <v>12.7</v>
      </c>
      <c r="R6446" s="9">
        <v>29.8</v>
      </c>
      <c r="S6446" s="9"/>
      <c r="T6446" s="9">
        <v>2.6</v>
      </c>
      <c r="U6446" s="9">
        <v>0</v>
      </c>
      <c r="V6446" s="9">
        <v>27.5</v>
      </c>
      <c r="W6446" s="9">
        <v>28.3</v>
      </c>
      <c r="X6446" s="9">
        <v>8</v>
      </c>
      <c r="Y6446" s="9">
        <v>10</v>
      </c>
      <c r="Z6446" s="9">
        <v>12</v>
      </c>
      <c r="AA6446" s="9">
        <v>12</v>
      </c>
      <c r="AC6446" s="38">
        <v>2</v>
      </c>
    </row>
    <row r="6447" spans="1:29" x14ac:dyDescent="0.25">
      <c r="A6447" s="22">
        <v>44798</v>
      </c>
      <c r="B6447" s="11">
        <v>20</v>
      </c>
      <c r="C6447" s="9">
        <v>5</v>
      </c>
      <c r="D6447" s="9">
        <v>12</v>
      </c>
      <c r="E6447" s="9">
        <v>19</v>
      </c>
      <c r="F6447" s="9">
        <v>11.8</v>
      </c>
      <c r="G6447" s="9">
        <v>5.9</v>
      </c>
      <c r="H6447" s="9">
        <v>6.4</v>
      </c>
      <c r="I6447" s="9">
        <v>6</v>
      </c>
      <c r="J6447" s="9">
        <v>11.8</v>
      </c>
      <c r="K6447" s="9">
        <v>8.4</v>
      </c>
      <c r="L6447" s="9">
        <v>18</v>
      </c>
      <c r="M6447" s="9">
        <v>10.199999999999999</v>
      </c>
      <c r="N6447" s="9">
        <v>7.6</v>
      </c>
      <c r="O6447" s="9"/>
      <c r="P6447" s="9">
        <v>6</v>
      </c>
      <c r="Q6447" s="9">
        <v>12.7</v>
      </c>
      <c r="R6447" s="9">
        <v>29.8</v>
      </c>
      <c r="S6447" s="9"/>
      <c r="T6447" s="9">
        <v>2.2000000000000002</v>
      </c>
      <c r="U6447" s="9">
        <v>0</v>
      </c>
      <c r="V6447" s="9">
        <v>7.2</v>
      </c>
      <c r="W6447" s="9">
        <v>28.3</v>
      </c>
      <c r="X6447" s="9">
        <v>8</v>
      </c>
      <c r="Y6447" s="9">
        <v>10</v>
      </c>
      <c r="Z6447" s="9">
        <v>12</v>
      </c>
      <c r="AA6447" s="9">
        <v>19</v>
      </c>
      <c r="AC6447" s="38">
        <v>2</v>
      </c>
    </row>
    <row r="6448" spans="1:29" x14ac:dyDescent="0.25">
      <c r="A6448" s="22">
        <v>44799</v>
      </c>
      <c r="B6448" s="11">
        <v>0</v>
      </c>
      <c r="C6448" s="9">
        <v>25.2</v>
      </c>
      <c r="D6448" s="9">
        <v>5.2</v>
      </c>
      <c r="E6448" s="9">
        <v>9</v>
      </c>
      <c r="F6448" s="9">
        <v>1.6</v>
      </c>
      <c r="G6448" s="9">
        <v>3</v>
      </c>
      <c r="H6448" s="9">
        <v>0</v>
      </c>
      <c r="I6448" s="9">
        <v>0.4</v>
      </c>
      <c r="J6448" s="9">
        <v>8.1999999999999993</v>
      </c>
      <c r="K6448" s="9">
        <v>26.2</v>
      </c>
      <c r="L6448" s="9">
        <v>24</v>
      </c>
      <c r="M6448" s="9">
        <v>4</v>
      </c>
      <c r="N6448" s="9">
        <v>6.6</v>
      </c>
      <c r="O6448" s="9"/>
      <c r="P6448" s="9">
        <v>24</v>
      </c>
      <c r="Q6448" s="9">
        <v>13.8</v>
      </c>
      <c r="R6448" s="9">
        <v>14.2</v>
      </c>
      <c r="S6448" s="9"/>
      <c r="T6448" s="9">
        <v>4.8</v>
      </c>
      <c r="U6448" s="9">
        <v>10</v>
      </c>
      <c r="V6448" s="9">
        <v>4.2</v>
      </c>
      <c r="W6448" s="9">
        <v>0</v>
      </c>
      <c r="X6448" s="9">
        <v>14</v>
      </c>
      <c r="Y6448" s="9">
        <v>18</v>
      </c>
      <c r="Z6448" s="9">
        <v>0</v>
      </c>
      <c r="AA6448" s="9">
        <v>7.4</v>
      </c>
      <c r="AC6448" s="38">
        <v>2</v>
      </c>
    </row>
    <row r="6449" spans="1:29" x14ac:dyDescent="0.25">
      <c r="A6449" s="22">
        <v>44800</v>
      </c>
      <c r="B6449" s="11">
        <v>0</v>
      </c>
      <c r="C6449" s="9">
        <v>2</v>
      </c>
      <c r="D6449" s="9">
        <v>1.6</v>
      </c>
      <c r="E6449" s="9">
        <v>0</v>
      </c>
      <c r="F6449" s="9">
        <v>6.4</v>
      </c>
      <c r="G6449" s="9">
        <v>3</v>
      </c>
      <c r="H6449" s="9">
        <v>7.8</v>
      </c>
      <c r="I6449" s="9">
        <v>6.4</v>
      </c>
      <c r="J6449" s="9">
        <v>0.6</v>
      </c>
      <c r="K6449" s="9">
        <v>1</v>
      </c>
      <c r="L6449" s="9">
        <v>5.3</v>
      </c>
      <c r="M6449" s="9">
        <v>6.6</v>
      </c>
      <c r="N6449" s="9">
        <v>4</v>
      </c>
      <c r="O6449" s="9"/>
      <c r="P6449" s="9">
        <v>5</v>
      </c>
      <c r="Q6449" s="9">
        <v>13</v>
      </c>
      <c r="R6449" s="9">
        <v>10.1</v>
      </c>
      <c r="S6449" s="9"/>
      <c r="T6449" s="9">
        <v>0</v>
      </c>
      <c r="U6449" s="9">
        <v>0</v>
      </c>
      <c r="V6449" s="9">
        <v>0.2</v>
      </c>
      <c r="W6449" s="9">
        <v>0</v>
      </c>
      <c r="X6449" s="9">
        <v>6</v>
      </c>
      <c r="Y6449" s="9">
        <v>0</v>
      </c>
      <c r="Z6449" s="9">
        <v>0.4</v>
      </c>
      <c r="AA6449" s="9">
        <v>4</v>
      </c>
      <c r="AC6449" s="38">
        <v>0</v>
      </c>
    </row>
    <row r="6450" spans="1:29" x14ac:dyDescent="0.25">
      <c r="A6450" s="22">
        <v>44801</v>
      </c>
      <c r="B6450" s="11">
        <v>0</v>
      </c>
      <c r="C6450" s="9">
        <v>0</v>
      </c>
      <c r="D6450" s="9">
        <v>0</v>
      </c>
      <c r="E6450" s="9">
        <v>10</v>
      </c>
      <c r="F6450" s="9">
        <v>0.4</v>
      </c>
      <c r="G6450" s="9">
        <v>0</v>
      </c>
      <c r="H6450" s="9">
        <v>0</v>
      </c>
      <c r="I6450" s="9">
        <v>0</v>
      </c>
      <c r="J6450" s="9">
        <v>1.9</v>
      </c>
      <c r="K6450" s="9">
        <v>1</v>
      </c>
      <c r="L6450" s="9">
        <v>0</v>
      </c>
      <c r="M6450" s="9">
        <v>0</v>
      </c>
      <c r="N6450" s="9">
        <v>7</v>
      </c>
      <c r="O6450" s="9"/>
      <c r="P6450" s="9">
        <v>0</v>
      </c>
      <c r="Q6450" s="9">
        <v>1.2</v>
      </c>
      <c r="R6450" s="9">
        <v>2.1</v>
      </c>
      <c r="S6450" s="9"/>
      <c r="T6450" s="9">
        <v>3</v>
      </c>
      <c r="U6450" s="9">
        <v>4</v>
      </c>
      <c r="V6450" s="9">
        <v>0.3</v>
      </c>
      <c r="W6450" s="9">
        <v>0.2</v>
      </c>
      <c r="X6450" s="9">
        <v>10</v>
      </c>
      <c r="Y6450" s="9">
        <v>0</v>
      </c>
      <c r="Z6450" s="9">
        <v>0.5</v>
      </c>
      <c r="AA6450" s="9">
        <v>0</v>
      </c>
      <c r="AC6450" s="38">
        <v>0</v>
      </c>
    </row>
    <row r="6451" spans="1:29" x14ac:dyDescent="0.25">
      <c r="A6451" s="22">
        <v>44802</v>
      </c>
      <c r="B6451" s="11">
        <v>16</v>
      </c>
      <c r="C6451" s="9">
        <v>11.2</v>
      </c>
      <c r="D6451" s="9">
        <v>16.600000000000001</v>
      </c>
      <c r="E6451" s="9">
        <v>14</v>
      </c>
      <c r="F6451" s="9">
        <v>22.6</v>
      </c>
      <c r="G6451" s="9">
        <v>37.5</v>
      </c>
      <c r="H6451" s="9">
        <v>32.299999999999997</v>
      </c>
      <c r="I6451" s="9">
        <v>9</v>
      </c>
      <c r="J6451" s="9">
        <v>26.9</v>
      </c>
      <c r="K6451" s="9">
        <v>21</v>
      </c>
      <c r="L6451" s="9">
        <v>14.6</v>
      </c>
      <c r="M6451" s="9">
        <v>34</v>
      </c>
      <c r="N6451" s="9">
        <v>13.6</v>
      </c>
      <c r="O6451" s="9"/>
      <c r="P6451" s="9">
        <v>4</v>
      </c>
      <c r="Q6451" s="9">
        <v>11.8</v>
      </c>
      <c r="R6451" s="9">
        <v>17.100000000000001</v>
      </c>
      <c r="S6451" s="9"/>
      <c r="T6451" s="9">
        <v>0</v>
      </c>
      <c r="U6451" s="9">
        <v>20</v>
      </c>
      <c r="V6451" s="9">
        <v>38.9</v>
      </c>
      <c r="W6451" s="9">
        <v>30.2</v>
      </c>
      <c r="X6451" s="9">
        <v>10</v>
      </c>
      <c r="Y6451" s="9">
        <v>5</v>
      </c>
      <c r="Z6451" s="9">
        <v>0.8</v>
      </c>
      <c r="AA6451" s="9">
        <v>18</v>
      </c>
      <c r="AC6451" s="38">
        <v>25</v>
      </c>
    </row>
    <row r="6452" spans="1:29" x14ac:dyDescent="0.25">
      <c r="A6452" s="22">
        <v>44803</v>
      </c>
      <c r="B6452" s="9">
        <v>0</v>
      </c>
      <c r="C6452" s="9">
        <v>2.4</v>
      </c>
      <c r="D6452" s="9">
        <v>2</v>
      </c>
      <c r="E6452" s="9">
        <v>6</v>
      </c>
      <c r="F6452" s="9">
        <v>0.6</v>
      </c>
      <c r="G6452" s="9">
        <v>2.5</v>
      </c>
      <c r="H6452" s="9">
        <v>0</v>
      </c>
      <c r="I6452" s="9">
        <v>17.8</v>
      </c>
      <c r="J6452" s="9">
        <v>44</v>
      </c>
      <c r="K6452" s="9">
        <v>3</v>
      </c>
      <c r="L6452" s="9">
        <v>0</v>
      </c>
      <c r="M6452" s="9">
        <v>1.2</v>
      </c>
      <c r="N6452" s="9">
        <v>0.8</v>
      </c>
      <c r="O6452" s="9"/>
      <c r="P6452" s="9">
        <v>2</v>
      </c>
      <c r="Q6452" s="9">
        <v>1</v>
      </c>
      <c r="R6452" s="9">
        <v>0</v>
      </c>
      <c r="S6452" s="9"/>
      <c r="T6452" s="9">
        <v>1.8</v>
      </c>
      <c r="U6452" s="9">
        <v>0</v>
      </c>
      <c r="V6452" s="9">
        <v>0.8</v>
      </c>
      <c r="W6452" s="9">
        <v>0.2</v>
      </c>
      <c r="X6452" s="9">
        <v>0</v>
      </c>
      <c r="Y6452" s="9">
        <v>0</v>
      </c>
      <c r="Z6452" s="9">
        <v>0</v>
      </c>
      <c r="AA6452" s="9">
        <v>5</v>
      </c>
      <c r="AC6452" s="38">
        <v>0</v>
      </c>
    </row>
    <row r="6453" spans="1:29" x14ac:dyDescent="0.25">
      <c r="A6453" s="22">
        <v>44804</v>
      </c>
      <c r="B6453" s="9">
        <v>0</v>
      </c>
      <c r="C6453" s="11">
        <v>0</v>
      </c>
      <c r="D6453" s="11">
        <v>2</v>
      </c>
      <c r="E6453" s="9">
        <v>0</v>
      </c>
      <c r="F6453" s="9">
        <v>0</v>
      </c>
      <c r="G6453" s="11">
        <v>0.5</v>
      </c>
      <c r="H6453" s="9">
        <v>0</v>
      </c>
      <c r="I6453" s="11">
        <v>0</v>
      </c>
      <c r="J6453" s="11">
        <v>0</v>
      </c>
      <c r="K6453" s="11">
        <v>0</v>
      </c>
      <c r="L6453" s="9">
        <v>0</v>
      </c>
      <c r="M6453" s="11">
        <v>0</v>
      </c>
      <c r="N6453" s="9">
        <v>0.8</v>
      </c>
      <c r="O6453" s="9"/>
      <c r="P6453" s="9">
        <v>2</v>
      </c>
      <c r="Q6453" s="11">
        <v>1</v>
      </c>
      <c r="R6453" s="11">
        <v>0</v>
      </c>
      <c r="S6453" s="9"/>
      <c r="T6453" s="9">
        <v>0</v>
      </c>
      <c r="U6453" s="11">
        <v>0</v>
      </c>
      <c r="V6453" s="9">
        <v>0</v>
      </c>
      <c r="W6453" s="9">
        <v>0</v>
      </c>
      <c r="X6453" s="11">
        <v>0</v>
      </c>
      <c r="Y6453" s="9">
        <v>0</v>
      </c>
      <c r="Z6453" s="9">
        <v>0</v>
      </c>
      <c r="AA6453" s="9">
        <v>0</v>
      </c>
      <c r="AC6453" s="38">
        <v>0</v>
      </c>
    </row>
    <row r="6454" spans="1:29" x14ac:dyDescent="0.25">
      <c r="A6454" s="22">
        <v>44805</v>
      </c>
      <c r="B6454" s="7">
        <v>5</v>
      </c>
      <c r="C6454" s="7">
        <v>1.6</v>
      </c>
      <c r="D6454" s="7">
        <v>3.4</v>
      </c>
      <c r="E6454" s="7"/>
      <c r="F6454" s="8">
        <v>6.2</v>
      </c>
      <c r="G6454" s="7">
        <v>0.1</v>
      </c>
      <c r="H6454" s="7">
        <v>10.199999999999999</v>
      </c>
      <c r="I6454" s="7">
        <v>0.5</v>
      </c>
      <c r="J6454" s="7">
        <v>0.3</v>
      </c>
      <c r="K6454" s="7">
        <v>1</v>
      </c>
      <c r="L6454" s="7">
        <v>3.556</v>
      </c>
      <c r="M6454" s="7">
        <v>10.199999999999999</v>
      </c>
      <c r="N6454" s="8">
        <v>2</v>
      </c>
      <c r="O6454" s="7"/>
      <c r="P6454" s="7">
        <v>4</v>
      </c>
      <c r="Q6454" s="7">
        <v>0</v>
      </c>
      <c r="R6454" s="7">
        <v>6.2</v>
      </c>
      <c r="S6454" s="8"/>
      <c r="T6454" s="8">
        <v>0.6</v>
      </c>
      <c r="U6454" s="7">
        <v>5</v>
      </c>
      <c r="V6454" s="7">
        <v>0</v>
      </c>
      <c r="W6454" s="7">
        <v>0</v>
      </c>
      <c r="X6454" s="7">
        <v>0</v>
      </c>
      <c r="Y6454" s="7">
        <v>4</v>
      </c>
      <c r="Z6454" s="7" t="s">
        <v>9</v>
      </c>
      <c r="AA6454" s="7">
        <v>0</v>
      </c>
      <c r="AC6454" s="38">
        <v>0</v>
      </c>
    </row>
    <row r="6455" spans="1:29" x14ac:dyDescent="0.25">
      <c r="A6455" s="22">
        <v>44806</v>
      </c>
      <c r="B6455" s="7">
        <v>0</v>
      </c>
      <c r="C6455" s="30" t="s">
        <v>9</v>
      </c>
      <c r="D6455" s="30" t="s">
        <v>9</v>
      </c>
      <c r="E6455" s="7"/>
      <c r="F6455" s="8">
        <v>0</v>
      </c>
      <c r="G6455" s="7">
        <v>16.5</v>
      </c>
      <c r="H6455" s="7">
        <v>0</v>
      </c>
      <c r="I6455" s="7">
        <v>0</v>
      </c>
      <c r="J6455" s="7">
        <v>0</v>
      </c>
      <c r="K6455" s="7">
        <v>0</v>
      </c>
      <c r="L6455" s="7">
        <v>1.5239999999999998</v>
      </c>
      <c r="M6455" s="7">
        <v>0</v>
      </c>
      <c r="N6455" s="8">
        <v>21.6</v>
      </c>
      <c r="O6455" s="7"/>
      <c r="P6455" s="7">
        <v>4.5</v>
      </c>
      <c r="Q6455" s="7">
        <v>3.2</v>
      </c>
      <c r="R6455" s="7" t="s">
        <v>9</v>
      </c>
      <c r="S6455" s="8"/>
      <c r="T6455" s="8">
        <v>5.2</v>
      </c>
      <c r="U6455" s="7">
        <v>0</v>
      </c>
      <c r="V6455" s="7">
        <v>0</v>
      </c>
      <c r="W6455" s="7">
        <v>0</v>
      </c>
      <c r="X6455" s="7">
        <v>0</v>
      </c>
      <c r="Y6455" s="7" t="s">
        <v>9</v>
      </c>
      <c r="Z6455" s="7">
        <v>0</v>
      </c>
      <c r="AA6455" s="7">
        <v>0</v>
      </c>
      <c r="AC6455" s="38">
        <v>0</v>
      </c>
    </row>
    <row r="6456" spans="1:29" x14ac:dyDescent="0.25">
      <c r="A6456" s="22">
        <v>44807</v>
      </c>
      <c r="B6456" s="7">
        <v>37</v>
      </c>
      <c r="C6456" s="7">
        <v>9.6</v>
      </c>
      <c r="D6456" s="7">
        <v>10</v>
      </c>
      <c r="E6456" s="7"/>
      <c r="F6456" s="8">
        <v>0</v>
      </c>
      <c r="G6456" s="7">
        <v>0.1</v>
      </c>
      <c r="H6456" s="7">
        <v>1.7</v>
      </c>
      <c r="I6456" s="7">
        <v>1</v>
      </c>
      <c r="J6456" s="7">
        <v>12.6</v>
      </c>
      <c r="K6456" s="7">
        <v>26.2</v>
      </c>
      <c r="L6456" s="7">
        <v>2.2859999999999996</v>
      </c>
      <c r="M6456" s="7">
        <v>2</v>
      </c>
      <c r="N6456" s="8">
        <v>2.4</v>
      </c>
      <c r="O6456" s="7"/>
      <c r="P6456" s="7">
        <v>6.5</v>
      </c>
      <c r="Q6456" s="7">
        <v>2</v>
      </c>
      <c r="R6456" s="7" t="s">
        <v>9</v>
      </c>
      <c r="S6456" s="8"/>
      <c r="T6456" s="8">
        <v>0</v>
      </c>
      <c r="U6456" s="7">
        <v>48</v>
      </c>
      <c r="V6456" s="7">
        <v>0.4</v>
      </c>
      <c r="W6456" s="7">
        <v>0.6</v>
      </c>
      <c r="X6456" s="7">
        <v>0</v>
      </c>
      <c r="Y6456" s="7" t="s">
        <v>9</v>
      </c>
      <c r="Z6456" s="7">
        <v>0</v>
      </c>
      <c r="AA6456" s="7">
        <v>18</v>
      </c>
      <c r="AC6456" s="38">
        <v>1</v>
      </c>
    </row>
    <row r="6457" spans="1:29" x14ac:dyDescent="0.25">
      <c r="A6457" s="22">
        <v>44808</v>
      </c>
      <c r="B6457" s="7">
        <v>35</v>
      </c>
      <c r="C6457" s="7">
        <v>2.4</v>
      </c>
      <c r="D6457" s="30" t="s">
        <v>9</v>
      </c>
      <c r="E6457" s="7"/>
      <c r="F6457" s="8">
        <v>0.3</v>
      </c>
      <c r="G6457" s="7">
        <v>2.5</v>
      </c>
      <c r="H6457" s="7">
        <v>5.2</v>
      </c>
      <c r="I6457" s="7">
        <v>0.8</v>
      </c>
      <c r="J6457" s="7">
        <v>4</v>
      </c>
      <c r="K6457" s="7">
        <v>4.0999999999999996</v>
      </c>
      <c r="L6457" s="7">
        <v>6.6040000000000001</v>
      </c>
      <c r="M6457" s="7">
        <v>1.4</v>
      </c>
      <c r="N6457" s="8">
        <v>4.8</v>
      </c>
      <c r="O6457" s="7"/>
      <c r="P6457" s="7">
        <v>8.5</v>
      </c>
      <c r="Q6457" s="9">
        <v>5.8</v>
      </c>
      <c r="R6457" s="7" t="s">
        <v>9</v>
      </c>
      <c r="S6457" s="8"/>
      <c r="T6457" s="8">
        <v>0</v>
      </c>
      <c r="U6457" s="7">
        <v>25</v>
      </c>
      <c r="V6457" s="7">
        <v>0.2</v>
      </c>
      <c r="W6457" s="7">
        <v>0.3</v>
      </c>
      <c r="X6457" s="7">
        <v>0</v>
      </c>
      <c r="Y6457" s="7">
        <v>2</v>
      </c>
      <c r="Z6457" s="7" t="s">
        <v>9</v>
      </c>
      <c r="AA6457" s="7" t="s">
        <v>11</v>
      </c>
      <c r="AC6457" s="38">
        <v>0</v>
      </c>
    </row>
    <row r="6458" spans="1:29" x14ac:dyDescent="0.25">
      <c r="A6458" s="22">
        <v>44809</v>
      </c>
      <c r="B6458" s="7">
        <v>0</v>
      </c>
      <c r="C6458" s="7">
        <v>30</v>
      </c>
      <c r="D6458" s="7">
        <v>25.2</v>
      </c>
      <c r="E6458" s="7"/>
      <c r="F6458" s="8">
        <v>0</v>
      </c>
      <c r="G6458" s="7">
        <v>0</v>
      </c>
      <c r="H6458" s="7">
        <v>0</v>
      </c>
      <c r="I6458" s="7">
        <v>2.4</v>
      </c>
      <c r="J6458" s="7">
        <v>9</v>
      </c>
      <c r="K6458" s="7">
        <v>12.2</v>
      </c>
      <c r="L6458" s="7">
        <v>4.8259999999999996</v>
      </c>
      <c r="M6458" s="7">
        <v>0.7</v>
      </c>
      <c r="N6458" s="8">
        <v>5.6</v>
      </c>
      <c r="O6458" s="7"/>
      <c r="P6458" s="7">
        <v>1</v>
      </c>
      <c r="Q6458" s="7">
        <v>2.7</v>
      </c>
      <c r="R6458" s="7">
        <v>4.0999999999999996</v>
      </c>
      <c r="S6458" s="8"/>
      <c r="T6458" s="8">
        <v>0.8</v>
      </c>
      <c r="U6458" s="7">
        <v>17</v>
      </c>
      <c r="V6458" s="7">
        <v>0.3</v>
      </c>
      <c r="W6458" s="7">
        <v>0.4</v>
      </c>
      <c r="X6458" s="7">
        <v>2</v>
      </c>
      <c r="Y6458" s="7" t="s">
        <v>9</v>
      </c>
      <c r="Z6458" s="7">
        <v>0</v>
      </c>
      <c r="AA6458" s="7">
        <v>10</v>
      </c>
      <c r="AC6458" s="38">
        <v>0</v>
      </c>
    </row>
    <row r="6459" spans="1:29" x14ac:dyDescent="0.25">
      <c r="A6459" s="22">
        <v>44810</v>
      </c>
      <c r="B6459" s="7">
        <v>10</v>
      </c>
      <c r="C6459" s="7">
        <v>0.4</v>
      </c>
      <c r="D6459" s="7">
        <v>2</v>
      </c>
      <c r="E6459" s="7"/>
      <c r="F6459" s="8">
        <v>0</v>
      </c>
      <c r="G6459" s="7">
        <v>5.5</v>
      </c>
      <c r="H6459" s="7">
        <v>1.4</v>
      </c>
      <c r="I6459" s="7">
        <v>2</v>
      </c>
      <c r="J6459" s="7">
        <v>4.7</v>
      </c>
      <c r="K6459" s="7">
        <v>6.2</v>
      </c>
      <c r="L6459" s="7">
        <v>16.256</v>
      </c>
      <c r="M6459" s="7">
        <v>2.2999999999999998</v>
      </c>
      <c r="N6459" s="8">
        <v>0.8</v>
      </c>
      <c r="O6459" s="7"/>
      <c r="P6459" s="7">
        <v>2</v>
      </c>
      <c r="Q6459" s="7">
        <v>53.7</v>
      </c>
      <c r="R6459" s="7" t="s">
        <v>9</v>
      </c>
      <c r="S6459" s="8"/>
      <c r="T6459" s="8">
        <v>0</v>
      </c>
      <c r="U6459" s="7">
        <v>0</v>
      </c>
      <c r="V6459" s="7">
        <v>0.3</v>
      </c>
      <c r="W6459" s="7">
        <v>0.2</v>
      </c>
      <c r="X6459" s="7">
        <v>0</v>
      </c>
      <c r="Y6459" s="7" t="s">
        <v>9</v>
      </c>
      <c r="Z6459" s="7">
        <v>0</v>
      </c>
      <c r="AA6459" s="7">
        <v>0</v>
      </c>
      <c r="AC6459" s="38">
        <v>1</v>
      </c>
    </row>
    <row r="6460" spans="1:29" x14ac:dyDescent="0.25">
      <c r="A6460" s="22">
        <v>44811</v>
      </c>
      <c r="B6460" s="7">
        <v>0</v>
      </c>
      <c r="C6460" s="7">
        <v>0.4</v>
      </c>
      <c r="D6460" s="7">
        <v>2.2000000000000002</v>
      </c>
      <c r="E6460" s="7"/>
      <c r="F6460" s="8">
        <v>11.1</v>
      </c>
      <c r="G6460" s="7">
        <v>19.5</v>
      </c>
      <c r="H6460" s="7">
        <v>33.4</v>
      </c>
      <c r="I6460" s="7">
        <v>14.4</v>
      </c>
      <c r="J6460" s="7">
        <v>10.6</v>
      </c>
      <c r="K6460" s="7">
        <v>6.5</v>
      </c>
      <c r="L6460" s="7">
        <v>35.813999999999993</v>
      </c>
      <c r="M6460" s="7">
        <v>15.5</v>
      </c>
      <c r="N6460" s="8">
        <v>29.2</v>
      </c>
      <c r="O6460" s="7"/>
      <c r="P6460" s="7">
        <v>36</v>
      </c>
      <c r="Q6460" s="7">
        <v>0.5</v>
      </c>
      <c r="R6460" s="7">
        <v>47.9</v>
      </c>
      <c r="S6460" s="8"/>
      <c r="T6460" s="8">
        <v>1.2</v>
      </c>
      <c r="U6460" s="7">
        <v>28</v>
      </c>
      <c r="V6460" s="7">
        <v>18.3</v>
      </c>
      <c r="W6460" s="7">
        <v>8.1999999999999993</v>
      </c>
      <c r="X6460" s="7">
        <v>3</v>
      </c>
      <c r="Y6460" s="7">
        <v>10</v>
      </c>
      <c r="Z6460" s="7">
        <v>2.6</v>
      </c>
      <c r="AA6460" s="7">
        <v>95</v>
      </c>
      <c r="AC6460" s="38">
        <v>2</v>
      </c>
    </row>
    <row r="6461" spans="1:29" x14ac:dyDescent="0.25">
      <c r="A6461" s="22">
        <v>44812</v>
      </c>
      <c r="B6461" s="7">
        <v>0</v>
      </c>
      <c r="C6461" s="7">
        <v>0.4</v>
      </c>
      <c r="D6461" s="7">
        <v>2.2000000000000002</v>
      </c>
      <c r="E6461" s="7"/>
      <c r="F6461" s="8">
        <v>0</v>
      </c>
      <c r="G6461" s="7">
        <v>4.5</v>
      </c>
      <c r="H6461" s="7">
        <v>0</v>
      </c>
      <c r="I6461" s="7">
        <v>8.8000000000000007</v>
      </c>
      <c r="J6461" s="7">
        <v>16.3</v>
      </c>
      <c r="K6461" s="7">
        <v>16.2</v>
      </c>
      <c r="L6461" s="7">
        <v>6.0959999999999992</v>
      </c>
      <c r="M6461" s="7">
        <v>0</v>
      </c>
      <c r="N6461" s="8">
        <v>1</v>
      </c>
      <c r="O6461" s="7"/>
      <c r="P6461" s="7">
        <v>6.5</v>
      </c>
      <c r="Q6461" s="7">
        <v>7.5</v>
      </c>
      <c r="R6461" s="7" t="s">
        <v>9</v>
      </c>
      <c r="S6461" s="8"/>
      <c r="T6461" s="8">
        <v>0</v>
      </c>
      <c r="U6461" s="7">
        <v>6</v>
      </c>
      <c r="V6461" s="7">
        <v>10.199999999999999</v>
      </c>
      <c r="W6461" s="7">
        <v>0.8</v>
      </c>
      <c r="X6461" s="7">
        <v>2</v>
      </c>
      <c r="Y6461" s="7">
        <v>1</v>
      </c>
      <c r="Z6461" s="7">
        <v>12</v>
      </c>
      <c r="AA6461" s="7">
        <v>3</v>
      </c>
      <c r="AC6461" s="38">
        <v>0</v>
      </c>
    </row>
    <row r="6462" spans="1:29" x14ac:dyDescent="0.25">
      <c r="A6462" s="22">
        <v>44813</v>
      </c>
      <c r="B6462" s="7">
        <v>0</v>
      </c>
      <c r="C6462" s="30" t="s">
        <v>9</v>
      </c>
      <c r="D6462" s="7">
        <v>1.2</v>
      </c>
      <c r="E6462" s="7"/>
      <c r="F6462" s="8">
        <v>0</v>
      </c>
      <c r="G6462" s="7">
        <v>1</v>
      </c>
      <c r="H6462" s="7">
        <v>0</v>
      </c>
      <c r="I6462" s="7">
        <v>0.3</v>
      </c>
      <c r="J6462" s="7">
        <v>1.4</v>
      </c>
      <c r="K6462" s="7">
        <v>1.2</v>
      </c>
      <c r="L6462" s="7">
        <v>0.7619999999999999</v>
      </c>
      <c r="M6462" s="7">
        <v>0.4</v>
      </c>
      <c r="N6462" s="8">
        <v>11.2</v>
      </c>
      <c r="O6462" s="7"/>
      <c r="P6462" s="7">
        <v>0</v>
      </c>
      <c r="Q6462" s="7">
        <v>2.7</v>
      </c>
      <c r="R6462" s="7" t="s">
        <v>9</v>
      </c>
      <c r="S6462" s="8"/>
      <c r="T6462" s="8">
        <v>0.6</v>
      </c>
      <c r="U6462" s="7">
        <v>0</v>
      </c>
      <c r="V6462" s="7">
        <v>0</v>
      </c>
      <c r="W6462" s="7">
        <v>0</v>
      </c>
      <c r="X6462" s="7">
        <v>0</v>
      </c>
      <c r="Y6462" s="7" t="s">
        <v>9</v>
      </c>
      <c r="Z6462" s="7">
        <v>0</v>
      </c>
      <c r="AA6462" s="7">
        <v>5</v>
      </c>
      <c r="AC6462" s="38">
        <v>0</v>
      </c>
    </row>
    <row r="6463" spans="1:29" x14ac:dyDescent="0.25">
      <c r="A6463" s="22">
        <v>44814</v>
      </c>
      <c r="B6463" s="7">
        <v>0</v>
      </c>
      <c r="C6463" s="7">
        <v>2</v>
      </c>
      <c r="D6463" s="7">
        <v>4.0999999999999996</v>
      </c>
      <c r="E6463" s="7"/>
      <c r="F6463" s="8">
        <v>0</v>
      </c>
      <c r="G6463" s="7">
        <v>0</v>
      </c>
      <c r="H6463" s="7">
        <v>0</v>
      </c>
      <c r="I6463" s="7">
        <v>0.4</v>
      </c>
      <c r="J6463" s="7">
        <v>0</v>
      </c>
      <c r="K6463" s="7">
        <v>2.5</v>
      </c>
      <c r="L6463" s="7">
        <v>0</v>
      </c>
      <c r="M6463" s="7">
        <v>0</v>
      </c>
      <c r="N6463" s="8">
        <v>0.8</v>
      </c>
      <c r="O6463" s="7"/>
      <c r="P6463" s="7">
        <v>0</v>
      </c>
      <c r="Q6463" s="7">
        <v>0</v>
      </c>
      <c r="R6463" s="7" t="s">
        <v>9</v>
      </c>
      <c r="S6463" s="8"/>
      <c r="T6463" s="8">
        <v>0</v>
      </c>
      <c r="U6463" s="7">
        <v>0</v>
      </c>
      <c r="V6463" s="7">
        <v>0</v>
      </c>
      <c r="W6463" s="7">
        <v>1</v>
      </c>
      <c r="X6463" s="7">
        <v>0</v>
      </c>
      <c r="Y6463" s="7" t="s">
        <v>9</v>
      </c>
      <c r="Z6463" s="7">
        <v>4</v>
      </c>
      <c r="AA6463" s="7">
        <v>1</v>
      </c>
      <c r="AC6463" s="38">
        <v>2</v>
      </c>
    </row>
    <row r="6464" spans="1:29" x14ac:dyDescent="0.25">
      <c r="A6464" s="22">
        <v>44815</v>
      </c>
      <c r="B6464" s="7">
        <v>0</v>
      </c>
      <c r="C6464" s="30" t="s">
        <v>9</v>
      </c>
      <c r="D6464" s="30" t="s">
        <v>9</v>
      </c>
      <c r="E6464" s="7"/>
      <c r="F6464" s="8">
        <v>1.3</v>
      </c>
      <c r="G6464" s="7">
        <v>0</v>
      </c>
      <c r="H6464" s="7">
        <v>0</v>
      </c>
      <c r="I6464" s="7">
        <v>0</v>
      </c>
      <c r="J6464" s="7">
        <v>1</v>
      </c>
      <c r="K6464" s="7">
        <v>0</v>
      </c>
      <c r="L6464" s="7">
        <v>0</v>
      </c>
      <c r="M6464" s="7">
        <v>0</v>
      </c>
      <c r="N6464" s="8">
        <v>0.8</v>
      </c>
      <c r="O6464" s="7"/>
      <c r="P6464" s="7">
        <v>0</v>
      </c>
      <c r="Q6464" s="7">
        <v>0</v>
      </c>
      <c r="R6464" s="7" t="s">
        <v>9</v>
      </c>
      <c r="S6464" s="8"/>
      <c r="T6464" s="8">
        <v>0</v>
      </c>
      <c r="U6464" s="7">
        <v>0</v>
      </c>
      <c r="V6464" s="7">
        <v>0</v>
      </c>
      <c r="W6464" s="7">
        <v>0</v>
      </c>
      <c r="X6464" s="7">
        <v>10</v>
      </c>
      <c r="Y6464" s="7" t="s">
        <v>9</v>
      </c>
      <c r="Z6464" s="7">
        <v>2</v>
      </c>
      <c r="AA6464" s="7">
        <v>0</v>
      </c>
      <c r="AC6464" s="38">
        <v>0</v>
      </c>
    </row>
    <row r="6465" spans="1:29" x14ac:dyDescent="0.25">
      <c r="A6465" s="22">
        <v>44816</v>
      </c>
      <c r="B6465" s="7">
        <v>0</v>
      </c>
      <c r="C6465" s="7">
        <v>0.4</v>
      </c>
      <c r="D6465" s="30" t="s">
        <v>9</v>
      </c>
      <c r="E6465" s="7"/>
      <c r="F6465" s="8">
        <v>6</v>
      </c>
      <c r="G6465" s="7">
        <v>2</v>
      </c>
      <c r="H6465" s="7">
        <v>1.1000000000000001</v>
      </c>
      <c r="I6465" s="7">
        <v>0.7</v>
      </c>
      <c r="J6465" s="7">
        <v>1.2</v>
      </c>
      <c r="K6465" s="7">
        <v>0.2</v>
      </c>
      <c r="L6465" s="7">
        <v>0</v>
      </c>
      <c r="M6465" s="7">
        <v>2</v>
      </c>
      <c r="N6465" s="8">
        <v>0.8</v>
      </c>
      <c r="O6465" s="7"/>
      <c r="P6465" s="7">
        <v>0</v>
      </c>
      <c r="Q6465" s="7">
        <v>1.4</v>
      </c>
      <c r="R6465" s="7" t="s">
        <v>9</v>
      </c>
      <c r="S6465" s="8"/>
      <c r="T6465" s="8">
        <v>0</v>
      </c>
      <c r="U6465" s="7">
        <v>0</v>
      </c>
      <c r="V6465" s="7">
        <v>0</v>
      </c>
      <c r="W6465" s="7">
        <v>0</v>
      </c>
      <c r="X6465" s="7">
        <v>0</v>
      </c>
      <c r="Y6465" s="7" t="s">
        <v>9</v>
      </c>
      <c r="Z6465" s="7" t="s">
        <v>9</v>
      </c>
      <c r="AA6465" s="7">
        <v>0</v>
      </c>
      <c r="AC6465" s="38">
        <v>1</v>
      </c>
    </row>
    <row r="6466" spans="1:29" x14ac:dyDescent="0.25">
      <c r="A6466" s="22">
        <v>44817</v>
      </c>
      <c r="B6466" s="7">
        <v>0</v>
      </c>
      <c r="C6466" s="7">
        <v>0.4</v>
      </c>
      <c r="D6466" s="30" t="s">
        <v>9</v>
      </c>
      <c r="E6466" s="7"/>
      <c r="F6466" s="8">
        <v>0</v>
      </c>
      <c r="G6466" s="7">
        <v>9</v>
      </c>
      <c r="H6466" s="7">
        <v>5.5</v>
      </c>
      <c r="I6466" s="7">
        <v>5.5</v>
      </c>
      <c r="J6466" s="7">
        <v>6.9</v>
      </c>
      <c r="K6466" s="7">
        <v>2.8</v>
      </c>
      <c r="L6466" s="7">
        <v>0</v>
      </c>
      <c r="M6466" s="7">
        <v>9</v>
      </c>
      <c r="N6466" s="8">
        <v>1.4</v>
      </c>
      <c r="O6466" s="7"/>
      <c r="P6466" s="7">
        <v>1</v>
      </c>
      <c r="Q6466" s="7">
        <v>0</v>
      </c>
      <c r="R6466" s="7" t="s">
        <v>9</v>
      </c>
      <c r="S6466" s="10"/>
      <c r="T6466" s="8">
        <v>0</v>
      </c>
      <c r="U6466" s="7">
        <v>0</v>
      </c>
      <c r="V6466" s="7">
        <v>0.6</v>
      </c>
      <c r="W6466" s="7">
        <v>0.5</v>
      </c>
      <c r="X6466" s="7">
        <v>0</v>
      </c>
      <c r="Y6466" s="7" t="s">
        <v>9</v>
      </c>
      <c r="Z6466" s="7">
        <v>2</v>
      </c>
      <c r="AA6466" s="7">
        <v>0</v>
      </c>
      <c r="AC6466" s="38">
        <v>9</v>
      </c>
    </row>
    <row r="6467" spans="1:29" x14ac:dyDescent="0.25">
      <c r="A6467" s="22">
        <v>44818</v>
      </c>
      <c r="B6467" s="7">
        <v>4.5</v>
      </c>
      <c r="C6467" s="7">
        <v>0.4</v>
      </c>
      <c r="D6467" s="30" t="s">
        <v>9</v>
      </c>
      <c r="E6467" s="7"/>
      <c r="F6467" s="8">
        <v>0</v>
      </c>
      <c r="G6467" s="7">
        <v>2</v>
      </c>
      <c r="H6467" s="7">
        <v>0</v>
      </c>
      <c r="I6467" s="7">
        <v>0</v>
      </c>
      <c r="J6467" s="7">
        <v>0.6</v>
      </c>
      <c r="K6467" s="7">
        <v>6.6</v>
      </c>
      <c r="L6467" s="7">
        <v>3.302</v>
      </c>
      <c r="M6467" s="7">
        <v>2</v>
      </c>
      <c r="N6467" s="8">
        <v>0.8</v>
      </c>
      <c r="O6467" s="7"/>
      <c r="P6467" s="7">
        <v>0</v>
      </c>
      <c r="Q6467" s="7">
        <v>0</v>
      </c>
      <c r="R6467" s="7" t="s">
        <v>9</v>
      </c>
      <c r="S6467" s="10"/>
      <c r="T6467" s="8">
        <v>0.2</v>
      </c>
      <c r="U6467" s="7">
        <v>0</v>
      </c>
      <c r="V6467" s="7">
        <v>4.5</v>
      </c>
      <c r="W6467" s="7">
        <v>2.2000000000000002</v>
      </c>
      <c r="X6467" s="7">
        <v>0</v>
      </c>
      <c r="Y6467" s="7" t="s">
        <v>9</v>
      </c>
      <c r="Z6467" s="7">
        <v>0</v>
      </c>
      <c r="AA6467" s="7">
        <v>3</v>
      </c>
      <c r="AC6467" s="38">
        <v>0</v>
      </c>
    </row>
    <row r="6468" spans="1:29" x14ac:dyDescent="0.25">
      <c r="A6468" s="22">
        <v>44819</v>
      </c>
      <c r="B6468" s="7">
        <v>0</v>
      </c>
      <c r="C6468" s="7">
        <v>5.6</v>
      </c>
      <c r="D6468" s="30" t="s">
        <v>9</v>
      </c>
      <c r="E6468" s="7"/>
      <c r="F6468" s="8">
        <v>0</v>
      </c>
      <c r="G6468" s="7">
        <v>1</v>
      </c>
      <c r="H6468" s="7">
        <v>0</v>
      </c>
      <c r="I6468" s="7">
        <v>0</v>
      </c>
      <c r="J6468" s="7">
        <v>0</v>
      </c>
      <c r="K6468" s="7">
        <v>0</v>
      </c>
      <c r="L6468" s="7">
        <v>0.7619999999999999</v>
      </c>
      <c r="M6468" s="7">
        <v>0</v>
      </c>
      <c r="N6468" s="8">
        <v>0.4</v>
      </c>
      <c r="O6468" s="7"/>
      <c r="P6468" s="7">
        <v>0.5</v>
      </c>
      <c r="Q6468" s="7">
        <v>0</v>
      </c>
      <c r="R6468" s="7" t="s">
        <v>9</v>
      </c>
      <c r="S6468" s="10"/>
      <c r="T6468" s="8">
        <v>0</v>
      </c>
      <c r="U6468" s="7">
        <v>0</v>
      </c>
      <c r="V6468" s="7">
        <v>0</v>
      </c>
      <c r="W6468" s="7">
        <v>0</v>
      </c>
      <c r="X6468" s="7">
        <v>0</v>
      </c>
      <c r="Y6468" s="7" t="s">
        <v>9</v>
      </c>
      <c r="Z6468" s="7">
        <v>0</v>
      </c>
      <c r="AA6468" s="7">
        <v>0</v>
      </c>
      <c r="AC6468" s="38">
        <v>0</v>
      </c>
    </row>
    <row r="6469" spans="1:29" x14ac:dyDescent="0.25">
      <c r="A6469" s="22">
        <v>44820</v>
      </c>
      <c r="B6469" s="6">
        <v>0</v>
      </c>
      <c r="C6469" s="30" t="s">
        <v>9</v>
      </c>
      <c r="D6469" s="30" t="s">
        <v>9</v>
      </c>
      <c r="E6469" s="7"/>
      <c r="F6469" s="8">
        <v>0</v>
      </c>
      <c r="G6469" s="7">
        <v>1</v>
      </c>
      <c r="H6469" s="7">
        <v>0</v>
      </c>
      <c r="I6469" s="7">
        <v>0</v>
      </c>
      <c r="J6469" s="7">
        <v>0</v>
      </c>
      <c r="K6469" s="7">
        <v>0</v>
      </c>
      <c r="L6469" s="7">
        <v>0</v>
      </c>
      <c r="M6469" s="7">
        <v>0</v>
      </c>
      <c r="N6469" s="8">
        <v>0.6</v>
      </c>
      <c r="O6469" s="7"/>
      <c r="P6469" s="7">
        <v>0</v>
      </c>
      <c r="Q6469" s="7">
        <v>12.9</v>
      </c>
      <c r="R6469" s="7" t="s">
        <v>9</v>
      </c>
      <c r="S6469" s="10"/>
      <c r="T6469" s="8">
        <v>12.2</v>
      </c>
      <c r="U6469" s="7">
        <v>0</v>
      </c>
      <c r="V6469" s="7">
        <v>0</v>
      </c>
      <c r="W6469" s="7">
        <v>0</v>
      </c>
      <c r="X6469" s="7">
        <v>0</v>
      </c>
      <c r="Y6469" s="7" t="s">
        <v>9</v>
      </c>
      <c r="Z6469" s="7">
        <v>0</v>
      </c>
      <c r="AA6469" s="7">
        <v>0</v>
      </c>
      <c r="AC6469" s="38">
        <v>3</v>
      </c>
    </row>
    <row r="6470" spans="1:29" x14ac:dyDescent="0.25">
      <c r="A6470" s="22">
        <v>44821</v>
      </c>
      <c r="B6470" s="6">
        <v>0</v>
      </c>
      <c r="C6470" s="7">
        <v>1.2</v>
      </c>
      <c r="D6470" s="7">
        <v>1.2</v>
      </c>
      <c r="E6470" s="7"/>
      <c r="F6470" s="8">
        <v>0</v>
      </c>
      <c r="G6470" s="7">
        <v>0</v>
      </c>
      <c r="H6470" s="7">
        <v>0</v>
      </c>
      <c r="I6470" s="7">
        <v>2.4</v>
      </c>
      <c r="J6470" s="7">
        <v>0</v>
      </c>
      <c r="K6470" s="7">
        <v>0</v>
      </c>
      <c r="L6470" s="7">
        <v>53.593999999999994</v>
      </c>
      <c r="M6470" s="7">
        <v>0</v>
      </c>
      <c r="N6470" s="8">
        <v>0.4</v>
      </c>
      <c r="O6470" s="7"/>
      <c r="P6470" s="7">
        <v>80</v>
      </c>
      <c r="Q6470" s="7">
        <v>5.8</v>
      </c>
      <c r="R6470" s="7" t="s">
        <v>9</v>
      </c>
      <c r="S6470" s="10"/>
      <c r="T6470" s="8">
        <v>0</v>
      </c>
      <c r="U6470" s="7">
        <v>0</v>
      </c>
      <c r="V6470" s="7">
        <v>0</v>
      </c>
      <c r="W6470" s="7">
        <v>0</v>
      </c>
      <c r="X6470" s="7">
        <v>0</v>
      </c>
      <c r="Y6470" s="7" t="s">
        <v>9</v>
      </c>
      <c r="Z6470" s="7">
        <v>0</v>
      </c>
      <c r="AA6470" s="7" t="s">
        <v>9</v>
      </c>
      <c r="AC6470" s="38">
        <v>0</v>
      </c>
    </row>
    <row r="6471" spans="1:29" x14ac:dyDescent="0.25">
      <c r="A6471" s="22">
        <v>44822</v>
      </c>
      <c r="B6471" s="6">
        <v>0</v>
      </c>
      <c r="C6471" s="30" t="s">
        <v>9</v>
      </c>
      <c r="D6471" s="30" t="s">
        <v>9</v>
      </c>
      <c r="E6471" s="7"/>
      <c r="F6471" s="8">
        <v>0</v>
      </c>
      <c r="G6471" s="7">
        <v>0</v>
      </c>
      <c r="H6471" s="7">
        <v>0</v>
      </c>
      <c r="I6471" s="7">
        <v>0</v>
      </c>
      <c r="J6471" s="7">
        <v>0</v>
      </c>
      <c r="K6471" s="7">
        <v>0</v>
      </c>
      <c r="L6471" s="7">
        <v>1.27</v>
      </c>
      <c r="M6471" s="7">
        <v>0</v>
      </c>
      <c r="N6471" s="8">
        <v>0.8</v>
      </c>
      <c r="O6471" s="7"/>
      <c r="P6471" s="7">
        <v>1</v>
      </c>
      <c r="Q6471" s="7">
        <v>3.1</v>
      </c>
      <c r="R6471" s="7">
        <v>0.7</v>
      </c>
      <c r="S6471" s="10"/>
      <c r="T6471" s="8">
        <v>4</v>
      </c>
      <c r="U6471" s="7">
        <v>0</v>
      </c>
      <c r="V6471" s="7">
        <v>0</v>
      </c>
      <c r="W6471" s="7">
        <v>0</v>
      </c>
      <c r="X6471" s="7">
        <v>0</v>
      </c>
      <c r="Y6471" s="7" t="s">
        <v>9</v>
      </c>
      <c r="Z6471" s="7">
        <v>0</v>
      </c>
      <c r="AA6471" s="7"/>
      <c r="AC6471" s="38">
        <v>0</v>
      </c>
    </row>
    <row r="6472" spans="1:29" x14ac:dyDescent="0.25">
      <c r="A6472" s="22">
        <v>44823</v>
      </c>
      <c r="B6472" s="6">
        <v>21</v>
      </c>
      <c r="C6472" s="30" t="s">
        <v>9</v>
      </c>
      <c r="D6472" s="30" t="s">
        <v>9</v>
      </c>
      <c r="E6472" s="7"/>
      <c r="F6472" s="8">
        <v>0</v>
      </c>
      <c r="G6472" s="7">
        <v>0</v>
      </c>
      <c r="H6472" s="7">
        <v>0</v>
      </c>
      <c r="I6472" s="7">
        <v>0</v>
      </c>
      <c r="J6472" s="7">
        <v>0</v>
      </c>
      <c r="K6472" s="7">
        <v>0</v>
      </c>
      <c r="L6472" s="7">
        <v>1.778</v>
      </c>
      <c r="M6472" s="7">
        <v>0</v>
      </c>
      <c r="N6472" s="8">
        <v>3.4</v>
      </c>
      <c r="O6472" s="7"/>
      <c r="P6472" s="7">
        <v>2</v>
      </c>
      <c r="Q6472" s="7">
        <v>0.7</v>
      </c>
      <c r="R6472" s="7">
        <v>6.1</v>
      </c>
      <c r="S6472" s="10"/>
      <c r="T6472" s="8">
        <v>0.6</v>
      </c>
      <c r="U6472" s="7">
        <v>0</v>
      </c>
      <c r="V6472" s="7">
        <v>0</v>
      </c>
      <c r="W6472" s="7">
        <v>0</v>
      </c>
      <c r="X6472" s="7">
        <v>0</v>
      </c>
      <c r="Y6472" s="7" t="s">
        <v>9</v>
      </c>
      <c r="Z6472" s="7" t="s">
        <v>9</v>
      </c>
      <c r="AA6472" s="7">
        <v>2</v>
      </c>
      <c r="AC6472" s="38">
        <v>0</v>
      </c>
    </row>
    <row r="6473" spans="1:29" x14ac:dyDescent="0.25">
      <c r="A6473" s="22">
        <v>44824</v>
      </c>
      <c r="B6473" s="6">
        <v>15</v>
      </c>
      <c r="C6473" s="30" t="s">
        <v>9</v>
      </c>
      <c r="D6473" s="30" t="s">
        <v>9</v>
      </c>
      <c r="E6473" s="7"/>
      <c r="F6473" s="8">
        <v>3.2</v>
      </c>
      <c r="G6473" s="7">
        <v>13</v>
      </c>
      <c r="H6473" s="7">
        <v>0</v>
      </c>
      <c r="I6473" s="7">
        <v>2.6</v>
      </c>
      <c r="J6473" s="7">
        <v>16.2</v>
      </c>
      <c r="K6473" s="7">
        <v>20.9</v>
      </c>
      <c r="L6473" s="7">
        <v>1.016</v>
      </c>
      <c r="M6473" s="7">
        <v>5</v>
      </c>
      <c r="N6473" s="8">
        <v>9</v>
      </c>
      <c r="O6473" s="7"/>
      <c r="P6473" s="7">
        <v>5.5</v>
      </c>
      <c r="Q6473" s="7">
        <v>10.4</v>
      </c>
      <c r="R6473" s="7">
        <v>6.1</v>
      </c>
      <c r="S6473" s="10"/>
      <c r="T6473" s="8">
        <v>0.4</v>
      </c>
      <c r="U6473" s="7">
        <v>5</v>
      </c>
      <c r="V6473" s="7">
        <v>0.5</v>
      </c>
      <c r="W6473" s="7">
        <v>0.4</v>
      </c>
      <c r="X6473" s="7">
        <v>0</v>
      </c>
      <c r="Y6473" s="7" t="s">
        <v>9</v>
      </c>
      <c r="Z6473" s="7">
        <v>2</v>
      </c>
      <c r="AA6473" s="7">
        <v>1</v>
      </c>
      <c r="AC6473" s="38">
        <v>17</v>
      </c>
    </row>
    <row r="6474" spans="1:29" x14ac:dyDescent="0.25">
      <c r="A6474" s="22">
        <v>44825</v>
      </c>
      <c r="B6474" s="6">
        <v>34</v>
      </c>
      <c r="C6474" s="30" t="s">
        <v>9</v>
      </c>
      <c r="D6474" s="30" t="s">
        <v>9</v>
      </c>
      <c r="E6474" s="7"/>
      <c r="F6474" s="8">
        <v>6</v>
      </c>
      <c r="G6474" s="7">
        <v>9</v>
      </c>
      <c r="H6474" s="7">
        <v>8.4</v>
      </c>
      <c r="I6474" s="7">
        <v>8.1999999999999993</v>
      </c>
      <c r="J6474" s="7">
        <v>8.1</v>
      </c>
      <c r="K6474" s="7">
        <v>10.8</v>
      </c>
      <c r="L6474" s="7">
        <v>17.272000000000002</v>
      </c>
      <c r="M6474" s="7">
        <v>8.8000000000000007</v>
      </c>
      <c r="N6474" s="8">
        <v>20.399999999999999</v>
      </c>
      <c r="O6474" s="7"/>
      <c r="P6474" s="7">
        <v>17.5</v>
      </c>
      <c r="Q6474" s="7">
        <v>46.4</v>
      </c>
      <c r="R6474" s="7">
        <v>6.1</v>
      </c>
      <c r="S6474" s="10"/>
      <c r="T6474" s="8">
        <v>7.4</v>
      </c>
      <c r="U6474" s="7">
        <v>10</v>
      </c>
      <c r="V6474" s="7">
        <v>8.8000000000000007</v>
      </c>
      <c r="W6474" s="7">
        <v>6.2</v>
      </c>
      <c r="X6474" s="7">
        <v>0</v>
      </c>
      <c r="Y6474" s="7" t="s">
        <v>9</v>
      </c>
      <c r="Z6474" s="7">
        <v>4</v>
      </c>
      <c r="AA6474" s="7">
        <v>1</v>
      </c>
      <c r="AC6474" s="38">
        <v>11</v>
      </c>
    </row>
    <row r="6475" spans="1:29" x14ac:dyDescent="0.25">
      <c r="A6475" s="22">
        <v>44826</v>
      </c>
      <c r="B6475" s="6">
        <v>45</v>
      </c>
      <c r="C6475" s="7">
        <v>44</v>
      </c>
      <c r="D6475" s="7">
        <v>58</v>
      </c>
      <c r="E6475" s="7"/>
      <c r="F6475" s="8">
        <v>50</v>
      </c>
      <c r="G6475" s="7">
        <v>38.5</v>
      </c>
      <c r="H6475" s="7">
        <v>33.1</v>
      </c>
      <c r="I6475" s="7">
        <v>39</v>
      </c>
      <c r="J6475" s="7">
        <v>47</v>
      </c>
      <c r="K6475" s="7">
        <v>47.5</v>
      </c>
      <c r="L6475" s="7">
        <v>25.654</v>
      </c>
      <c r="M6475" s="7">
        <v>33.4</v>
      </c>
      <c r="N6475" s="8">
        <v>28.2</v>
      </c>
      <c r="O6475" s="7"/>
      <c r="P6475" s="7">
        <v>26</v>
      </c>
      <c r="Q6475" s="7">
        <v>4</v>
      </c>
      <c r="R6475" s="7">
        <v>39.1</v>
      </c>
      <c r="S6475" s="10"/>
      <c r="T6475" s="8">
        <v>14.6</v>
      </c>
      <c r="U6475" s="7">
        <v>0</v>
      </c>
      <c r="V6475" s="7">
        <v>45.7</v>
      </c>
      <c r="W6475" s="7">
        <v>42.5</v>
      </c>
      <c r="X6475" s="7">
        <v>54</v>
      </c>
      <c r="Y6475" s="7">
        <v>25</v>
      </c>
      <c r="Z6475" s="7">
        <v>52</v>
      </c>
      <c r="AA6475" s="7">
        <v>1</v>
      </c>
      <c r="AC6475" s="38">
        <v>13</v>
      </c>
    </row>
    <row r="6476" spans="1:29" x14ac:dyDescent="0.25">
      <c r="A6476" s="22">
        <v>44827</v>
      </c>
      <c r="B6476" s="6">
        <v>0</v>
      </c>
      <c r="C6476" s="7">
        <v>0.2</v>
      </c>
      <c r="D6476" s="7">
        <v>0.2</v>
      </c>
      <c r="E6476" s="7"/>
      <c r="F6476" s="8">
        <v>0</v>
      </c>
      <c r="G6476" s="7">
        <v>1</v>
      </c>
      <c r="H6476" s="7">
        <v>1.2</v>
      </c>
      <c r="I6476" s="7">
        <v>1.4</v>
      </c>
      <c r="J6476" s="7">
        <v>1.2</v>
      </c>
      <c r="K6476" s="7">
        <v>0.2</v>
      </c>
      <c r="L6476" s="7">
        <v>0.7619999999999999</v>
      </c>
      <c r="M6476" s="7">
        <v>0</v>
      </c>
      <c r="N6476" s="8">
        <v>0.8</v>
      </c>
      <c r="O6476" s="7"/>
      <c r="P6476" s="7">
        <v>1</v>
      </c>
      <c r="Q6476" s="7">
        <v>18</v>
      </c>
      <c r="R6476" s="7">
        <v>2.4</v>
      </c>
      <c r="S6476" s="8"/>
      <c r="T6476" s="8">
        <v>0</v>
      </c>
      <c r="U6476" s="7">
        <v>0</v>
      </c>
      <c r="V6476" s="7">
        <v>0</v>
      </c>
      <c r="W6476" s="7">
        <v>0</v>
      </c>
      <c r="X6476" s="7">
        <v>3</v>
      </c>
      <c r="Y6476" s="7" t="s">
        <v>9</v>
      </c>
      <c r="Z6476" s="7" t="s">
        <v>9</v>
      </c>
      <c r="AA6476" s="7">
        <v>1</v>
      </c>
      <c r="AC6476" s="38">
        <v>0</v>
      </c>
    </row>
    <row r="6477" spans="1:29" x14ac:dyDescent="0.25">
      <c r="A6477" s="22">
        <v>44828</v>
      </c>
      <c r="B6477" s="6">
        <v>10</v>
      </c>
      <c r="C6477" s="7">
        <v>0.2</v>
      </c>
      <c r="D6477" s="7">
        <v>1.2</v>
      </c>
      <c r="E6477" s="7"/>
      <c r="F6477" s="8">
        <v>1.3</v>
      </c>
      <c r="G6477" s="7">
        <v>3</v>
      </c>
      <c r="H6477" s="7">
        <v>0</v>
      </c>
      <c r="I6477" s="7">
        <v>2</v>
      </c>
      <c r="J6477" s="7">
        <v>4.0999999999999996</v>
      </c>
      <c r="K6477" s="7">
        <v>4.2</v>
      </c>
      <c r="L6477" s="7">
        <v>10.921999999999999</v>
      </c>
      <c r="M6477" s="7">
        <v>0</v>
      </c>
      <c r="N6477" s="8">
        <v>2.8</v>
      </c>
      <c r="O6477" s="7"/>
      <c r="P6477" s="7">
        <v>2.5</v>
      </c>
      <c r="Q6477" s="7">
        <v>3.2</v>
      </c>
      <c r="R6477" s="7">
        <v>18</v>
      </c>
      <c r="S6477" s="8"/>
      <c r="T6477" s="8">
        <v>0.8</v>
      </c>
      <c r="U6477" s="7">
        <v>0</v>
      </c>
      <c r="V6477" s="7">
        <v>0.6</v>
      </c>
      <c r="W6477" s="7">
        <v>0.2</v>
      </c>
      <c r="X6477" s="7">
        <v>2</v>
      </c>
      <c r="Y6477" s="7">
        <v>1</v>
      </c>
      <c r="Z6477" s="7">
        <v>2</v>
      </c>
      <c r="AA6477" s="7">
        <v>10</v>
      </c>
      <c r="AC6477" s="38">
        <v>0</v>
      </c>
    </row>
    <row r="6478" spans="1:29" x14ac:dyDescent="0.25">
      <c r="A6478" s="22">
        <v>44829</v>
      </c>
      <c r="B6478" s="6">
        <v>19.5</v>
      </c>
      <c r="C6478" s="30" t="s">
        <v>9</v>
      </c>
      <c r="D6478" s="7">
        <v>1.2</v>
      </c>
      <c r="E6478" s="7"/>
      <c r="F6478" s="8">
        <v>0.4</v>
      </c>
      <c r="G6478" s="7">
        <v>1.3</v>
      </c>
      <c r="H6478" s="7">
        <v>1.4</v>
      </c>
      <c r="I6478" s="7">
        <v>0</v>
      </c>
      <c r="J6478" s="7">
        <v>0</v>
      </c>
      <c r="K6478" s="7">
        <v>0</v>
      </c>
      <c r="L6478" s="7">
        <v>4.5719999999999992</v>
      </c>
      <c r="M6478" s="7">
        <v>0</v>
      </c>
      <c r="N6478" s="8">
        <v>1.4</v>
      </c>
      <c r="O6478" s="7"/>
      <c r="P6478" s="7">
        <v>0</v>
      </c>
      <c r="Q6478" s="7">
        <v>11.4</v>
      </c>
      <c r="R6478" s="7">
        <v>4</v>
      </c>
      <c r="S6478" s="8"/>
      <c r="T6478" s="8">
        <v>0</v>
      </c>
      <c r="U6478" s="7">
        <v>0</v>
      </c>
      <c r="V6478" s="7">
        <v>0</v>
      </c>
      <c r="W6478" s="7">
        <v>0</v>
      </c>
      <c r="X6478" s="7">
        <v>15</v>
      </c>
      <c r="Y6478" s="7">
        <v>2</v>
      </c>
      <c r="Z6478" s="7">
        <v>2</v>
      </c>
      <c r="AA6478" s="7">
        <v>0</v>
      </c>
      <c r="AC6478" s="38">
        <v>0</v>
      </c>
    </row>
    <row r="6479" spans="1:29" x14ac:dyDescent="0.25">
      <c r="A6479" s="22">
        <v>44830</v>
      </c>
      <c r="B6479" s="6">
        <v>10</v>
      </c>
      <c r="C6479" s="7">
        <v>1.6</v>
      </c>
      <c r="D6479" s="7">
        <v>12.2</v>
      </c>
      <c r="E6479" s="7"/>
      <c r="F6479" s="8">
        <v>3.4</v>
      </c>
      <c r="G6479" s="7">
        <v>12</v>
      </c>
      <c r="H6479" s="7">
        <v>8.6</v>
      </c>
      <c r="I6479" s="7">
        <v>5.0999999999999996</v>
      </c>
      <c r="J6479" s="7">
        <v>27</v>
      </c>
      <c r="K6479" s="7">
        <v>25</v>
      </c>
      <c r="L6479" s="7">
        <v>5.3339999999999996</v>
      </c>
      <c r="M6479" s="7">
        <v>8</v>
      </c>
      <c r="N6479" s="8">
        <v>27.8</v>
      </c>
      <c r="O6479" s="7"/>
      <c r="P6479" s="7">
        <v>3</v>
      </c>
      <c r="Q6479" s="7">
        <v>1.3</v>
      </c>
      <c r="R6479" s="7">
        <v>0.5</v>
      </c>
      <c r="S6479" s="8"/>
      <c r="T6479" s="8">
        <v>0</v>
      </c>
      <c r="U6479" s="7">
        <v>0</v>
      </c>
      <c r="V6479" s="7">
        <v>13.5</v>
      </c>
      <c r="W6479" s="7">
        <v>0.3</v>
      </c>
      <c r="X6479" s="7">
        <v>4</v>
      </c>
      <c r="Y6479" s="7" t="s">
        <v>9</v>
      </c>
      <c r="Z6479" s="7">
        <v>26</v>
      </c>
      <c r="AA6479" s="7">
        <v>12</v>
      </c>
      <c r="AC6479" s="38">
        <v>3</v>
      </c>
    </row>
    <row r="6480" spans="1:29" x14ac:dyDescent="0.25">
      <c r="A6480" s="22">
        <v>44831</v>
      </c>
      <c r="B6480" s="6">
        <v>2.5</v>
      </c>
      <c r="C6480" s="7">
        <v>2.4</v>
      </c>
      <c r="D6480" s="7">
        <v>4</v>
      </c>
      <c r="E6480" s="7"/>
      <c r="F6480" s="8">
        <v>2.4</v>
      </c>
      <c r="G6480" s="7">
        <v>3.8</v>
      </c>
      <c r="H6480" s="7">
        <v>0</v>
      </c>
      <c r="I6480" s="7">
        <v>4</v>
      </c>
      <c r="J6480" s="7">
        <v>2.8</v>
      </c>
      <c r="K6480" s="7">
        <v>0</v>
      </c>
      <c r="L6480" s="7">
        <v>3.556</v>
      </c>
      <c r="M6480" s="7">
        <v>3</v>
      </c>
      <c r="N6480" s="8">
        <v>5.2</v>
      </c>
      <c r="O6480" s="7"/>
      <c r="P6480" s="7">
        <v>14</v>
      </c>
      <c r="Q6480" s="7">
        <v>4.3</v>
      </c>
      <c r="R6480" s="7">
        <v>1.9</v>
      </c>
      <c r="S6480" s="8"/>
      <c r="T6480" s="8">
        <v>18.8</v>
      </c>
      <c r="U6480" s="7">
        <v>15</v>
      </c>
      <c r="V6480" s="7">
        <v>0.4</v>
      </c>
      <c r="W6480" s="7">
        <v>0.6</v>
      </c>
      <c r="X6480" s="7">
        <v>3</v>
      </c>
      <c r="Y6480" s="7">
        <v>2</v>
      </c>
      <c r="Z6480" s="7">
        <v>10</v>
      </c>
      <c r="AA6480" s="7">
        <v>2</v>
      </c>
      <c r="AC6480" s="38">
        <v>0</v>
      </c>
    </row>
    <row r="6481" spans="1:29" x14ac:dyDescent="0.25">
      <c r="A6481" s="22">
        <v>44832</v>
      </c>
      <c r="B6481" s="6">
        <v>11</v>
      </c>
      <c r="C6481" s="7">
        <v>8.4</v>
      </c>
      <c r="D6481" s="7">
        <v>13.2</v>
      </c>
      <c r="E6481" s="7"/>
      <c r="F6481" s="8">
        <v>0</v>
      </c>
      <c r="G6481" s="7">
        <v>1.7</v>
      </c>
      <c r="H6481" s="7">
        <v>0</v>
      </c>
      <c r="I6481" s="7">
        <v>0</v>
      </c>
      <c r="J6481" s="7">
        <v>0.7</v>
      </c>
      <c r="K6481" s="7">
        <v>1.6</v>
      </c>
      <c r="L6481" s="7">
        <v>3.8099999999999996</v>
      </c>
      <c r="M6481" s="7">
        <v>2.2000000000000002</v>
      </c>
      <c r="N6481" s="8">
        <v>17.399999999999999</v>
      </c>
      <c r="O6481" s="7"/>
      <c r="P6481" s="7">
        <v>11</v>
      </c>
      <c r="Q6481" s="7">
        <v>25.3</v>
      </c>
      <c r="R6481" s="7">
        <v>13.9</v>
      </c>
      <c r="S6481" s="8"/>
      <c r="T6481" s="8">
        <v>0</v>
      </c>
      <c r="U6481" s="7">
        <v>0</v>
      </c>
      <c r="V6481" s="7">
        <v>0</v>
      </c>
      <c r="W6481" s="7">
        <v>0</v>
      </c>
      <c r="X6481" s="7">
        <v>0</v>
      </c>
      <c r="Y6481" s="7" t="s">
        <v>9</v>
      </c>
      <c r="Z6481" s="7">
        <v>18</v>
      </c>
      <c r="AA6481" s="7">
        <v>1</v>
      </c>
      <c r="AC6481" s="38">
        <v>4</v>
      </c>
    </row>
    <row r="6482" spans="1:29" x14ac:dyDescent="0.25">
      <c r="A6482" s="22">
        <v>44833</v>
      </c>
      <c r="B6482" s="6">
        <v>9.5</v>
      </c>
      <c r="C6482" s="7">
        <v>2.4</v>
      </c>
      <c r="D6482" s="7">
        <v>3.2</v>
      </c>
      <c r="E6482" s="7"/>
      <c r="F6482" s="8">
        <v>24.4</v>
      </c>
      <c r="G6482" s="7">
        <v>15</v>
      </c>
      <c r="H6482" s="7">
        <v>24.4</v>
      </c>
      <c r="I6482" s="7">
        <v>3</v>
      </c>
      <c r="J6482" s="7">
        <v>1.8</v>
      </c>
      <c r="K6482" s="7">
        <v>1.5</v>
      </c>
      <c r="L6482" s="7">
        <v>29.717999999999996</v>
      </c>
      <c r="M6482" s="7">
        <v>18</v>
      </c>
      <c r="N6482" s="8">
        <v>46.6</v>
      </c>
      <c r="O6482" s="7"/>
      <c r="P6482" s="7">
        <v>28</v>
      </c>
      <c r="Q6482" s="7">
        <v>30</v>
      </c>
      <c r="R6482" s="7">
        <v>14</v>
      </c>
      <c r="S6482" s="8"/>
      <c r="T6482" s="8">
        <v>0.2</v>
      </c>
      <c r="U6482" s="7">
        <v>0</v>
      </c>
      <c r="V6482" s="7">
        <v>0.4</v>
      </c>
      <c r="W6482" s="7">
        <v>0</v>
      </c>
      <c r="X6482" s="7">
        <v>0</v>
      </c>
      <c r="Y6482" s="7">
        <v>15</v>
      </c>
      <c r="Z6482" s="7">
        <v>34</v>
      </c>
      <c r="AA6482" s="7">
        <v>42</v>
      </c>
      <c r="AC6482" s="38">
        <v>0</v>
      </c>
    </row>
    <row r="6483" spans="1:29" x14ac:dyDescent="0.25">
      <c r="A6483" s="22">
        <v>44834</v>
      </c>
      <c r="B6483" s="7">
        <v>41</v>
      </c>
      <c r="C6483" s="7">
        <f>171.4-114</f>
        <v>57.400000000000006</v>
      </c>
      <c r="D6483" s="7">
        <f>206.8-144.7</f>
        <v>62.100000000000023</v>
      </c>
      <c r="E6483" s="7"/>
      <c r="F6483" s="8">
        <v>35.4</v>
      </c>
      <c r="G6483" s="7">
        <v>19</v>
      </c>
      <c r="H6483" s="7">
        <v>21.8</v>
      </c>
      <c r="I6483" s="7">
        <v>0</v>
      </c>
      <c r="J6483" s="7">
        <v>4.2</v>
      </c>
      <c r="K6483" s="7">
        <v>4</v>
      </c>
      <c r="L6483" s="7">
        <v>19.049999999999997</v>
      </c>
      <c r="M6483" s="7">
        <v>32.5</v>
      </c>
      <c r="N6483" s="8">
        <v>1.6</v>
      </c>
      <c r="O6483" s="7"/>
      <c r="P6483" s="7">
        <v>14</v>
      </c>
      <c r="Q6483" s="7">
        <v>8</v>
      </c>
      <c r="R6483" s="7">
        <f>268-171</f>
        <v>97</v>
      </c>
      <c r="S6483" s="8"/>
      <c r="T6483" s="8">
        <v>0</v>
      </c>
      <c r="U6483" s="7">
        <v>54</v>
      </c>
      <c r="V6483" s="7">
        <v>0</v>
      </c>
      <c r="W6483" s="7">
        <v>0.4</v>
      </c>
      <c r="X6483" s="7">
        <v>42</v>
      </c>
      <c r="Y6483" s="7">
        <f>118-62</f>
        <v>56</v>
      </c>
      <c r="Z6483" s="7">
        <v>26</v>
      </c>
      <c r="AA6483" s="7"/>
      <c r="AC6483" s="38">
        <v>0</v>
      </c>
    </row>
    <row r="6484" spans="1:29" x14ac:dyDescent="0.25">
      <c r="A6484" s="22">
        <v>44835</v>
      </c>
      <c r="B6484" s="7">
        <v>37.5</v>
      </c>
      <c r="C6484" s="30" t="s">
        <v>9</v>
      </c>
      <c r="D6484" s="9">
        <v>1</v>
      </c>
      <c r="E6484" s="7"/>
      <c r="F6484" s="9">
        <v>0</v>
      </c>
      <c r="G6484" s="9">
        <v>4</v>
      </c>
      <c r="H6484" s="9">
        <v>2.2999999999999998</v>
      </c>
      <c r="I6484" s="9">
        <v>0</v>
      </c>
      <c r="J6484" s="9">
        <v>4.8</v>
      </c>
      <c r="K6484" s="9">
        <v>4.8</v>
      </c>
      <c r="L6484" s="9">
        <v>35.6</v>
      </c>
      <c r="M6484" s="9">
        <v>2.4</v>
      </c>
      <c r="N6484" s="9">
        <v>3.6</v>
      </c>
      <c r="O6484" s="7"/>
      <c r="P6484" s="9">
        <v>24</v>
      </c>
      <c r="Q6484" s="9">
        <v>8</v>
      </c>
      <c r="R6484" s="9">
        <v>1.2</v>
      </c>
      <c r="S6484" s="8"/>
      <c r="T6484" s="8">
        <v>0</v>
      </c>
      <c r="U6484" s="7">
        <v>0</v>
      </c>
      <c r="V6484" s="9">
        <v>0.5</v>
      </c>
      <c r="W6484" s="9">
        <v>0</v>
      </c>
      <c r="X6484" s="9">
        <v>42</v>
      </c>
      <c r="Y6484" s="7" t="s">
        <v>9</v>
      </c>
      <c r="Z6484" s="9">
        <v>6</v>
      </c>
      <c r="AA6484" s="9">
        <v>1</v>
      </c>
      <c r="AC6484" s="38">
        <v>2</v>
      </c>
    </row>
    <row r="6485" spans="1:29" x14ac:dyDescent="0.25">
      <c r="A6485" s="22">
        <v>44836</v>
      </c>
      <c r="B6485" s="7">
        <v>0</v>
      </c>
      <c r="C6485" s="9">
        <v>1</v>
      </c>
      <c r="D6485" s="9">
        <v>3.8</v>
      </c>
      <c r="E6485" s="7"/>
      <c r="F6485" s="9">
        <v>0</v>
      </c>
      <c r="G6485" s="9">
        <v>3.9</v>
      </c>
      <c r="H6485" s="9">
        <v>0.6</v>
      </c>
      <c r="I6485" s="9">
        <v>0.8</v>
      </c>
      <c r="J6485" s="9">
        <v>1.8</v>
      </c>
      <c r="K6485" s="9">
        <v>0.8</v>
      </c>
      <c r="L6485" s="9">
        <v>3.8</v>
      </c>
      <c r="M6485" s="9">
        <v>0.6</v>
      </c>
      <c r="N6485" s="9">
        <v>3.4</v>
      </c>
      <c r="O6485" s="7"/>
      <c r="P6485" s="7" t="s">
        <v>9</v>
      </c>
      <c r="Q6485" s="9">
        <v>2.4</v>
      </c>
      <c r="R6485" s="9">
        <v>1.1000000000000001</v>
      </c>
      <c r="S6485" s="8"/>
      <c r="T6485" s="8">
        <v>0</v>
      </c>
      <c r="U6485" s="7">
        <v>0</v>
      </c>
      <c r="V6485" s="9">
        <v>3.6</v>
      </c>
      <c r="W6485" s="9">
        <v>2</v>
      </c>
      <c r="X6485" s="9">
        <v>4</v>
      </c>
      <c r="Y6485" s="7" t="s">
        <v>9</v>
      </c>
      <c r="Z6485" s="9">
        <v>10</v>
      </c>
      <c r="AA6485" s="9">
        <v>0</v>
      </c>
      <c r="AC6485" s="38">
        <v>1</v>
      </c>
    </row>
    <row r="6486" spans="1:29" x14ac:dyDescent="0.25">
      <c r="A6486" s="22">
        <v>44837</v>
      </c>
      <c r="B6486" s="7">
        <v>57</v>
      </c>
      <c r="C6486" s="9">
        <v>41</v>
      </c>
      <c r="D6486" s="9">
        <v>20.2</v>
      </c>
      <c r="E6486" s="7"/>
      <c r="F6486" s="9">
        <v>14</v>
      </c>
      <c r="G6486" s="9">
        <v>26.5</v>
      </c>
      <c r="H6486" s="9">
        <v>19.2</v>
      </c>
      <c r="I6486" s="9">
        <v>24</v>
      </c>
      <c r="J6486" s="9">
        <v>24.4</v>
      </c>
      <c r="K6486" s="9">
        <v>24.6</v>
      </c>
      <c r="L6486" s="9">
        <v>40.6</v>
      </c>
      <c r="M6486" s="9">
        <v>20.3</v>
      </c>
      <c r="N6486" s="9">
        <v>27.6</v>
      </c>
      <c r="O6486" s="7"/>
      <c r="P6486" s="9">
        <v>32.5</v>
      </c>
      <c r="Q6486" s="9">
        <v>28</v>
      </c>
      <c r="R6486" s="9">
        <v>28.9</v>
      </c>
      <c r="S6486" s="8"/>
      <c r="T6486" s="8">
        <v>3.4</v>
      </c>
      <c r="U6486" s="7">
        <v>40</v>
      </c>
      <c r="V6486" s="9">
        <v>23.2</v>
      </c>
      <c r="W6486" s="9">
        <v>22.4</v>
      </c>
      <c r="X6486" s="9">
        <v>20</v>
      </c>
      <c r="Y6486" s="9">
        <v>18</v>
      </c>
      <c r="Z6486" s="9">
        <v>4</v>
      </c>
      <c r="AA6486" s="9">
        <v>26</v>
      </c>
      <c r="AC6486" s="38">
        <v>9</v>
      </c>
    </row>
    <row r="6487" spans="1:29" x14ac:dyDescent="0.25">
      <c r="A6487" s="22">
        <v>44838</v>
      </c>
      <c r="B6487" s="7">
        <v>4.5</v>
      </c>
      <c r="C6487" s="9">
        <v>2</v>
      </c>
      <c r="D6487" s="9">
        <v>47.2</v>
      </c>
      <c r="E6487" s="7"/>
      <c r="F6487" s="9">
        <v>6.3</v>
      </c>
      <c r="G6487" s="9">
        <v>19</v>
      </c>
      <c r="H6487" s="9">
        <v>9.8000000000000007</v>
      </c>
      <c r="I6487" s="9">
        <v>7.1</v>
      </c>
      <c r="J6487" s="9">
        <v>5</v>
      </c>
      <c r="K6487" s="9">
        <v>4.4000000000000004</v>
      </c>
      <c r="L6487" s="9">
        <v>15.5</v>
      </c>
      <c r="M6487" s="9">
        <v>8.4</v>
      </c>
      <c r="N6487" s="9">
        <v>4.8</v>
      </c>
      <c r="O6487" s="7"/>
      <c r="P6487" s="9">
        <v>4</v>
      </c>
      <c r="Q6487" s="9">
        <v>12</v>
      </c>
      <c r="R6487" s="9">
        <v>2.2000000000000002</v>
      </c>
      <c r="S6487" s="8"/>
      <c r="T6487" s="8">
        <v>1.4</v>
      </c>
      <c r="U6487" s="7">
        <v>11</v>
      </c>
      <c r="V6487" s="9">
        <v>0.3</v>
      </c>
      <c r="W6487" s="9">
        <v>12.2</v>
      </c>
      <c r="X6487" s="9">
        <v>10</v>
      </c>
      <c r="Y6487" s="9">
        <v>4</v>
      </c>
      <c r="Z6487" s="9">
        <v>0.2</v>
      </c>
      <c r="AA6487" s="9">
        <v>12</v>
      </c>
      <c r="AC6487" s="38">
        <v>8</v>
      </c>
    </row>
    <row r="6488" spans="1:29" x14ac:dyDescent="0.25">
      <c r="A6488" s="22">
        <v>44839</v>
      </c>
      <c r="B6488" s="7">
        <v>9</v>
      </c>
      <c r="C6488" s="9">
        <v>13</v>
      </c>
      <c r="D6488" s="9">
        <v>23</v>
      </c>
      <c r="E6488" s="7"/>
      <c r="F6488" s="9">
        <v>6.3</v>
      </c>
      <c r="G6488" s="9">
        <v>9</v>
      </c>
      <c r="H6488" s="9">
        <v>9.1999999999999993</v>
      </c>
      <c r="I6488" s="9">
        <v>13.4</v>
      </c>
      <c r="J6488" s="9">
        <v>12</v>
      </c>
      <c r="K6488" s="9">
        <v>22.8</v>
      </c>
      <c r="L6488" s="9">
        <v>6.6</v>
      </c>
      <c r="M6488" s="9">
        <v>8.1999999999999993</v>
      </c>
      <c r="N6488" s="9">
        <v>34.6</v>
      </c>
      <c r="O6488" s="7"/>
      <c r="P6488" s="9">
        <v>2</v>
      </c>
      <c r="Q6488" s="9">
        <v>11</v>
      </c>
      <c r="R6488" s="9">
        <v>12.3</v>
      </c>
      <c r="S6488" s="8"/>
      <c r="T6488" s="8">
        <v>10</v>
      </c>
      <c r="U6488" s="7">
        <v>47</v>
      </c>
      <c r="V6488" s="9">
        <v>9.3000000000000007</v>
      </c>
      <c r="W6488" s="9">
        <v>8.1</v>
      </c>
      <c r="X6488" s="9">
        <v>12</v>
      </c>
      <c r="Y6488" s="9">
        <v>6</v>
      </c>
      <c r="Z6488" s="9">
        <v>10</v>
      </c>
      <c r="AA6488" s="9">
        <v>12</v>
      </c>
      <c r="AC6488" s="38">
        <v>23</v>
      </c>
    </row>
    <row r="6489" spans="1:29" x14ac:dyDescent="0.25">
      <c r="A6489" s="22">
        <v>44840</v>
      </c>
      <c r="B6489" s="7">
        <v>30</v>
      </c>
      <c r="C6489" s="9">
        <v>42</v>
      </c>
      <c r="D6489" s="9">
        <v>47.2</v>
      </c>
      <c r="E6489" s="7"/>
      <c r="F6489" s="9">
        <v>40.4</v>
      </c>
      <c r="G6489" s="9">
        <v>61.5</v>
      </c>
      <c r="H6489" s="9">
        <v>84</v>
      </c>
      <c r="I6489" s="9">
        <v>50.2</v>
      </c>
      <c r="J6489" s="9">
        <v>62.2</v>
      </c>
      <c r="K6489" s="9">
        <v>52.2</v>
      </c>
      <c r="L6489" s="9">
        <v>28.4</v>
      </c>
      <c r="M6489" s="9">
        <v>50.7</v>
      </c>
      <c r="N6489" s="9">
        <v>36.799999999999997</v>
      </c>
      <c r="O6489" s="7"/>
      <c r="P6489" s="9">
        <v>40.5</v>
      </c>
      <c r="Q6489" s="9">
        <v>32</v>
      </c>
      <c r="R6489" s="9">
        <v>24.2</v>
      </c>
      <c r="S6489" s="8"/>
      <c r="T6489" s="8">
        <v>24</v>
      </c>
      <c r="U6489" s="7">
        <v>37</v>
      </c>
      <c r="V6489" s="9">
        <v>60.5</v>
      </c>
      <c r="W6489" s="9">
        <v>52.3</v>
      </c>
      <c r="X6489" s="9"/>
      <c r="Y6489" s="9">
        <v>38</v>
      </c>
      <c r="Z6489" s="9">
        <v>32</v>
      </c>
      <c r="AA6489" s="9">
        <v>40</v>
      </c>
      <c r="AC6489" s="38">
        <v>26</v>
      </c>
    </row>
    <row r="6490" spans="1:29" x14ac:dyDescent="0.25">
      <c r="A6490" s="22">
        <v>44841</v>
      </c>
      <c r="B6490" s="7">
        <v>18</v>
      </c>
      <c r="C6490" s="9">
        <v>8</v>
      </c>
      <c r="D6490" s="9">
        <v>11</v>
      </c>
      <c r="E6490" s="7"/>
      <c r="F6490" s="9">
        <v>4.4000000000000004</v>
      </c>
      <c r="G6490" s="9">
        <v>8</v>
      </c>
      <c r="H6490" s="9">
        <v>3.8</v>
      </c>
      <c r="I6490" s="9">
        <v>9.4</v>
      </c>
      <c r="J6490" s="9">
        <v>8</v>
      </c>
      <c r="K6490" s="9">
        <v>17.5</v>
      </c>
      <c r="L6490" s="9">
        <v>16.600000000000001</v>
      </c>
      <c r="M6490" s="9">
        <v>5.7</v>
      </c>
      <c r="N6490" s="9">
        <v>0.8</v>
      </c>
      <c r="O6490" s="7"/>
      <c r="P6490" s="9">
        <v>7</v>
      </c>
      <c r="Q6490" s="9"/>
      <c r="R6490" s="9">
        <v>11.9</v>
      </c>
      <c r="S6490" s="8"/>
      <c r="T6490" s="8">
        <v>0.4</v>
      </c>
      <c r="U6490" s="7">
        <v>3</v>
      </c>
      <c r="V6490" s="9">
        <v>6.2</v>
      </c>
      <c r="W6490" s="9">
        <v>10.199999999999999</v>
      </c>
      <c r="X6490" s="9">
        <v>10</v>
      </c>
      <c r="Y6490" s="9">
        <v>5</v>
      </c>
      <c r="Z6490" s="9">
        <v>8</v>
      </c>
      <c r="AA6490" s="9">
        <v>8</v>
      </c>
      <c r="AC6490" s="38">
        <v>1</v>
      </c>
    </row>
    <row r="6491" spans="1:29" x14ac:dyDescent="0.25">
      <c r="A6491" s="22">
        <v>44842</v>
      </c>
      <c r="B6491" s="7">
        <v>0</v>
      </c>
      <c r="C6491" s="9">
        <v>6</v>
      </c>
      <c r="D6491" s="9">
        <v>8</v>
      </c>
      <c r="E6491" s="7"/>
      <c r="F6491" s="9">
        <v>7.4</v>
      </c>
      <c r="G6491" s="9">
        <v>10</v>
      </c>
      <c r="H6491" s="9">
        <v>10.8</v>
      </c>
      <c r="I6491" s="9">
        <v>9.8000000000000007</v>
      </c>
      <c r="J6491" s="9">
        <v>6.6</v>
      </c>
      <c r="K6491" s="9">
        <v>6.8</v>
      </c>
      <c r="L6491" s="9">
        <v>15.5</v>
      </c>
      <c r="M6491" s="9">
        <v>12</v>
      </c>
      <c r="N6491" s="9">
        <v>17</v>
      </c>
      <c r="O6491" s="7"/>
      <c r="P6491" s="9">
        <v>2.5</v>
      </c>
      <c r="Q6491" s="9">
        <v>31</v>
      </c>
      <c r="R6491" s="9">
        <v>7.8</v>
      </c>
      <c r="S6491" s="8"/>
      <c r="T6491" s="8">
        <v>4.8</v>
      </c>
      <c r="U6491" s="7">
        <v>10</v>
      </c>
      <c r="V6491" s="9">
        <v>0.8</v>
      </c>
      <c r="W6491" s="9">
        <v>0.6</v>
      </c>
      <c r="X6491" s="9">
        <v>2.5</v>
      </c>
      <c r="Y6491" s="9">
        <v>4</v>
      </c>
      <c r="Z6491" s="9">
        <v>26</v>
      </c>
      <c r="AA6491" s="9">
        <v>2</v>
      </c>
      <c r="AC6491" s="38">
        <v>9</v>
      </c>
    </row>
    <row r="6492" spans="1:29" x14ac:dyDescent="0.25">
      <c r="A6492" s="22">
        <v>44843</v>
      </c>
      <c r="B6492" s="7">
        <v>0</v>
      </c>
      <c r="C6492" s="9">
        <v>30.6</v>
      </c>
      <c r="D6492" s="9">
        <v>34</v>
      </c>
      <c r="E6492" s="7"/>
      <c r="F6492" s="9">
        <v>28.4</v>
      </c>
      <c r="G6492" s="9">
        <v>23</v>
      </c>
      <c r="H6492" s="9">
        <v>24.4</v>
      </c>
      <c r="I6492" s="9">
        <v>8</v>
      </c>
      <c r="J6492" s="9">
        <v>31</v>
      </c>
      <c r="K6492" s="9">
        <v>41.9</v>
      </c>
      <c r="L6492" s="9">
        <v>10.4</v>
      </c>
      <c r="M6492" s="9">
        <v>21.6</v>
      </c>
      <c r="N6492" s="9">
        <v>28</v>
      </c>
      <c r="O6492" s="7"/>
      <c r="P6492" s="9">
        <v>8</v>
      </c>
      <c r="Q6492" s="9">
        <v>31</v>
      </c>
      <c r="R6492" s="9">
        <v>23.2</v>
      </c>
      <c r="S6492" s="8"/>
      <c r="T6492" s="8">
        <v>4.8</v>
      </c>
      <c r="U6492" s="7">
        <v>36</v>
      </c>
      <c r="V6492" s="9">
        <v>21.5</v>
      </c>
      <c r="W6492" s="9">
        <v>8.1</v>
      </c>
      <c r="X6492" s="9">
        <v>34</v>
      </c>
      <c r="Y6492" s="9">
        <v>36</v>
      </c>
      <c r="Z6492" s="9">
        <v>14</v>
      </c>
      <c r="AA6492" s="9">
        <v>0</v>
      </c>
      <c r="AC6492" s="38">
        <v>1</v>
      </c>
    </row>
    <row r="6493" spans="1:29" x14ac:dyDescent="0.25">
      <c r="A6493" s="22">
        <v>44844</v>
      </c>
      <c r="B6493" s="7">
        <v>15</v>
      </c>
      <c r="C6493" s="9">
        <v>9</v>
      </c>
      <c r="D6493" s="9">
        <v>8.4</v>
      </c>
      <c r="E6493" s="7"/>
      <c r="F6493" s="9">
        <v>9.1</v>
      </c>
      <c r="G6493" s="9">
        <v>13</v>
      </c>
      <c r="H6493" s="9">
        <v>6.6</v>
      </c>
      <c r="I6493" s="9">
        <v>7</v>
      </c>
      <c r="J6493" s="9">
        <v>11.2</v>
      </c>
      <c r="K6493" s="9">
        <v>7.2</v>
      </c>
      <c r="L6493" s="9">
        <v>8.99</v>
      </c>
      <c r="M6493" s="9">
        <v>10.3</v>
      </c>
      <c r="N6493" s="9">
        <v>5.2</v>
      </c>
      <c r="O6493" s="7"/>
      <c r="P6493" s="9">
        <v>13</v>
      </c>
      <c r="Q6493" s="9">
        <v>15</v>
      </c>
      <c r="R6493" s="9">
        <v>23.9</v>
      </c>
      <c r="S6493" s="8"/>
      <c r="T6493" s="8">
        <v>8.4</v>
      </c>
      <c r="U6493" s="7">
        <v>15</v>
      </c>
      <c r="V6493" s="9">
        <v>7.7</v>
      </c>
      <c r="W6493" s="9">
        <v>10.199999999999999</v>
      </c>
      <c r="X6493" s="9">
        <v>4</v>
      </c>
      <c r="Y6493" s="9">
        <v>16</v>
      </c>
      <c r="Z6493" s="9">
        <v>8</v>
      </c>
      <c r="AA6493" s="9">
        <v>54</v>
      </c>
      <c r="AC6493" s="38">
        <v>6</v>
      </c>
    </row>
    <row r="6494" spans="1:29" x14ac:dyDescent="0.25">
      <c r="A6494" s="22">
        <v>44845</v>
      </c>
      <c r="B6494" s="7">
        <v>4</v>
      </c>
      <c r="C6494" s="9">
        <v>12</v>
      </c>
      <c r="D6494" s="9">
        <v>16.399999999999999</v>
      </c>
      <c r="E6494" s="7"/>
      <c r="F6494" s="9">
        <v>26.4</v>
      </c>
      <c r="G6494" s="9">
        <v>21.5</v>
      </c>
      <c r="H6494" s="9">
        <v>19</v>
      </c>
      <c r="I6494" s="9">
        <v>7.2</v>
      </c>
      <c r="J6494" s="9">
        <v>22.1</v>
      </c>
      <c r="K6494" s="9">
        <v>18.5</v>
      </c>
      <c r="L6494" s="9">
        <v>5.6</v>
      </c>
      <c r="M6494" s="9">
        <v>16</v>
      </c>
      <c r="N6494" s="9">
        <v>49.8</v>
      </c>
      <c r="O6494" s="7"/>
      <c r="P6494" s="9">
        <v>9</v>
      </c>
      <c r="Q6494" s="9">
        <v>7.2</v>
      </c>
      <c r="R6494" s="9">
        <v>5.2</v>
      </c>
      <c r="S6494" s="8"/>
      <c r="T6494" s="8">
        <v>8.1999999999999993</v>
      </c>
      <c r="U6494" s="7">
        <v>17</v>
      </c>
      <c r="V6494" s="9">
        <v>16.22</v>
      </c>
      <c r="W6494" s="9">
        <v>18.3</v>
      </c>
      <c r="X6494" s="9">
        <v>2</v>
      </c>
      <c r="Y6494" s="9">
        <v>24</v>
      </c>
      <c r="Z6494" s="9"/>
      <c r="AA6494" s="9">
        <v>13</v>
      </c>
      <c r="AC6494" s="38">
        <v>53</v>
      </c>
    </row>
    <row r="6495" spans="1:29" x14ac:dyDescent="0.25">
      <c r="A6495" s="22">
        <v>44846</v>
      </c>
      <c r="B6495" s="7">
        <v>50</v>
      </c>
      <c r="C6495" s="9">
        <v>47</v>
      </c>
      <c r="D6495" s="9">
        <v>61</v>
      </c>
      <c r="E6495" s="7"/>
      <c r="F6495" s="9">
        <v>64</v>
      </c>
      <c r="G6495" s="9">
        <v>66.5</v>
      </c>
      <c r="H6495" s="9">
        <v>76.400000000000006</v>
      </c>
      <c r="I6495" s="9">
        <v>51.2</v>
      </c>
      <c r="J6495" s="9">
        <v>67</v>
      </c>
      <c r="K6495" s="9">
        <v>58.9</v>
      </c>
      <c r="L6495" s="9">
        <v>47.5</v>
      </c>
      <c r="M6495" s="9">
        <v>63.4</v>
      </c>
      <c r="N6495" s="9">
        <v>40.4</v>
      </c>
      <c r="O6495" s="7"/>
      <c r="P6495" s="9">
        <v>57</v>
      </c>
      <c r="Q6495" s="9">
        <v>42</v>
      </c>
      <c r="R6495" s="9">
        <v>44.2</v>
      </c>
      <c r="S6495" s="8"/>
      <c r="T6495" s="8">
        <v>2</v>
      </c>
      <c r="U6495" s="7">
        <v>84</v>
      </c>
      <c r="V6495" s="9">
        <v>70.5</v>
      </c>
      <c r="W6495" s="9">
        <v>48.2</v>
      </c>
      <c r="X6495" s="9">
        <v>83</v>
      </c>
      <c r="Y6495" s="9">
        <v>50</v>
      </c>
      <c r="Z6495" s="9"/>
      <c r="AA6495" s="9">
        <v>75</v>
      </c>
      <c r="AC6495" s="38">
        <v>21</v>
      </c>
    </row>
    <row r="6496" spans="1:29" x14ac:dyDescent="0.25">
      <c r="A6496" s="22">
        <v>44847</v>
      </c>
      <c r="B6496" s="7">
        <v>5.5</v>
      </c>
      <c r="C6496" s="9">
        <v>13.8</v>
      </c>
      <c r="D6496" s="9">
        <v>12.2</v>
      </c>
      <c r="E6496" s="7"/>
      <c r="F6496" s="9">
        <v>17.2</v>
      </c>
      <c r="G6496" s="9">
        <v>39</v>
      </c>
      <c r="H6496" s="9">
        <v>25</v>
      </c>
      <c r="I6496" s="9">
        <v>34</v>
      </c>
      <c r="J6496" s="9">
        <v>32.200000000000003</v>
      </c>
      <c r="K6496" s="9">
        <v>16.600000000000001</v>
      </c>
      <c r="L6496" s="9">
        <v>10.199999999999999</v>
      </c>
      <c r="M6496" s="9">
        <v>36.4</v>
      </c>
      <c r="N6496" s="9">
        <v>0.6</v>
      </c>
      <c r="O6496" s="7"/>
      <c r="P6496" s="9">
        <v>6.5</v>
      </c>
      <c r="Q6496" s="9">
        <v>18</v>
      </c>
      <c r="R6496" s="9">
        <v>29</v>
      </c>
      <c r="S6496" s="10"/>
      <c r="T6496" s="8">
        <v>0</v>
      </c>
      <c r="U6496" s="7">
        <v>0</v>
      </c>
      <c r="V6496" s="9">
        <v>32.6</v>
      </c>
      <c r="W6496" s="9">
        <v>38.200000000000003</v>
      </c>
      <c r="X6496" s="9">
        <v>2</v>
      </c>
      <c r="Y6496" s="9">
        <v>14</v>
      </c>
      <c r="Z6496" s="9">
        <v>16</v>
      </c>
      <c r="AA6496" s="9">
        <v>21</v>
      </c>
      <c r="AC6496" s="38">
        <v>0</v>
      </c>
    </row>
    <row r="6497" spans="1:29" x14ac:dyDescent="0.25">
      <c r="A6497" s="22">
        <v>44848</v>
      </c>
      <c r="B6497" s="7">
        <v>6.5</v>
      </c>
      <c r="C6497" s="9">
        <v>6</v>
      </c>
      <c r="D6497" s="9">
        <v>8</v>
      </c>
      <c r="E6497" s="7"/>
      <c r="F6497" s="9">
        <v>5.2</v>
      </c>
      <c r="G6497" s="9">
        <v>15</v>
      </c>
      <c r="H6497" s="9">
        <v>5.6</v>
      </c>
      <c r="I6497" s="9">
        <v>5.8</v>
      </c>
      <c r="J6497" s="9">
        <v>10.199999999999999</v>
      </c>
      <c r="K6497" s="9">
        <v>3</v>
      </c>
      <c r="L6497" s="9">
        <v>4.0599999999999996</v>
      </c>
      <c r="M6497" s="9">
        <v>8</v>
      </c>
      <c r="N6497" s="9">
        <v>2.2000000000000002</v>
      </c>
      <c r="O6497" s="7"/>
      <c r="P6497" s="9">
        <v>2.5</v>
      </c>
      <c r="Q6497" s="9">
        <v>3.1</v>
      </c>
      <c r="R6497" s="9">
        <v>2.1</v>
      </c>
      <c r="S6497" s="10"/>
      <c r="T6497" s="8">
        <v>1.2</v>
      </c>
      <c r="U6497" s="7">
        <v>10</v>
      </c>
      <c r="V6497" s="9">
        <v>18.12</v>
      </c>
      <c r="W6497" s="9">
        <v>0.8</v>
      </c>
      <c r="X6497" s="9">
        <v>4</v>
      </c>
      <c r="Y6497" s="9">
        <v>4</v>
      </c>
      <c r="Z6497" s="9">
        <v>0.08</v>
      </c>
      <c r="AA6497" s="9">
        <v>2</v>
      </c>
      <c r="AC6497" s="38">
        <v>1</v>
      </c>
    </row>
    <row r="6498" spans="1:29" x14ac:dyDescent="0.25">
      <c r="A6498" s="22">
        <v>44849</v>
      </c>
      <c r="B6498" s="7">
        <v>0</v>
      </c>
      <c r="C6498" s="30" t="s">
        <v>9</v>
      </c>
      <c r="D6498" s="30" t="s">
        <v>9</v>
      </c>
      <c r="E6498" s="7"/>
      <c r="F6498" s="30" t="s">
        <v>9</v>
      </c>
      <c r="G6498" s="30" t="s">
        <v>9</v>
      </c>
      <c r="H6498" s="30" t="s">
        <v>9</v>
      </c>
      <c r="I6498" s="30" t="s">
        <v>9</v>
      </c>
      <c r="J6498" s="9">
        <v>4.5999999999999996</v>
      </c>
      <c r="K6498" s="9">
        <v>1.4</v>
      </c>
      <c r="L6498" s="9">
        <v>1.8</v>
      </c>
      <c r="M6498" s="30" t="s">
        <v>9</v>
      </c>
      <c r="N6498" s="9">
        <v>2.4</v>
      </c>
      <c r="O6498" s="7"/>
      <c r="P6498" s="7" t="s">
        <v>9</v>
      </c>
      <c r="Q6498" s="9">
        <v>0.9</v>
      </c>
      <c r="R6498" s="9">
        <v>1</v>
      </c>
      <c r="S6498" s="10"/>
      <c r="T6498" s="8">
        <v>0</v>
      </c>
      <c r="U6498" s="7">
        <v>15</v>
      </c>
      <c r="V6498" s="7" t="s">
        <v>9</v>
      </c>
      <c r="W6498" s="9">
        <v>0.3</v>
      </c>
      <c r="X6498" s="9">
        <v>10.9</v>
      </c>
      <c r="Y6498" s="7" t="s">
        <v>9</v>
      </c>
      <c r="Z6498" s="9"/>
      <c r="AA6498" s="7" t="s">
        <v>9</v>
      </c>
      <c r="AC6498" s="38">
        <v>0</v>
      </c>
    </row>
    <row r="6499" spans="1:29" x14ac:dyDescent="0.25">
      <c r="A6499" s="22">
        <v>44850</v>
      </c>
      <c r="B6499" s="6">
        <v>0</v>
      </c>
      <c r="C6499" s="9">
        <v>12</v>
      </c>
      <c r="D6499" s="9">
        <v>12</v>
      </c>
      <c r="E6499" s="7"/>
      <c r="F6499" s="9">
        <v>4.2</v>
      </c>
      <c r="G6499" s="9">
        <v>2</v>
      </c>
      <c r="H6499" s="30" t="s">
        <v>9</v>
      </c>
      <c r="I6499" s="9">
        <v>2.8</v>
      </c>
      <c r="J6499" s="9">
        <v>6</v>
      </c>
      <c r="K6499" s="9">
        <v>16.2</v>
      </c>
      <c r="L6499" s="9">
        <v>1.8</v>
      </c>
      <c r="M6499" s="9">
        <v>1.4</v>
      </c>
      <c r="N6499" s="9">
        <v>17.2</v>
      </c>
      <c r="O6499" s="7"/>
      <c r="P6499" s="9">
        <v>2</v>
      </c>
      <c r="Q6499" s="9">
        <v>9.6999999999999993</v>
      </c>
      <c r="R6499" s="9">
        <v>4.9000000000000004</v>
      </c>
      <c r="S6499" s="10"/>
      <c r="T6499" s="8">
        <v>4.2</v>
      </c>
      <c r="U6499" s="7">
        <v>10</v>
      </c>
      <c r="V6499" s="7" t="s">
        <v>9</v>
      </c>
      <c r="W6499" s="7" t="s">
        <v>9</v>
      </c>
      <c r="X6499" s="7" t="s">
        <v>9</v>
      </c>
      <c r="Y6499" s="9">
        <v>4</v>
      </c>
      <c r="Z6499" s="9">
        <v>0.02</v>
      </c>
      <c r="AA6499" s="9" t="s">
        <v>12</v>
      </c>
      <c r="AC6499" s="38">
        <v>5</v>
      </c>
    </row>
    <row r="6500" spans="1:29" x14ac:dyDescent="0.25">
      <c r="A6500" s="22">
        <v>44851</v>
      </c>
      <c r="B6500" s="6">
        <v>24.5</v>
      </c>
      <c r="C6500" s="9">
        <v>8</v>
      </c>
      <c r="D6500" s="9">
        <v>12</v>
      </c>
      <c r="E6500" s="7"/>
      <c r="F6500" s="9">
        <v>39.200000000000003</v>
      </c>
      <c r="G6500" s="9">
        <v>24</v>
      </c>
      <c r="H6500" s="9">
        <v>37.799999999999997</v>
      </c>
      <c r="I6500" s="9">
        <v>10.1</v>
      </c>
      <c r="J6500" s="9">
        <v>5</v>
      </c>
      <c r="K6500" s="9">
        <v>7.8</v>
      </c>
      <c r="L6500" s="9">
        <v>43.4</v>
      </c>
      <c r="M6500" s="9">
        <v>40</v>
      </c>
      <c r="N6500" s="9">
        <v>41.2</v>
      </c>
      <c r="O6500" s="7"/>
      <c r="P6500" s="9">
        <v>24</v>
      </c>
      <c r="Q6500" s="9">
        <v>27.5</v>
      </c>
      <c r="R6500" s="9">
        <v>24.1</v>
      </c>
      <c r="S6500" s="10"/>
      <c r="T6500" s="8">
        <v>0.6</v>
      </c>
      <c r="U6500" s="7">
        <v>100</v>
      </c>
      <c r="V6500" s="9">
        <v>9.1999999999999993</v>
      </c>
      <c r="W6500" s="9">
        <v>0.4</v>
      </c>
      <c r="X6500" s="9">
        <v>8</v>
      </c>
      <c r="Y6500" s="9">
        <v>32</v>
      </c>
      <c r="Z6500" s="9">
        <v>28</v>
      </c>
      <c r="AA6500" s="9">
        <v>42</v>
      </c>
      <c r="AC6500" s="38">
        <v>5</v>
      </c>
    </row>
    <row r="6501" spans="1:29" x14ac:dyDescent="0.25">
      <c r="A6501" s="22">
        <v>44852</v>
      </c>
      <c r="B6501" s="6">
        <v>6</v>
      </c>
      <c r="C6501" s="9">
        <v>1</v>
      </c>
      <c r="D6501" s="9">
        <v>7.6</v>
      </c>
      <c r="E6501" s="7"/>
      <c r="F6501" s="9">
        <v>11.1</v>
      </c>
      <c r="G6501" s="9">
        <v>9.5</v>
      </c>
      <c r="H6501" s="9">
        <v>10.8</v>
      </c>
      <c r="I6501" s="9" t="s">
        <v>12</v>
      </c>
      <c r="J6501" s="9" t="s">
        <v>12</v>
      </c>
      <c r="K6501" s="9">
        <v>15.3</v>
      </c>
      <c r="L6501" s="9">
        <v>35.6</v>
      </c>
      <c r="M6501" s="9">
        <v>10.4</v>
      </c>
      <c r="N6501" s="9"/>
      <c r="O6501" s="7"/>
      <c r="P6501" s="9">
        <v>26</v>
      </c>
      <c r="Q6501" s="9">
        <v>36.200000000000003</v>
      </c>
      <c r="R6501" s="9">
        <v>50.2</v>
      </c>
      <c r="S6501" s="10"/>
      <c r="T6501" s="8">
        <v>0.6</v>
      </c>
      <c r="U6501" s="7">
        <v>12</v>
      </c>
      <c r="V6501" s="9">
        <v>0.6</v>
      </c>
      <c r="W6501" s="7" t="s">
        <v>9</v>
      </c>
      <c r="X6501" s="9">
        <v>18</v>
      </c>
      <c r="Y6501" s="9">
        <v>20</v>
      </c>
      <c r="Z6501" s="9">
        <v>8</v>
      </c>
      <c r="AA6501" s="9">
        <v>36</v>
      </c>
      <c r="AC6501" s="38">
        <v>6</v>
      </c>
    </row>
    <row r="6502" spans="1:29" x14ac:dyDescent="0.25">
      <c r="A6502" s="22">
        <v>44853</v>
      </c>
      <c r="B6502" s="6">
        <v>17</v>
      </c>
      <c r="C6502" s="9">
        <v>3.2</v>
      </c>
      <c r="D6502" s="9">
        <v>4.8</v>
      </c>
      <c r="E6502" s="7"/>
      <c r="F6502" s="9">
        <v>1.3</v>
      </c>
      <c r="G6502" s="9">
        <v>8.4</v>
      </c>
      <c r="H6502" s="9">
        <v>2.2000000000000002</v>
      </c>
      <c r="I6502" s="9">
        <v>3.2</v>
      </c>
      <c r="J6502" s="9">
        <v>34.1</v>
      </c>
      <c r="K6502" s="9">
        <v>13.2</v>
      </c>
      <c r="L6502" s="9"/>
      <c r="M6502" s="9">
        <v>2.9</v>
      </c>
      <c r="N6502" s="9">
        <v>13.8</v>
      </c>
      <c r="O6502" s="7"/>
      <c r="P6502" s="9"/>
      <c r="Q6502" s="7" t="s">
        <v>9</v>
      </c>
      <c r="R6502" s="9">
        <v>5</v>
      </c>
      <c r="S6502" s="10"/>
      <c r="T6502" s="8">
        <v>3</v>
      </c>
      <c r="U6502" s="7">
        <v>48</v>
      </c>
      <c r="V6502" s="9">
        <v>12.2</v>
      </c>
      <c r="W6502" s="9">
        <v>6.2</v>
      </c>
      <c r="X6502" s="9">
        <v>3</v>
      </c>
      <c r="Y6502" s="9">
        <v>2</v>
      </c>
      <c r="Z6502" s="9">
        <v>4</v>
      </c>
      <c r="AA6502" s="9">
        <v>9</v>
      </c>
      <c r="AC6502" s="38">
        <v>4</v>
      </c>
    </row>
    <row r="6503" spans="1:29" x14ac:dyDescent="0.25">
      <c r="A6503" s="22">
        <v>44854</v>
      </c>
      <c r="B6503" s="6">
        <v>15</v>
      </c>
      <c r="C6503" s="9"/>
      <c r="D6503" s="9">
        <v>26</v>
      </c>
      <c r="E6503" s="7"/>
      <c r="F6503" s="9">
        <v>4.4000000000000004</v>
      </c>
      <c r="G6503" s="9">
        <v>8.5</v>
      </c>
      <c r="H6503" s="9">
        <v>8</v>
      </c>
      <c r="I6503" s="9">
        <v>11</v>
      </c>
      <c r="J6503" s="9">
        <v>16</v>
      </c>
      <c r="K6503" s="9">
        <v>20.2</v>
      </c>
      <c r="L6503" s="9">
        <v>3.3</v>
      </c>
      <c r="M6503" s="9">
        <v>7.8</v>
      </c>
      <c r="N6503" s="9">
        <v>29.4</v>
      </c>
      <c r="O6503" s="7"/>
      <c r="P6503" s="9"/>
      <c r="Q6503" s="9">
        <v>17</v>
      </c>
      <c r="R6503" s="9" t="s">
        <v>12</v>
      </c>
      <c r="S6503" s="10"/>
      <c r="T6503" s="8">
        <v>23.4</v>
      </c>
      <c r="U6503" s="7">
        <v>20</v>
      </c>
      <c r="V6503" s="9">
        <v>9.1</v>
      </c>
      <c r="W6503" s="9">
        <v>10.199999999999999</v>
      </c>
      <c r="X6503" s="9">
        <v>9</v>
      </c>
      <c r="Y6503" s="9">
        <v>6</v>
      </c>
      <c r="Z6503" s="9">
        <v>6</v>
      </c>
      <c r="AA6503" s="9">
        <v>6</v>
      </c>
      <c r="AC6503" s="38">
        <v>3</v>
      </c>
    </row>
    <row r="6504" spans="1:29" x14ac:dyDescent="0.25">
      <c r="A6504" s="22">
        <v>44855</v>
      </c>
      <c r="B6504" s="6">
        <v>31.5</v>
      </c>
      <c r="C6504" s="9">
        <v>30</v>
      </c>
      <c r="D6504" s="9">
        <v>38</v>
      </c>
      <c r="E6504" s="7"/>
      <c r="F6504" s="9">
        <v>8.3000000000000007</v>
      </c>
      <c r="G6504" s="30" t="s">
        <v>9</v>
      </c>
      <c r="H6504" s="9">
        <v>7.4</v>
      </c>
      <c r="I6504" s="9">
        <v>1.4</v>
      </c>
      <c r="J6504" s="9">
        <v>21.8</v>
      </c>
      <c r="K6504" s="9">
        <v>39.1</v>
      </c>
      <c r="L6504" s="9">
        <v>2.8</v>
      </c>
      <c r="M6504" s="9">
        <v>20.399999999999999</v>
      </c>
      <c r="N6504" s="9">
        <v>7.8</v>
      </c>
      <c r="O6504" s="7"/>
      <c r="P6504" s="9">
        <v>2</v>
      </c>
      <c r="Q6504" s="9">
        <v>10</v>
      </c>
      <c r="R6504" s="9">
        <v>23.4</v>
      </c>
      <c r="S6504" s="10"/>
      <c r="T6504" s="8">
        <v>0</v>
      </c>
      <c r="U6504" s="7">
        <v>35</v>
      </c>
      <c r="V6504" s="9">
        <v>7.2</v>
      </c>
      <c r="W6504" s="7" t="s">
        <v>9</v>
      </c>
      <c r="X6504" s="9">
        <v>5</v>
      </c>
      <c r="Y6504" s="9">
        <v>4</v>
      </c>
      <c r="Z6504" s="9">
        <v>16</v>
      </c>
      <c r="AA6504" s="9" t="s">
        <v>12</v>
      </c>
      <c r="AC6504" s="38">
        <v>0</v>
      </c>
    </row>
    <row r="6505" spans="1:29" x14ac:dyDescent="0.25">
      <c r="A6505" s="22">
        <v>44856</v>
      </c>
      <c r="B6505" s="6">
        <v>12</v>
      </c>
      <c r="C6505" s="9">
        <v>1.6</v>
      </c>
      <c r="D6505" s="9">
        <v>4</v>
      </c>
      <c r="E6505" s="7"/>
      <c r="F6505" s="9">
        <v>0.4</v>
      </c>
      <c r="G6505" s="9">
        <v>2.5</v>
      </c>
      <c r="H6505" s="30" t="s">
        <v>9</v>
      </c>
      <c r="I6505" s="9">
        <v>0.8</v>
      </c>
      <c r="J6505" s="9">
        <v>8.1999999999999993</v>
      </c>
      <c r="K6505" s="9">
        <v>1.5</v>
      </c>
      <c r="L6505" s="9">
        <v>5.3</v>
      </c>
      <c r="M6505" s="9">
        <v>4</v>
      </c>
      <c r="N6505" s="9">
        <v>1.2</v>
      </c>
      <c r="O6505" s="7"/>
      <c r="P6505" s="9">
        <v>12</v>
      </c>
      <c r="Q6505" s="9">
        <v>3.7</v>
      </c>
      <c r="R6505" s="7" t="s">
        <v>9</v>
      </c>
      <c r="S6505" s="10"/>
      <c r="T6505" s="8">
        <v>0</v>
      </c>
      <c r="U6505" s="7">
        <v>0</v>
      </c>
      <c r="V6505" s="9">
        <v>0.2</v>
      </c>
      <c r="W6505" s="7" t="s">
        <v>9</v>
      </c>
      <c r="X6505" s="9">
        <v>2</v>
      </c>
      <c r="Y6505" s="7" t="s">
        <v>9</v>
      </c>
      <c r="Z6505" s="7" t="s">
        <v>9</v>
      </c>
      <c r="AA6505" s="7" t="s">
        <v>9</v>
      </c>
      <c r="AC6505" s="38">
        <v>0</v>
      </c>
    </row>
    <row r="6506" spans="1:29" x14ac:dyDescent="0.25">
      <c r="A6506" s="22">
        <v>44857</v>
      </c>
      <c r="B6506" s="6">
        <v>15</v>
      </c>
      <c r="C6506" s="9">
        <v>0</v>
      </c>
      <c r="D6506" s="9">
        <v>5.4</v>
      </c>
      <c r="E6506" s="7"/>
      <c r="F6506" s="30" t="s">
        <v>9</v>
      </c>
      <c r="G6506" s="9">
        <v>8.1</v>
      </c>
      <c r="H6506" s="9">
        <v>10</v>
      </c>
      <c r="I6506" s="9">
        <v>0.8</v>
      </c>
      <c r="J6506" s="9">
        <v>2</v>
      </c>
      <c r="K6506" s="30" t="s">
        <v>9</v>
      </c>
      <c r="L6506" s="9">
        <v>28.4</v>
      </c>
      <c r="M6506" s="9">
        <v>1.8</v>
      </c>
      <c r="N6506" s="9">
        <v>11.8</v>
      </c>
      <c r="O6506" s="7"/>
      <c r="P6506" s="9">
        <v>18.5</v>
      </c>
      <c r="Q6506" s="9">
        <v>5.7</v>
      </c>
      <c r="R6506" s="9">
        <v>14.2</v>
      </c>
      <c r="S6506" s="8"/>
      <c r="T6506" s="8">
        <v>3.6</v>
      </c>
      <c r="U6506" s="7">
        <v>10</v>
      </c>
      <c r="V6506" s="9" t="s">
        <v>12</v>
      </c>
      <c r="W6506" s="9" t="s">
        <v>12</v>
      </c>
      <c r="X6506" s="9">
        <v>4</v>
      </c>
      <c r="Y6506" s="9">
        <v>4</v>
      </c>
      <c r="Z6506" s="9">
        <v>4</v>
      </c>
      <c r="AA6506" s="9"/>
      <c r="AC6506" s="38">
        <v>13</v>
      </c>
    </row>
    <row r="6507" spans="1:29" x14ac:dyDescent="0.25">
      <c r="A6507" s="22">
        <v>44858</v>
      </c>
      <c r="B6507" s="6">
        <v>12.5</v>
      </c>
      <c r="C6507" s="9">
        <v>23.8</v>
      </c>
      <c r="D6507" s="9">
        <v>33.4</v>
      </c>
      <c r="E6507" s="7"/>
      <c r="F6507" s="9">
        <v>3</v>
      </c>
      <c r="G6507" s="9">
        <v>8</v>
      </c>
      <c r="H6507" s="9">
        <v>0</v>
      </c>
      <c r="I6507" s="9">
        <v>6.4</v>
      </c>
      <c r="J6507" s="9">
        <v>23.9</v>
      </c>
      <c r="K6507" s="9">
        <v>27.3</v>
      </c>
      <c r="L6507" s="9">
        <v>2.6</v>
      </c>
      <c r="M6507" s="9">
        <v>4</v>
      </c>
      <c r="N6507" s="9">
        <v>24.4</v>
      </c>
      <c r="O6507" s="7"/>
      <c r="P6507" s="9">
        <v>8.5</v>
      </c>
      <c r="Q6507" s="9">
        <v>11.8</v>
      </c>
      <c r="R6507" s="9">
        <v>13.1</v>
      </c>
      <c r="S6507" s="8"/>
      <c r="T6507" s="8">
        <v>4.2</v>
      </c>
      <c r="U6507" s="7">
        <v>32</v>
      </c>
      <c r="V6507" s="9">
        <v>14</v>
      </c>
      <c r="W6507" s="9">
        <v>0.6</v>
      </c>
      <c r="X6507" s="9">
        <v>12</v>
      </c>
      <c r="Y6507" s="9">
        <v>4</v>
      </c>
      <c r="Z6507" s="9">
        <v>4</v>
      </c>
      <c r="AA6507" s="9">
        <v>25</v>
      </c>
      <c r="AC6507" s="38">
        <v>0</v>
      </c>
    </row>
    <row r="6508" spans="1:29" x14ac:dyDescent="0.25">
      <c r="A6508" s="22">
        <v>44859</v>
      </c>
      <c r="B6508" s="6">
        <v>6.5</v>
      </c>
      <c r="C6508" s="30" t="s">
        <v>9</v>
      </c>
      <c r="D6508" s="9">
        <v>1.2</v>
      </c>
      <c r="E6508" s="7"/>
      <c r="F6508" s="9">
        <v>0</v>
      </c>
      <c r="G6508" s="9">
        <v>0</v>
      </c>
      <c r="H6508" s="9">
        <v>0</v>
      </c>
      <c r="I6508" s="9">
        <v>0</v>
      </c>
      <c r="J6508" s="9">
        <v>1</v>
      </c>
      <c r="K6508" s="9">
        <v>0.5</v>
      </c>
      <c r="L6508" s="9">
        <v>1.4</v>
      </c>
      <c r="M6508" s="9">
        <v>0</v>
      </c>
      <c r="N6508" s="9">
        <v>6.4</v>
      </c>
      <c r="O6508" s="7"/>
      <c r="P6508" s="7" t="s">
        <v>9</v>
      </c>
      <c r="Q6508" s="9">
        <v>4.4000000000000004</v>
      </c>
      <c r="R6508" s="9">
        <v>0.9</v>
      </c>
      <c r="S6508" s="8"/>
      <c r="T6508" s="8">
        <v>2.2000000000000002</v>
      </c>
      <c r="U6508" s="7">
        <v>7</v>
      </c>
      <c r="V6508" s="9">
        <v>0.8</v>
      </c>
      <c r="W6508" s="9">
        <v>0</v>
      </c>
      <c r="X6508" s="9">
        <v>3</v>
      </c>
      <c r="Y6508" s="9"/>
      <c r="Z6508" s="9"/>
      <c r="AA6508" s="9">
        <v>0</v>
      </c>
      <c r="AC6508" s="38">
        <v>1</v>
      </c>
    </row>
    <row r="6509" spans="1:29" x14ac:dyDescent="0.25">
      <c r="A6509" s="22">
        <v>44860</v>
      </c>
      <c r="B6509" s="6">
        <v>9</v>
      </c>
      <c r="C6509" s="9">
        <v>19</v>
      </c>
      <c r="D6509" s="9"/>
      <c r="E6509" s="7"/>
      <c r="F6509" s="9">
        <v>7</v>
      </c>
      <c r="G6509" s="9">
        <v>11.5</v>
      </c>
      <c r="H6509" s="9">
        <v>10.199999999999999</v>
      </c>
      <c r="I6509" s="9">
        <v>8.1999999999999993</v>
      </c>
      <c r="J6509" s="9">
        <v>6.6</v>
      </c>
      <c r="K6509" s="9">
        <v>8.1999999999999993</v>
      </c>
      <c r="L6509" s="9">
        <v>4.0999999999999996</v>
      </c>
      <c r="M6509" s="9">
        <v>10.3</v>
      </c>
      <c r="N6509" s="9">
        <v>11.8</v>
      </c>
      <c r="O6509" s="7"/>
      <c r="P6509" s="9">
        <v>15</v>
      </c>
      <c r="Q6509" s="9">
        <v>7.2</v>
      </c>
      <c r="R6509" s="9">
        <v>4.2</v>
      </c>
      <c r="S6509" s="8"/>
      <c r="T6509" s="8">
        <v>1.4</v>
      </c>
      <c r="U6509" s="7">
        <v>15</v>
      </c>
      <c r="V6509" s="9">
        <v>4.5999999999999996</v>
      </c>
      <c r="W6509" s="9">
        <v>8.1999999999999993</v>
      </c>
      <c r="X6509" s="9">
        <v>6</v>
      </c>
      <c r="Y6509" s="9"/>
      <c r="Z6509" s="9"/>
      <c r="AA6509" s="9">
        <v>3</v>
      </c>
      <c r="AC6509" s="38">
        <v>30</v>
      </c>
    </row>
    <row r="6510" spans="1:29" x14ac:dyDescent="0.25">
      <c r="A6510" s="22">
        <v>44861</v>
      </c>
      <c r="B6510" s="6">
        <v>51</v>
      </c>
      <c r="C6510" s="9">
        <v>9.8000000000000007</v>
      </c>
      <c r="D6510" s="9">
        <v>10</v>
      </c>
      <c r="E6510" s="7"/>
      <c r="F6510" s="9">
        <v>7.3</v>
      </c>
      <c r="G6510" s="9">
        <v>29</v>
      </c>
      <c r="H6510" s="9">
        <v>22</v>
      </c>
      <c r="I6510" s="9">
        <v>34.4</v>
      </c>
      <c r="J6510" s="9">
        <v>16.899999999999999</v>
      </c>
      <c r="K6510" s="9">
        <v>12.3</v>
      </c>
      <c r="L6510" s="9">
        <v>36.799999999999997</v>
      </c>
      <c r="M6510" s="9">
        <v>17.3</v>
      </c>
      <c r="N6510" s="9">
        <v>18.2</v>
      </c>
      <c r="O6510" s="7"/>
      <c r="P6510" s="9" t="s">
        <v>12</v>
      </c>
      <c r="Q6510" s="9">
        <v>50.7</v>
      </c>
      <c r="R6510" s="9">
        <v>43</v>
      </c>
      <c r="S6510" s="8"/>
      <c r="T6510" s="8">
        <v>7.4</v>
      </c>
      <c r="U6510" s="7">
        <v>36</v>
      </c>
      <c r="V6510" s="9">
        <v>40.5</v>
      </c>
      <c r="W6510" s="9">
        <v>38.200000000000003</v>
      </c>
      <c r="X6510" s="9">
        <v>21.3</v>
      </c>
      <c r="Y6510" s="9">
        <v>16</v>
      </c>
      <c r="Z6510" s="9"/>
      <c r="AA6510" s="9">
        <v>12</v>
      </c>
      <c r="AC6510" s="38">
        <v>0</v>
      </c>
    </row>
    <row r="6511" spans="1:29" x14ac:dyDescent="0.25">
      <c r="A6511" s="22">
        <v>44862</v>
      </c>
      <c r="B6511" s="6">
        <v>99</v>
      </c>
      <c r="C6511" s="9">
        <v>52</v>
      </c>
      <c r="D6511" s="9">
        <v>58.4</v>
      </c>
      <c r="E6511" s="7"/>
      <c r="F6511" s="9">
        <v>65.2</v>
      </c>
      <c r="G6511" s="9">
        <v>48</v>
      </c>
      <c r="H6511" s="9">
        <v>51.6</v>
      </c>
      <c r="I6511" s="9">
        <v>34.6</v>
      </c>
      <c r="J6511" s="9">
        <v>54</v>
      </c>
      <c r="K6511" s="9">
        <v>61.5</v>
      </c>
      <c r="L6511" s="9">
        <v>271.8</v>
      </c>
      <c r="M6511" s="9">
        <v>52.4</v>
      </c>
      <c r="N6511" s="9">
        <v>49.6</v>
      </c>
      <c r="O6511" s="7"/>
      <c r="P6511" s="9" t="s">
        <v>12</v>
      </c>
      <c r="Q6511" s="9">
        <v>98.6</v>
      </c>
      <c r="R6511" s="9" t="s">
        <v>12</v>
      </c>
      <c r="S6511" s="8"/>
      <c r="T6511" s="8">
        <v>47.6</v>
      </c>
      <c r="U6511" s="7">
        <v>65</v>
      </c>
      <c r="V6511" s="9">
        <v>49.5</v>
      </c>
      <c r="W6511" s="9">
        <v>42.1</v>
      </c>
      <c r="X6511" s="9">
        <v>75</v>
      </c>
      <c r="Y6511" s="9">
        <v>68</v>
      </c>
      <c r="Z6511" s="9">
        <v>68</v>
      </c>
      <c r="AA6511" s="9">
        <v>78</v>
      </c>
      <c r="AC6511" s="38">
        <v>16</v>
      </c>
    </row>
    <row r="6512" spans="1:29" x14ac:dyDescent="0.25">
      <c r="A6512" s="22">
        <v>44863</v>
      </c>
      <c r="B6512" s="6">
        <v>6</v>
      </c>
      <c r="C6512" s="9">
        <v>4.4000000000000004</v>
      </c>
      <c r="D6512" s="9">
        <v>4.5999999999999996</v>
      </c>
      <c r="E6512" s="7"/>
      <c r="F6512" s="9">
        <v>0.3</v>
      </c>
      <c r="G6512" s="9">
        <v>2</v>
      </c>
      <c r="H6512" s="9">
        <v>6.4</v>
      </c>
      <c r="I6512" s="9">
        <v>6</v>
      </c>
      <c r="J6512" s="9">
        <v>2.8</v>
      </c>
      <c r="K6512" s="9">
        <v>1.8</v>
      </c>
      <c r="L6512" s="9">
        <v>3.7</v>
      </c>
      <c r="M6512" s="9">
        <v>2</v>
      </c>
      <c r="N6512" s="9">
        <v>0.2</v>
      </c>
      <c r="O6512" s="7"/>
      <c r="P6512" s="9">
        <v>8.5</v>
      </c>
      <c r="Q6512" s="7" t="s">
        <v>9</v>
      </c>
      <c r="R6512" s="9">
        <v>8</v>
      </c>
      <c r="S6512" s="8"/>
      <c r="T6512" s="8">
        <v>1</v>
      </c>
      <c r="U6512" s="7">
        <v>0</v>
      </c>
      <c r="V6512" s="9">
        <v>0.3</v>
      </c>
      <c r="W6512" s="9">
        <v>0.2</v>
      </c>
      <c r="X6512" s="9">
        <v>6</v>
      </c>
      <c r="Y6512" s="9">
        <v>76</v>
      </c>
      <c r="Z6512" s="9"/>
      <c r="AA6512" s="9">
        <v>0</v>
      </c>
      <c r="AC6512" s="38">
        <v>0</v>
      </c>
    </row>
    <row r="6513" spans="1:29" x14ac:dyDescent="0.25">
      <c r="A6513" s="22">
        <v>44864</v>
      </c>
      <c r="B6513" s="7">
        <v>46</v>
      </c>
      <c r="C6513" s="9">
        <v>45</v>
      </c>
      <c r="D6513" s="9">
        <v>52.4</v>
      </c>
      <c r="E6513" s="7"/>
      <c r="F6513" s="9">
        <v>15.1</v>
      </c>
      <c r="G6513" s="9">
        <v>33.5</v>
      </c>
      <c r="H6513" s="9">
        <v>27.8</v>
      </c>
      <c r="I6513" s="9">
        <v>38.299999999999997</v>
      </c>
      <c r="J6513" s="9">
        <v>42</v>
      </c>
      <c r="K6513" s="9">
        <v>38</v>
      </c>
      <c r="L6513" s="9">
        <v>28.4</v>
      </c>
      <c r="M6513" s="9">
        <v>21.4</v>
      </c>
      <c r="N6513" s="9">
        <v>28.4</v>
      </c>
      <c r="O6513" s="7"/>
      <c r="P6513" s="9">
        <v>23</v>
      </c>
      <c r="Q6513" s="9">
        <v>48.5</v>
      </c>
      <c r="R6513" s="9">
        <v>43.2</v>
      </c>
      <c r="S6513" s="8"/>
      <c r="T6513" s="8">
        <v>68.400000000000006</v>
      </c>
      <c r="U6513" s="7">
        <v>52</v>
      </c>
      <c r="V6513" s="9">
        <v>35.5</v>
      </c>
      <c r="W6513" s="9">
        <v>12.1</v>
      </c>
      <c r="X6513" s="9">
        <v>25</v>
      </c>
      <c r="Y6513" s="9">
        <v>16</v>
      </c>
      <c r="Z6513" s="9"/>
      <c r="AA6513" s="9">
        <v>0</v>
      </c>
      <c r="AC6513" s="38">
        <v>0</v>
      </c>
    </row>
    <row r="6514" spans="1:29" x14ac:dyDescent="0.25">
      <c r="A6514" s="22">
        <v>44865</v>
      </c>
      <c r="B6514" s="7">
        <v>1.5</v>
      </c>
      <c r="C6514" s="9">
        <v>2</v>
      </c>
      <c r="D6514" s="9">
        <v>6.2</v>
      </c>
      <c r="E6514" s="7"/>
      <c r="F6514" s="9">
        <v>2.2999999999999998</v>
      </c>
      <c r="G6514" s="9">
        <v>5</v>
      </c>
      <c r="H6514" s="9">
        <v>2.6</v>
      </c>
      <c r="I6514" s="30" t="s">
        <v>9</v>
      </c>
      <c r="J6514" s="9">
        <v>5.9</v>
      </c>
      <c r="K6514" s="9">
        <v>2.9</v>
      </c>
      <c r="L6514" s="9">
        <v>2.8</v>
      </c>
      <c r="M6514" s="9">
        <v>4</v>
      </c>
      <c r="N6514" s="9">
        <v>17.2</v>
      </c>
      <c r="O6514" s="7"/>
      <c r="P6514" s="9">
        <v>1</v>
      </c>
      <c r="Q6514" s="9">
        <v>0.8</v>
      </c>
      <c r="R6514" s="9">
        <v>1.7</v>
      </c>
      <c r="S6514" s="43"/>
      <c r="T6514" s="8">
        <v>0.4</v>
      </c>
      <c r="U6514" s="6">
        <v>2</v>
      </c>
      <c r="V6514" s="9">
        <v>3.5</v>
      </c>
      <c r="W6514" s="9">
        <v>0.6</v>
      </c>
      <c r="X6514" s="9">
        <v>2</v>
      </c>
      <c r="Y6514" s="9">
        <v>2</v>
      </c>
      <c r="Z6514" s="9"/>
      <c r="AA6514" s="9">
        <v>19</v>
      </c>
      <c r="AC6514" s="38">
        <v>0</v>
      </c>
    </row>
    <row r="6515" spans="1:29" x14ac:dyDescent="0.25">
      <c r="A6515" s="22">
        <v>44866</v>
      </c>
      <c r="B6515" s="9">
        <v>10.5</v>
      </c>
      <c r="C6515" s="9">
        <v>34.799999999999997</v>
      </c>
      <c r="D6515" s="9">
        <v>0.2</v>
      </c>
      <c r="E6515" s="7"/>
      <c r="F6515" s="9">
        <v>1</v>
      </c>
      <c r="G6515" s="9">
        <v>2</v>
      </c>
      <c r="H6515" s="9">
        <v>1.2</v>
      </c>
      <c r="I6515" s="9">
        <v>2.8</v>
      </c>
      <c r="J6515" s="9">
        <v>2.94</v>
      </c>
      <c r="K6515" s="9">
        <v>8.1999999999999993</v>
      </c>
      <c r="L6515" s="9">
        <v>1.5</v>
      </c>
      <c r="M6515" s="9">
        <v>2.5</v>
      </c>
      <c r="N6515" s="9">
        <v>4.4000000000000004</v>
      </c>
      <c r="O6515" s="7"/>
      <c r="P6515" s="9">
        <v>2</v>
      </c>
      <c r="Q6515" s="9">
        <v>20.8</v>
      </c>
      <c r="R6515" s="9">
        <v>15.1</v>
      </c>
      <c r="S6515" s="8"/>
      <c r="T6515" s="17">
        <v>3.2</v>
      </c>
      <c r="U6515" s="9">
        <v>34</v>
      </c>
      <c r="V6515" s="9">
        <v>0.2</v>
      </c>
      <c r="W6515" s="9">
        <v>0.3</v>
      </c>
      <c r="X6515" s="9">
        <v>4</v>
      </c>
      <c r="Y6515" s="9">
        <v>4</v>
      </c>
      <c r="Z6515" s="9">
        <v>4</v>
      </c>
      <c r="AA6515" s="9">
        <v>24</v>
      </c>
      <c r="AC6515" s="38">
        <v>0</v>
      </c>
    </row>
    <row r="6516" spans="1:29" x14ac:dyDescent="0.25">
      <c r="A6516" s="22">
        <v>44867</v>
      </c>
      <c r="B6516" s="9">
        <v>10</v>
      </c>
      <c r="C6516" s="9">
        <v>6</v>
      </c>
      <c r="D6516" s="9">
        <v>4</v>
      </c>
      <c r="E6516" s="7"/>
      <c r="F6516" s="9">
        <v>0</v>
      </c>
      <c r="G6516" s="9">
        <v>4.5</v>
      </c>
      <c r="H6516" s="9">
        <v>3.2</v>
      </c>
      <c r="I6516" s="9">
        <v>7.8</v>
      </c>
      <c r="J6516" s="9">
        <v>6</v>
      </c>
      <c r="K6516" s="9">
        <v>6.8</v>
      </c>
      <c r="L6516" s="9">
        <v>1.3</v>
      </c>
      <c r="M6516" s="9">
        <v>2.2000000000000002</v>
      </c>
      <c r="N6516" s="9">
        <v>10</v>
      </c>
      <c r="O6516" s="7"/>
      <c r="P6516" s="9"/>
      <c r="Q6516" s="9">
        <v>0.3</v>
      </c>
      <c r="R6516" s="9">
        <v>1.1000000000000001</v>
      </c>
      <c r="S6516" s="8"/>
      <c r="T6516" s="17">
        <v>10</v>
      </c>
      <c r="U6516" s="9">
        <v>2</v>
      </c>
      <c r="V6516" s="9">
        <v>10.199999999999999</v>
      </c>
      <c r="W6516" s="9">
        <v>12.3</v>
      </c>
      <c r="X6516" s="9">
        <v>1</v>
      </c>
      <c r="Y6516" s="9"/>
      <c r="Z6516" s="9"/>
      <c r="AA6516" s="9">
        <v>0</v>
      </c>
      <c r="AC6516" s="38">
        <v>0</v>
      </c>
    </row>
    <row r="6517" spans="1:29" x14ac:dyDescent="0.25">
      <c r="A6517" s="22">
        <v>44868</v>
      </c>
      <c r="B6517" s="9">
        <v>13</v>
      </c>
      <c r="C6517" s="9">
        <v>24.8</v>
      </c>
      <c r="D6517" s="9">
        <v>27.2</v>
      </c>
      <c r="E6517" s="7"/>
      <c r="F6517" s="9">
        <v>8.4</v>
      </c>
      <c r="G6517" s="9">
        <v>4.5</v>
      </c>
      <c r="H6517" s="9">
        <v>7</v>
      </c>
      <c r="I6517" s="9">
        <v>4.2</v>
      </c>
      <c r="J6517" s="9">
        <v>10.199999999999999</v>
      </c>
      <c r="K6517" s="9">
        <v>10</v>
      </c>
      <c r="L6517" s="9">
        <v>7.89</v>
      </c>
      <c r="M6517" s="9">
        <v>3</v>
      </c>
      <c r="N6517" s="9">
        <v>3.2</v>
      </c>
      <c r="O6517" s="7"/>
      <c r="P6517" s="9">
        <v>12.5</v>
      </c>
      <c r="Q6517" s="9">
        <v>9.5</v>
      </c>
      <c r="R6517" s="9">
        <v>13</v>
      </c>
      <c r="S6517" s="8"/>
      <c r="T6517" s="17">
        <v>0.2</v>
      </c>
      <c r="U6517" s="9">
        <v>20</v>
      </c>
      <c r="V6517" s="9">
        <v>5.5</v>
      </c>
      <c r="W6517" s="9">
        <v>4</v>
      </c>
      <c r="X6517" s="9">
        <v>14</v>
      </c>
      <c r="Y6517" s="9">
        <v>12</v>
      </c>
      <c r="Z6517" s="9">
        <v>32</v>
      </c>
      <c r="AA6517" s="9">
        <v>11</v>
      </c>
      <c r="AC6517" s="38">
        <v>0</v>
      </c>
    </row>
    <row r="6518" spans="1:29" x14ac:dyDescent="0.25">
      <c r="A6518" s="22">
        <v>44869</v>
      </c>
      <c r="B6518" s="9">
        <v>32</v>
      </c>
      <c r="C6518" s="9">
        <v>42.4</v>
      </c>
      <c r="D6518" s="9">
        <v>42.4</v>
      </c>
      <c r="E6518" s="7"/>
      <c r="F6518" s="9">
        <v>20</v>
      </c>
      <c r="G6518" s="9">
        <v>12.5</v>
      </c>
      <c r="H6518" s="9">
        <v>22.6</v>
      </c>
      <c r="I6518" s="9">
        <v>4.2</v>
      </c>
      <c r="J6518" s="9">
        <v>14</v>
      </c>
      <c r="K6518" s="9">
        <v>19.600000000000001</v>
      </c>
      <c r="L6518" s="9">
        <v>35.6</v>
      </c>
      <c r="M6518" s="9">
        <v>14.1</v>
      </c>
      <c r="N6518" s="9">
        <v>71.599999999999994</v>
      </c>
      <c r="O6518" s="7"/>
      <c r="P6518" s="9">
        <v>16</v>
      </c>
      <c r="Q6518" s="9">
        <v>45.7</v>
      </c>
      <c r="R6518" s="9">
        <v>50</v>
      </c>
      <c r="S6518" s="8"/>
      <c r="T6518" s="17">
        <v>41.4</v>
      </c>
      <c r="U6518" s="9">
        <v>22</v>
      </c>
      <c r="V6518" s="9">
        <v>15.5</v>
      </c>
      <c r="W6518" s="9">
        <v>8.1999999999999993</v>
      </c>
      <c r="X6518" s="9">
        <v>28</v>
      </c>
      <c r="Y6518" s="9">
        <v>16</v>
      </c>
      <c r="Z6518" s="9">
        <v>14</v>
      </c>
      <c r="AA6518" s="9">
        <v>17</v>
      </c>
      <c r="AC6518" s="38">
        <v>0</v>
      </c>
    </row>
    <row r="6519" spans="1:29" x14ac:dyDescent="0.25">
      <c r="A6519" s="22">
        <v>44870</v>
      </c>
      <c r="B6519" s="9">
        <v>88</v>
      </c>
      <c r="C6519" s="9">
        <v>53.2</v>
      </c>
      <c r="D6519" s="9">
        <v>50.2</v>
      </c>
      <c r="E6519" s="7"/>
      <c r="F6519" s="9">
        <v>31</v>
      </c>
      <c r="G6519" s="9">
        <v>39</v>
      </c>
      <c r="H6519" s="9">
        <v>68.599999999999994</v>
      </c>
      <c r="I6519" s="9">
        <v>4.2</v>
      </c>
      <c r="J6519" s="9">
        <v>44.1</v>
      </c>
      <c r="K6519" s="9">
        <v>55.2</v>
      </c>
      <c r="L6519" s="9">
        <v>79.5</v>
      </c>
      <c r="M6519" s="9">
        <v>34.799999999999997</v>
      </c>
      <c r="N6519" s="9">
        <v>24.8</v>
      </c>
      <c r="O6519" s="7"/>
      <c r="P6519" s="9">
        <v>79</v>
      </c>
      <c r="Q6519" s="9">
        <v>82</v>
      </c>
      <c r="R6519" s="9"/>
      <c r="S6519" s="8"/>
      <c r="T6519" s="17">
        <v>2.4</v>
      </c>
      <c r="U6519" s="9">
        <v>70</v>
      </c>
      <c r="V6519" s="9">
        <v>52.5</v>
      </c>
      <c r="W6519" s="9">
        <v>50.2</v>
      </c>
      <c r="X6519" s="9">
        <v>86</v>
      </c>
      <c r="Y6519" s="9">
        <v>24</v>
      </c>
      <c r="Z6519" s="9">
        <v>68</v>
      </c>
      <c r="AA6519" s="9">
        <v>45</v>
      </c>
      <c r="AC6519" s="38">
        <v>0</v>
      </c>
    </row>
    <row r="6520" spans="1:29" x14ac:dyDescent="0.25">
      <c r="A6520" s="22">
        <v>44871</v>
      </c>
      <c r="B6520" s="9"/>
      <c r="C6520" s="9">
        <v>7.2</v>
      </c>
      <c r="D6520" s="9">
        <v>18</v>
      </c>
      <c r="E6520" s="7"/>
      <c r="F6520" s="9">
        <v>19</v>
      </c>
      <c r="G6520" s="9">
        <v>30</v>
      </c>
      <c r="H6520" s="9">
        <v>22</v>
      </c>
      <c r="I6520" s="9">
        <v>14.2</v>
      </c>
      <c r="J6520" s="9">
        <v>20.2</v>
      </c>
      <c r="K6520" s="9">
        <v>0</v>
      </c>
      <c r="L6520" s="9">
        <v>10.9</v>
      </c>
      <c r="M6520" s="9">
        <v>28.8</v>
      </c>
      <c r="N6520" s="9">
        <v>0.2</v>
      </c>
      <c r="O6520" s="7"/>
      <c r="P6520" s="9">
        <v>5</v>
      </c>
      <c r="Q6520" s="9">
        <v>10.5</v>
      </c>
      <c r="R6520" s="9">
        <v>0</v>
      </c>
      <c r="S6520" s="8"/>
      <c r="T6520" s="17">
        <v>0.2</v>
      </c>
      <c r="U6520" s="7" t="s">
        <v>9</v>
      </c>
      <c r="V6520" s="9">
        <v>17.5</v>
      </c>
      <c r="W6520" s="9">
        <v>16.2</v>
      </c>
      <c r="X6520" s="9"/>
      <c r="Y6520" s="9">
        <v>50</v>
      </c>
      <c r="Z6520" s="9">
        <v>16</v>
      </c>
      <c r="AA6520" s="9"/>
      <c r="AC6520" s="38">
        <v>0</v>
      </c>
    </row>
    <row r="6521" spans="1:29" x14ac:dyDescent="0.25">
      <c r="A6521" s="22">
        <v>44872</v>
      </c>
      <c r="B6521" s="30" t="s">
        <v>9</v>
      </c>
      <c r="C6521" s="30" t="s">
        <v>9</v>
      </c>
      <c r="D6521" s="9">
        <v>0.5</v>
      </c>
      <c r="E6521" s="7"/>
      <c r="F6521" s="9">
        <v>0</v>
      </c>
      <c r="G6521" s="9">
        <v>0</v>
      </c>
      <c r="H6521" s="9">
        <v>0</v>
      </c>
      <c r="I6521" s="9">
        <v>0</v>
      </c>
      <c r="J6521" s="9">
        <v>1.2</v>
      </c>
      <c r="K6521" s="9">
        <v>0.2</v>
      </c>
      <c r="L6521" s="9">
        <v>6.4</v>
      </c>
      <c r="M6521" s="9">
        <v>0</v>
      </c>
      <c r="N6521" s="9">
        <v>5.6</v>
      </c>
      <c r="O6521" s="7"/>
      <c r="P6521" s="9">
        <v>1</v>
      </c>
      <c r="Q6521" s="7" t="s">
        <v>9</v>
      </c>
      <c r="R6521" s="7" t="s">
        <v>9</v>
      </c>
      <c r="S6521" s="8"/>
      <c r="T6521" s="17">
        <v>0</v>
      </c>
      <c r="U6521" s="9">
        <v>10</v>
      </c>
      <c r="V6521" s="9">
        <v>0</v>
      </c>
      <c r="W6521" s="9">
        <v>0</v>
      </c>
      <c r="X6521" s="7" t="s">
        <v>9</v>
      </c>
      <c r="Y6521" s="7" t="s">
        <v>9</v>
      </c>
      <c r="Z6521" s="7" t="s">
        <v>9</v>
      </c>
      <c r="AA6521" s="9">
        <v>18</v>
      </c>
      <c r="AC6521" s="38">
        <v>0</v>
      </c>
    </row>
    <row r="6522" spans="1:29" x14ac:dyDescent="0.25">
      <c r="A6522" s="22">
        <v>44873</v>
      </c>
      <c r="B6522" s="9">
        <v>12.5</v>
      </c>
      <c r="C6522" s="9">
        <v>8</v>
      </c>
      <c r="D6522" s="9">
        <v>21</v>
      </c>
      <c r="E6522" s="7"/>
      <c r="F6522" s="9">
        <v>0</v>
      </c>
      <c r="G6522" s="9">
        <v>5.7</v>
      </c>
      <c r="H6522" s="9">
        <v>0</v>
      </c>
      <c r="I6522" s="9">
        <v>3.1</v>
      </c>
      <c r="J6522" s="9">
        <v>20.6</v>
      </c>
      <c r="K6522" s="9">
        <v>19.7</v>
      </c>
      <c r="L6522" s="9">
        <v>1.8</v>
      </c>
      <c r="M6522" s="9">
        <v>1.9</v>
      </c>
      <c r="N6522" s="9">
        <v>29.6</v>
      </c>
      <c r="O6522" s="7"/>
      <c r="P6522" s="7" t="s">
        <v>9</v>
      </c>
      <c r="Q6522" s="9">
        <v>1.2</v>
      </c>
      <c r="R6522" s="7" t="s">
        <v>9</v>
      </c>
      <c r="S6522" s="8"/>
      <c r="T6522" s="17">
        <v>1.2</v>
      </c>
      <c r="U6522" s="9">
        <v>50</v>
      </c>
      <c r="V6522" s="9">
        <v>0.8</v>
      </c>
      <c r="W6522" s="9">
        <v>4.2</v>
      </c>
      <c r="X6522" s="9">
        <v>2</v>
      </c>
      <c r="Y6522" s="7" t="s">
        <v>9</v>
      </c>
      <c r="Z6522" s="7" t="s">
        <v>9</v>
      </c>
      <c r="AA6522" s="9">
        <v>9</v>
      </c>
      <c r="AC6522" s="38">
        <v>0</v>
      </c>
    </row>
    <row r="6523" spans="1:29" x14ac:dyDescent="0.25">
      <c r="A6523" s="22">
        <v>44874</v>
      </c>
      <c r="B6523" s="9">
        <v>7</v>
      </c>
      <c r="C6523" s="9">
        <v>22.8</v>
      </c>
      <c r="D6523" s="9">
        <v>16.2</v>
      </c>
      <c r="E6523" s="7"/>
      <c r="F6523" s="9">
        <v>6</v>
      </c>
      <c r="G6523" s="9"/>
      <c r="H6523" s="9">
        <v>46.8</v>
      </c>
      <c r="I6523" s="9">
        <v>87.4</v>
      </c>
      <c r="J6523" s="9">
        <v>76.8</v>
      </c>
      <c r="K6523" s="9">
        <v>59.4</v>
      </c>
      <c r="L6523" s="9">
        <v>1.2</v>
      </c>
      <c r="M6523" s="9">
        <v>98.6</v>
      </c>
      <c r="N6523" s="9">
        <v>5.2</v>
      </c>
      <c r="O6523" s="7"/>
      <c r="P6523" s="7" t="s">
        <v>9</v>
      </c>
      <c r="Q6523" s="9">
        <v>2.4</v>
      </c>
      <c r="R6523" s="9">
        <v>5.3</v>
      </c>
      <c r="S6523" s="8"/>
      <c r="T6523" s="17">
        <v>1</v>
      </c>
      <c r="U6523" s="9">
        <v>2</v>
      </c>
      <c r="V6523" s="9">
        <v>105.5</v>
      </c>
      <c r="W6523" s="9">
        <v>80.5</v>
      </c>
      <c r="X6523" s="9">
        <v>2</v>
      </c>
      <c r="Y6523" s="9">
        <v>2</v>
      </c>
      <c r="Z6523" s="9"/>
      <c r="AA6523" s="9">
        <v>2</v>
      </c>
      <c r="AC6523" s="38">
        <v>0</v>
      </c>
    </row>
    <row r="6524" spans="1:29" x14ac:dyDescent="0.25">
      <c r="A6524" s="22">
        <v>44875</v>
      </c>
      <c r="B6524" s="9">
        <v>13</v>
      </c>
      <c r="C6524" s="9">
        <v>6.8</v>
      </c>
      <c r="D6524" s="9">
        <v>8.9</v>
      </c>
      <c r="E6524" s="7"/>
      <c r="F6524" s="9">
        <v>7</v>
      </c>
      <c r="G6524" s="9">
        <v>7</v>
      </c>
      <c r="H6524" s="9">
        <v>9</v>
      </c>
      <c r="I6524" s="9">
        <v>4.5999999999999996</v>
      </c>
      <c r="J6524" s="9">
        <v>4.2</v>
      </c>
      <c r="K6524" s="9">
        <v>6</v>
      </c>
      <c r="L6524" s="9">
        <v>18</v>
      </c>
      <c r="M6524" s="9">
        <v>5.9</v>
      </c>
      <c r="N6524" s="9">
        <v>9</v>
      </c>
      <c r="O6524" s="7"/>
      <c r="P6524" s="9">
        <v>4.5</v>
      </c>
      <c r="Q6524" s="9">
        <v>3</v>
      </c>
      <c r="R6524" s="9">
        <v>3.1</v>
      </c>
      <c r="S6524" s="8"/>
      <c r="T6524" s="17">
        <v>4.4000000000000004</v>
      </c>
      <c r="U6524" s="9">
        <v>3</v>
      </c>
      <c r="V6524" s="9">
        <v>7.5</v>
      </c>
      <c r="W6524" s="9">
        <v>0.6</v>
      </c>
      <c r="X6524" s="9">
        <v>18</v>
      </c>
      <c r="Y6524" s="9">
        <v>12</v>
      </c>
      <c r="Z6524" s="9">
        <v>16</v>
      </c>
      <c r="AA6524" s="9">
        <v>10</v>
      </c>
      <c r="AC6524" s="38">
        <v>0</v>
      </c>
    </row>
    <row r="6525" spans="1:29" x14ac:dyDescent="0.25">
      <c r="A6525" s="22">
        <v>44876</v>
      </c>
      <c r="B6525" s="9"/>
      <c r="C6525" s="9">
        <v>8</v>
      </c>
      <c r="D6525" s="9">
        <v>10</v>
      </c>
      <c r="E6525" s="7"/>
      <c r="F6525" s="9">
        <v>1.4</v>
      </c>
      <c r="G6525" s="9">
        <v>8.0500000000000007</v>
      </c>
      <c r="H6525" s="9">
        <v>5.4</v>
      </c>
      <c r="I6525" s="9">
        <v>1.8</v>
      </c>
      <c r="J6525" s="9">
        <v>4.2</v>
      </c>
      <c r="K6525" s="9">
        <v>12.3</v>
      </c>
      <c r="L6525" s="9"/>
      <c r="M6525" s="9">
        <v>2.2999999999999998</v>
      </c>
      <c r="N6525" s="9">
        <v>13</v>
      </c>
      <c r="O6525" s="7"/>
      <c r="P6525" s="9"/>
      <c r="Q6525" s="9"/>
      <c r="R6525" s="9"/>
      <c r="S6525" s="8"/>
      <c r="T6525" s="17">
        <v>8.6</v>
      </c>
      <c r="U6525" s="9"/>
      <c r="V6525" s="9">
        <v>0.3</v>
      </c>
      <c r="W6525" s="9">
        <v>2.2000000000000002</v>
      </c>
      <c r="X6525" s="9"/>
      <c r="Y6525" s="9"/>
      <c r="Z6525" s="9"/>
      <c r="AA6525" s="9">
        <v>8</v>
      </c>
      <c r="AC6525" s="38">
        <v>0</v>
      </c>
    </row>
    <row r="6526" spans="1:29" x14ac:dyDescent="0.25">
      <c r="A6526" s="22">
        <v>44877</v>
      </c>
      <c r="B6526" s="9">
        <v>6</v>
      </c>
      <c r="C6526" s="9">
        <v>6.4</v>
      </c>
      <c r="D6526" s="9">
        <v>6.8</v>
      </c>
      <c r="E6526" s="7"/>
      <c r="F6526" s="9">
        <v>1.3</v>
      </c>
      <c r="G6526" s="9">
        <v>7.5</v>
      </c>
      <c r="H6526" s="9">
        <v>1.2</v>
      </c>
      <c r="I6526" s="9">
        <v>15</v>
      </c>
      <c r="J6526" s="9">
        <v>2.4</v>
      </c>
      <c r="K6526" s="9">
        <v>6</v>
      </c>
      <c r="L6526" s="9">
        <v>2.8</v>
      </c>
      <c r="M6526" s="9">
        <v>8.8000000000000007</v>
      </c>
      <c r="N6526" s="9">
        <v>6.4</v>
      </c>
      <c r="O6526" s="7"/>
      <c r="P6526" s="9"/>
      <c r="Q6526" s="9">
        <v>9.1</v>
      </c>
      <c r="R6526" s="9">
        <v>3.3</v>
      </c>
      <c r="S6526" s="8"/>
      <c r="T6526" s="17">
        <v>4.4000000000000004</v>
      </c>
      <c r="U6526" s="9">
        <v>4</v>
      </c>
      <c r="V6526" s="9">
        <v>7</v>
      </c>
      <c r="W6526" s="9">
        <v>6</v>
      </c>
      <c r="X6526" s="9">
        <v>2</v>
      </c>
      <c r="Y6526" s="9">
        <v>4</v>
      </c>
      <c r="Z6526" s="9">
        <v>6</v>
      </c>
      <c r="AA6526" s="9">
        <v>4</v>
      </c>
      <c r="AC6526" s="38">
        <v>0</v>
      </c>
    </row>
    <row r="6527" spans="1:29" x14ac:dyDescent="0.25">
      <c r="A6527" s="22">
        <v>44878</v>
      </c>
      <c r="B6527" s="9">
        <v>10</v>
      </c>
      <c r="C6527" s="9">
        <v>6.4</v>
      </c>
      <c r="D6527" s="9">
        <v>10.8</v>
      </c>
      <c r="E6527" s="7"/>
      <c r="F6527" s="9">
        <v>8.3000000000000007</v>
      </c>
      <c r="G6527" s="9"/>
      <c r="H6527" s="9">
        <v>12</v>
      </c>
      <c r="I6527" s="9">
        <v>0.1</v>
      </c>
      <c r="J6527" s="9">
        <v>6.4</v>
      </c>
      <c r="K6527" s="9">
        <v>0</v>
      </c>
      <c r="L6527" s="9">
        <v>2.2000000000000002</v>
      </c>
      <c r="M6527" s="9">
        <v>8.6</v>
      </c>
      <c r="N6527" s="9">
        <v>12.8</v>
      </c>
      <c r="O6527" s="7"/>
      <c r="P6527" s="9"/>
      <c r="Q6527" s="9">
        <v>1.2</v>
      </c>
      <c r="R6527" s="9">
        <v>4.2</v>
      </c>
      <c r="S6527" s="10"/>
      <c r="T6527" s="17">
        <v>0.2</v>
      </c>
      <c r="U6527" s="9">
        <v>20</v>
      </c>
      <c r="V6527" s="9">
        <v>0</v>
      </c>
      <c r="W6527" s="9">
        <v>0</v>
      </c>
      <c r="X6527" s="9">
        <v>18</v>
      </c>
      <c r="Y6527" s="9">
        <v>14</v>
      </c>
      <c r="Z6527" s="9">
        <v>12</v>
      </c>
      <c r="AA6527" s="9">
        <v>13</v>
      </c>
      <c r="AC6527" s="38">
        <v>0</v>
      </c>
    </row>
    <row r="6528" spans="1:29" x14ac:dyDescent="0.25">
      <c r="A6528" s="22">
        <v>44879</v>
      </c>
      <c r="B6528" s="9">
        <v>1.5</v>
      </c>
      <c r="C6528" s="9">
        <v>8</v>
      </c>
      <c r="D6528" s="9"/>
      <c r="E6528" s="7"/>
      <c r="F6528" s="9">
        <v>6.4</v>
      </c>
      <c r="G6528" s="9">
        <v>11</v>
      </c>
      <c r="H6528" s="9">
        <v>8</v>
      </c>
      <c r="I6528" s="9">
        <v>12</v>
      </c>
      <c r="J6528" s="9">
        <v>17</v>
      </c>
      <c r="K6528" s="9">
        <v>16.2</v>
      </c>
      <c r="L6528" s="9">
        <v>1.8</v>
      </c>
      <c r="M6528" s="9">
        <v>7</v>
      </c>
      <c r="N6528" s="9">
        <v>16.399999999999999</v>
      </c>
      <c r="O6528" s="7"/>
      <c r="P6528" s="9"/>
      <c r="Q6528" s="9">
        <v>2.4</v>
      </c>
      <c r="R6528" s="7" t="s">
        <v>9</v>
      </c>
      <c r="S6528" s="10"/>
      <c r="T6528" s="17">
        <v>8.1999999999999993</v>
      </c>
      <c r="U6528" s="9">
        <v>4</v>
      </c>
      <c r="V6528" s="9">
        <v>17.5</v>
      </c>
      <c r="W6528" s="9">
        <v>8.1999999999999993</v>
      </c>
      <c r="X6528" s="7" t="s">
        <v>9</v>
      </c>
      <c r="Y6528" s="9"/>
      <c r="Z6528" s="9"/>
      <c r="AA6528" s="9">
        <v>13</v>
      </c>
      <c r="AC6528" s="38">
        <v>0</v>
      </c>
    </row>
    <row r="6529" spans="1:29" x14ac:dyDescent="0.25">
      <c r="A6529" s="22">
        <v>44880</v>
      </c>
      <c r="B6529" s="9">
        <v>9.5</v>
      </c>
      <c r="C6529" s="9">
        <v>8</v>
      </c>
      <c r="D6529" s="9">
        <v>10</v>
      </c>
      <c r="E6529" s="7"/>
      <c r="F6529" s="9">
        <v>1.2</v>
      </c>
      <c r="G6529" s="9">
        <v>1.5</v>
      </c>
      <c r="H6529" s="9">
        <v>0</v>
      </c>
      <c r="I6529" s="9">
        <v>2.8</v>
      </c>
      <c r="J6529" s="9">
        <v>10.9</v>
      </c>
      <c r="K6529" s="9">
        <v>4.0999999999999996</v>
      </c>
      <c r="L6529" s="9">
        <v>1.2</v>
      </c>
      <c r="M6529" s="9">
        <v>0</v>
      </c>
      <c r="N6529" s="9">
        <v>9.4</v>
      </c>
      <c r="O6529" s="7"/>
      <c r="P6529" s="9">
        <v>2</v>
      </c>
      <c r="Q6529" s="9">
        <v>4.5999999999999996</v>
      </c>
      <c r="R6529" s="7" t="s">
        <v>9</v>
      </c>
      <c r="S6529" s="10"/>
      <c r="T6529" s="17">
        <v>0.6</v>
      </c>
      <c r="U6529" s="9">
        <v>2</v>
      </c>
      <c r="V6529" s="9">
        <v>10</v>
      </c>
      <c r="W6529" s="9">
        <v>2.5</v>
      </c>
      <c r="X6529" s="9">
        <v>0.2</v>
      </c>
      <c r="Y6529" s="7" t="s">
        <v>9</v>
      </c>
      <c r="Z6529" s="9">
        <v>2</v>
      </c>
      <c r="AA6529" s="9">
        <v>2</v>
      </c>
      <c r="AC6529" s="38">
        <v>0</v>
      </c>
    </row>
    <row r="6530" spans="1:29" x14ac:dyDescent="0.25">
      <c r="A6530" s="22">
        <v>44881</v>
      </c>
      <c r="B6530" s="9">
        <v>5</v>
      </c>
      <c r="C6530" s="9"/>
      <c r="D6530" s="9">
        <v>20.2</v>
      </c>
      <c r="E6530" s="7"/>
      <c r="F6530" s="9">
        <v>6</v>
      </c>
      <c r="G6530" s="9">
        <v>13.05</v>
      </c>
      <c r="H6530" s="9">
        <v>6.4</v>
      </c>
      <c r="I6530" s="9">
        <v>20.9</v>
      </c>
      <c r="J6530" s="9"/>
      <c r="K6530" s="9">
        <v>2.6</v>
      </c>
      <c r="L6530" s="30" t="s">
        <v>9</v>
      </c>
      <c r="M6530" s="9">
        <v>12.1</v>
      </c>
      <c r="N6530" s="9">
        <v>4</v>
      </c>
      <c r="O6530" s="7"/>
      <c r="P6530" s="9">
        <v>2</v>
      </c>
      <c r="Q6530" s="9">
        <v>9.6999999999999993</v>
      </c>
      <c r="R6530" s="9">
        <v>12.5</v>
      </c>
      <c r="S6530" s="10"/>
      <c r="T6530" s="17">
        <v>0</v>
      </c>
      <c r="U6530" s="7" t="s">
        <v>9</v>
      </c>
      <c r="V6530" s="9">
        <v>10.199999999999999</v>
      </c>
      <c r="W6530" s="9">
        <v>20.2</v>
      </c>
      <c r="X6530" s="9">
        <v>3</v>
      </c>
      <c r="Y6530" s="9"/>
      <c r="Z6530" s="9"/>
      <c r="AA6530" s="9">
        <v>6</v>
      </c>
      <c r="AC6530" s="38">
        <v>0</v>
      </c>
    </row>
    <row r="6531" spans="1:29" x14ac:dyDescent="0.25">
      <c r="A6531" s="22">
        <v>44882</v>
      </c>
      <c r="B6531" s="9">
        <v>46</v>
      </c>
      <c r="C6531" s="9">
        <v>24</v>
      </c>
      <c r="D6531" s="9">
        <v>30.4</v>
      </c>
      <c r="E6531" s="7"/>
      <c r="F6531" s="9">
        <v>8.4</v>
      </c>
      <c r="G6531" s="9">
        <v>24.25</v>
      </c>
      <c r="H6531" s="9">
        <v>8.6</v>
      </c>
      <c r="I6531" s="9">
        <v>26</v>
      </c>
      <c r="J6531" s="9"/>
      <c r="K6531" s="9">
        <v>54.6</v>
      </c>
      <c r="L6531" s="9">
        <v>30.5</v>
      </c>
      <c r="M6531" s="9">
        <v>20.399999999999999</v>
      </c>
      <c r="N6531" s="9">
        <v>31.6</v>
      </c>
      <c r="O6531" s="7"/>
      <c r="P6531" s="9">
        <v>8</v>
      </c>
      <c r="Q6531" s="9">
        <v>46.5</v>
      </c>
      <c r="R6531" s="9">
        <v>42.3</v>
      </c>
      <c r="S6531" s="10"/>
      <c r="T6531" s="17">
        <v>2.4</v>
      </c>
      <c r="U6531" s="9">
        <v>38</v>
      </c>
      <c r="V6531" s="9">
        <v>28.5</v>
      </c>
      <c r="W6531" s="9">
        <v>20.2</v>
      </c>
      <c r="X6531" s="9">
        <v>17</v>
      </c>
      <c r="Y6531" s="9">
        <v>16</v>
      </c>
      <c r="Z6531" s="9">
        <v>26</v>
      </c>
      <c r="AA6531" s="9">
        <v>25</v>
      </c>
      <c r="AC6531" s="38">
        <v>0</v>
      </c>
    </row>
    <row r="6532" spans="1:29" x14ac:dyDescent="0.25">
      <c r="A6532" s="22">
        <v>44883</v>
      </c>
      <c r="B6532" s="9">
        <v>5</v>
      </c>
      <c r="C6532" s="9">
        <v>2.8</v>
      </c>
      <c r="D6532" s="9">
        <v>4</v>
      </c>
      <c r="E6532" s="7"/>
      <c r="F6532" s="9"/>
      <c r="G6532" s="9">
        <v>2.5</v>
      </c>
      <c r="H6532" s="9">
        <v>2</v>
      </c>
      <c r="I6532" s="9">
        <v>3.1</v>
      </c>
      <c r="J6532" s="9">
        <v>66</v>
      </c>
      <c r="K6532" s="9">
        <v>8.3000000000000007</v>
      </c>
      <c r="L6532" s="30" t="s">
        <v>9</v>
      </c>
      <c r="M6532" s="9">
        <v>3</v>
      </c>
      <c r="N6532" s="9">
        <v>15.4</v>
      </c>
      <c r="O6532" s="7"/>
      <c r="P6532" s="7" t="s">
        <v>9</v>
      </c>
      <c r="Q6532" s="9">
        <v>3</v>
      </c>
      <c r="R6532" s="7" t="s">
        <v>9</v>
      </c>
      <c r="S6532" s="10"/>
      <c r="T6532" s="17">
        <v>0</v>
      </c>
      <c r="U6532" s="9">
        <v>12</v>
      </c>
      <c r="V6532" s="9">
        <v>12.2</v>
      </c>
      <c r="W6532" s="9">
        <v>12.2</v>
      </c>
      <c r="X6532" s="9">
        <v>2</v>
      </c>
      <c r="Y6532" s="9"/>
      <c r="Z6532" s="9">
        <v>6</v>
      </c>
      <c r="AA6532" s="9">
        <v>2</v>
      </c>
      <c r="AC6532" s="38">
        <v>0</v>
      </c>
    </row>
    <row r="6533" spans="1:29" x14ac:dyDescent="0.25">
      <c r="A6533" s="22">
        <v>44884</v>
      </c>
      <c r="B6533" s="9">
        <v>20</v>
      </c>
      <c r="C6533" s="9">
        <v>11.2</v>
      </c>
      <c r="D6533" s="9">
        <v>22</v>
      </c>
      <c r="E6533" s="7"/>
      <c r="F6533" s="9">
        <v>7</v>
      </c>
      <c r="G6533" s="9">
        <v>18.5</v>
      </c>
      <c r="H6533" s="9">
        <v>4</v>
      </c>
      <c r="I6533" s="9">
        <v>18.600000000000001</v>
      </c>
      <c r="J6533" s="9">
        <v>12.6</v>
      </c>
      <c r="K6533" s="9">
        <v>0</v>
      </c>
      <c r="L6533" s="9">
        <v>11.2</v>
      </c>
      <c r="M6533" s="9">
        <v>9.1999999999999993</v>
      </c>
      <c r="N6533" s="9">
        <v>2.4</v>
      </c>
      <c r="O6533" s="7"/>
      <c r="P6533" s="9">
        <v>6.5</v>
      </c>
      <c r="Q6533" s="9">
        <v>9</v>
      </c>
      <c r="R6533" s="9">
        <v>2</v>
      </c>
      <c r="S6533" s="10"/>
      <c r="T6533" s="17">
        <v>15.8</v>
      </c>
      <c r="U6533" s="9">
        <v>15</v>
      </c>
      <c r="V6533" s="9">
        <v>30.5</v>
      </c>
      <c r="W6533" s="9">
        <v>18.2</v>
      </c>
      <c r="X6533" s="9">
        <v>8</v>
      </c>
      <c r="Y6533" s="9">
        <v>6</v>
      </c>
      <c r="Z6533" s="9">
        <v>6</v>
      </c>
      <c r="AA6533" s="9">
        <v>11</v>
      </c>
      <c r="AC6533" s="38">
        <v>0</v>
      </c>
    </row>
    <row r="6534" spans="1:29" x14ac:dyDescent="0.25">
      <c r="A6534" s="22">
        <v>44885</v>
      </c>
      <c r="B6534" s="9">
        <v>12</v>
      </c>
      <c r="C6534" s="9">
        <v>4</v>
      </c>
      <c r="D6534" s="9">
        <v>6</v>
      </c>
      <c r="E6534" s="7"/>
      <c r="F6534" s="9">
        <v>2.2999999999999998</v>
      </c>
      <c r="G6534" s="9">
        <v>10</v>
      </c>
      <c r="H6534" s="9">
        <v>0</v>
      </c>
      <c r="I6534" s="9">
        <v>6.4</v>
      </c>
      <c r="J6534" s="9">
        <v>10.199999999999999</v>
      </c>
      <c r="K6534" s="9">
        <v>10</v>
      </c>
      <c r="L6534" s="9">
        <v>1.3</v>
      </c>
      <c r="M6534" s="9">
        <v>5.8</v>
      </c>
      <c r="N6534" s="9">
        <v>9.8000000000000007</v>
      </c>
      <c r="O6534" s="7"/>
      <c r="P6534" s="9">
        <v>8</v>
      </c>
      <c r="Q6534" s="9"/>
      <c r="R6534" s="7" t="s">
        <v>9</v>
      </c>
      <c r="S6534" s="10"/>
      <c r="T6534" s="17">
        <v>7.6</v>
      </c>
      <c r="U6534" s="9"/>
      <c r="V6534" s="9">
        <v>9.1999999999999993</v>
      </c>
      <c r="W6534" s="9">
        <v>8.1999999999999993</v>
      </c>
      <c r="X6534" s="9">
        <v>3</v>
      </c>
      <c r="Y6534" s="7" t="s">
        <v>9</v>
      </c>
      <c r="Z6534" s="9">
        <v>4</v>
      </c>
      <c r="AA6534" s="9"/>
      <c r="AC6534" s="38">
        <v>0</v>
      </c>
    </row>
    <row r="6535" spans="1:29" x14ac:dyDescent="0.25">
      <c r="A6535" s="22">
        <v>44886</v>
      </c>
      <c r="B6535" s="9">
        <v>25</v>
      </c>
      <c r="C6535" s="9">
        <v>13.2</v>
      </c>
      <c r="D6535" s="9">
        <v>18.899999999999999</v>
      </c>
      <c r="E6535" s="7"/>
      <c r="F6535" s="9">
        <v>13.3</v>
      </c>
      <c r="G6535" s="9">
        <v>26</v>
      </c>
      <c r="H6535" s="9">
        <v>9.8000000000000007</v>
      </c>
      <c r="I6535" s="9">
        <v>0.4</v>
      </c>
      <c r="J6535" s="9">
        <v>23.8</v>
      </c>
      <c r="K6535" s="9">
        <v>16</v>
      </c>
      <c r="L6535" s="9">
        <v>20.6</v>
      </c>
      <c r="M6535" s="9">
        <v>15</v>
      </c>
      <c r="N6535" s="9">
        <v>28.2</v>
      </c>
      <c r="O6535" s="7"/>
      <c r="P6535" s="9">
        <v>22</v>
      </c>
      <c r="Q6535" s="9">
        <v>7</v>
      </c>
      <c r="R6535" s="9">
        <v>11.3</v>
      </c>
      <c r="S6535" s="10"/>
      <c r="T6535" s="17">
        <v>8</v>
      </c>
      <c r="U6535" s="9">
        <v>18</v>
      </c>
      <c r="V6535" s="9">
        <v>27.5</v>
      </c>
      <c r="W6535" s="9">
        <v>20.5</v>
      </c>
      <c r="X6535" s="9">
        <v>5</v>
      </c>
      <c r="Y6535" s="9">
        <v>6</v>
      </c>
      <c r="Z6535" s="9">
        <v>6</v>
      </c>
      <c r="AA6535" s="9">
        <v>15</v>
      </c>
      <c r="AC6535" s="38">
        <v>0</v>
      </c>
    </row>
    <row r="6536" spans="1:29" x14ac:dyDescent="0.25">
      <c r="A6536" s="22">
        <v>44887</v>
      </c>
      <c r="B6536" s="9">
        <v>16</v>
      </c>
      <c r="C6536" s="9">
        <v>31.2</v>
      </c>
      <c r="D6536" s="9">
        <v>40.799999999999997</v>
      </c>
      <c r="E6536" s="7"/>
      <c r="F6536" s="9">
        <v>15.3</v>
      </c>
      <c r="G6536" s="9">
        <v>30.5</v>
      </c>
      <c r="H6536" s="9">
        <v>6.4</v>
      </c>
      <c r="I6536" s="9">
        <v>19</v>
      </c>
      <c r="J6536" s="9">
        <v>30</v>
      </c>
      <c r="K6536" s="9">
        <v>28</v>
      </c>
      <c r="L6536" s="9">
        <v>5.2</v>
      </c>
      <c r="M6536" s="9">
        <v>24</v>
      </c>
      <c r="N6536" s="9">
        <v>6.8</v>
      </c>
      <c r="O6536" s="7"/>
      <c r="P6536" s="9">
        <v>6.5</v>
      </c>
      <c r="Q6536" s="9">
        <v>26.9</v>
      </c>
      <c r="R6536" s="9">
        <v>26.9</v>
      </c>
      <c r="S6536" s="10"/>
      <c r="T6536" s="17">
        <v>11.6</v>
      </c>
      <c r="U6536" s="9">
        <v>54</v>
      </c>
      <c r="V6536" s="9">
        <v>40.200000000000003</v>
      </c>
      <c r="W6536" s="9">
        <v>36.4</v>
      </c>
      <c r="X6536" s="9">
        <v>16</v>
      </c>
      <c r="Y6536" s="9">
        <v>12</v>
      </c>
      <c r="Z6536" s="9">
        <v>14</v>
      </c>
      <c r="AA6536" s="9">
        <v>18</v>
      </c>
      <c r="AC6536" s="38">
        <v>0</v>
      </c>
    </row>
    <row r="6537" spans="1:29" x14ac:dyDescent="0.25">
      <c r="A6537" s="22">
        <v>44888</v>
      </c>
      <c r="B6537" s="9">
        <v>13</v>
      </c>
      <c r="C6537" s="9">
        <v>24.8</v>
      </c>
      <c r="D6537" s="9">
        <v>40.799999999999997</v>
      </c>
      <c r="E6537" s="7"/>
      <c r="F6537" s="9">
        <v>48.4</v>
      </c>
      <c r="G6537" s="9">
        <v>64.5</v>
      </c>
      <c r="H6537" s="9">
        <v>52</v>
      </c>
      <c r="I6537" s="9">
        <v>46.3</v>
      </c>
      <c r="J6537" s="9">
        <v>42.8</v>
      </c>
      <c r="K6537" s="9">
        <v>46</v>
      </c>
      <c r="L6537" s="9">
        <v>23.4</v>
      </c>
      <c r="M6537" s="9">
        <v>50.2</v>
      </c>
      <c r="N6537" s="9">
        <v>37.6</v>
      </c>
      <c r="O6537" s="7"/>
      <c r="P6537" s="9">
        <v>16.5</v>
      </c>
      <c r="Q6537" s="9">
        <v>30</v>
      </c>
      <c r="R6537" s="9">
        <v>23.1</v>
      </c>
      <c r="S6537" s="8"/>
      <c r="T6537" s="17">
        <v>13.4</v>
      </c>
      <c r="U6537" s="9">
        <v>40</v>
      </c>
      <c r="V6537" s="9">
        <v>62.5</v>
      </c>
      <c r="W6537" s="9"/>
      <c r="X6537" s="9">
        <v>41</v>
      </c>
      <c r="Y6537" s="9"/>
      <c r="Z6537" s="9">
        <v>68</v>
      </c>
      <c r="AA6537" s="9">
        <v>45</v>
      </c>
      <c r="AC6537" s="38">
        <v>0</v>
      </c>
    </row>
    <row r="6538" spans="1:29" x14ac:dyDescent="0.25">
      <c r="A6538" s="22">
        <v>44889</v>
      </c>
      <c r="B6538" s="9">
        <v>15</v>
      </c>
      <c r="C6538" s="9">
        <v>21.6</v>
      </c>
      <c r="D6538" s="9">
        <v>28</v>
      </c>
      <c r="E6538" s="7"/>
      <c r="F6538" s="9">
        <v>25.3</v>
      </c>
      <c r="G6538" s="9">
        <v>52</v>
      </c>
      <c r="H6538" s="9">
        <v>36.4</v>
      </c>
      <c r="I6538" s="9">
        <v>50.6</v>
      </c>
      <c r="J6538" s="9">
        <v>67</v>
      </c>
      <c r="K6538" s="9">
        <v>64</v>
      </c>
      <c r="L6538" s="9">
        <v>5.8</v>
      </c>
      <c r="M6538" s="9">
        <v>47.6</v>
      </c>
      <c r="N6538" s="9">
        <v>34.6</v>
      </c>
      <c r="O6538" s="7"/>
      <c r="P6538" s="9">
        <v>8</v>
      </c>
      <c r="Q6538" s="9">
        <v>15</v>
      </c>
      <c r="R6538" s="9">
        <v>3.1</v>
      </c>
      <c r="S6538" s="8"/>
      <c r="T6538" s="17">
        <v>19.600000000000001</v>
      </c>
      <c r="U6538" s="9">
        <v>26</v>
      </c>
      <c r="V6538" s="9">
        <v>63.5</v>
      </c>
      <c r="W6538" s="9">
        <v>62.5</v>
      </c>
      <c r="X6538" s="9">
        <v>8</v>
      </c>
      <c r="Y6538" s="9">
        <v>24</v>
      </c>
      <c r="Z6538" s="9"/>
      <c r="AA6538" s="9">
        <v>25</v>
      </c>
      <c r="AC6538" s="38">
        <v>0</v>
      </c>
    </row>
    <row r="6539" spans="1:29" x14ac:dyDescent="0.25">
      <c r="A6539" s="22">
        <v>44890</v>
      </c>
      <c r="B6539" s="9">
        <v>1.1000000000000001</v>
      </c>
      <c r="C6539" s="9">
        <v>8.8000000000000007</v>
      </c>
      <c r="D6539" s="9">
        <v>38</v>
      </c>
      <c r="E6539" s="7"/>
      <c r="F6539" s="9">
        <v>2.4</v>
      </c>
      <c r="G6539" s="9">
        <v>20.5</v>
      </c>
      <c r="H6539" s="9">
        <v>4</v>
      </c>
      <c r="I6539" s="9">
        <v>18.8</v>
      </c>
      <c r="J6539" s="9">
        <v>20</v>
      </c>
      <c r="K6539" s="9">
        <v>16</v>
      </c>
      <c r="L6539" s="9">
        <v>9.1999999999999993</v>
      </c>
      <c r="M6539" s="9">
        <v>11.2</v>
      </c>
      <c r="N6539" s="9">
        <v>18.8</v>
      </c>
      <c r="O6539" s="7"/>
      <c r="P6539" s="7" t="s">
        <v>9</v>
      </c>
      <c r="Q6539" s="9">
        <v>4.3</v>
      </c>
      <c r="R6539" s="9">
        <v>4.9000000000000004</v>
      </c>
      <c r="S6539" s="8"/>
      <c r="T6539" s="17">
        <v>0</v>
      </c>
      <c r="U6539" s="9">
        <v>30</v>
      </c>
      <c r="V6539" s="9">
        <v>17.5</v>
      </c>
      <c r="W6539" s="9">
        <v>20.2</v>
      </c>
      <c r="X6539" s="9">
        <v>4</v>
      </c>
      <c r="Y6539" s="9">
        <v>24</v>
      </c>
      <c r="Z6539" s="9">
        <v>8</v>
      </c>
      <c r="AA6539" s="9">
        <v>9</v>
      </c>
      <c r="AC6539" s="38">
        <v>0</v>
      </c>
    </row>
    <row r="6540" spans="1:29" x14ac:dyDescent="0.25">
      <c r="A6540" s="22">
        <v>44891</v>
      </c>
      <c r="B6540" s="30" t="s">
        <v>9</v>
      </c>
      <c r="C6540" s="9">
        <v>20.8</v>
      </c>
      <c r="D6540" s="9">
        <v>18.5</v>
      </c>
      <c r="E6540" s="7"/>
      <c r="F6540" s="9">
        <v>6.3</v>
      </c>
      <c r="G6540" s="9">
        <v>16.5</v>
      </c>
      <c r="H6540" s="9">
        <v>6.4</v>
      </c>
      <c r="I6540" s="9">
        <v>13.6</v>
      </c>
      <c r="J6540" s="9">
        <v>12.6</v>
      </c>
      <c r="K6540" s="9">
        <v>8</v>
      </c>
      <c r="L6540" s="9">
        <v>9.9</v>
      </c>
      <c r="M6540" s="9">
        <v>18.600000000000001</v>
      </c>
      <c r="N6540" s="9">
        <v>6</v>
      </c>
      <c r="O6540" s="7"/>
      <c r="P6540" s="9">
        <v>2</v>
      </c>
      <c r="Q6540" s="9">
        <v>5.2</v>
      </c>
      <c r="R6540" s="9">
        <v>3.2</v>
      </c>
      <c r="S6540" s="8"/>
      <c r="T6540" s="17">
        <v>0</v>
      </c>
      <c r="U6540" s="9">
        <v>7</v>
      </c>
      <c r="V6540" s="9">
        <v>17.5</v>
      </c>
      <c r="W6540" s="9">
        <v>12.6</v>
      </c>
      <c r="X6540" s="9">
        <v>3</v>
      </c>
      <c r="Y6540" s="9">
        <v>8</v>
      </c>
      <c r="Z6540" s="9">
        <v>10</v>
      </c>
      <c r="AA6540" s="9">
        <v>8</v>
      </c>
      <c r="AC6540" s="38">
        <v>0</v>
      </c>
    </row>
    <row r="6541" spans="1:29" x14ac:dyDescent="0.25">
      <c r="A6541" s="22">
        <v>44892</v>
      </c>
      <c r="B6541" s="9">
        <v>40</v>
      </c>
      <c r="C6541" s="9">
        <v>6.4</v>
      </c>
      <c r="D6541" s="9">
        <v>13.2</v>
      </c>
      <c r="E6541" s="7"/>
      <c r="F6541" s="9">
        <v>17.3</v>
      </c>
      <c r="G6541" s="9">
        <v>31.2</v>
      </c>
      <c r="H6541" s="9">
        <v>36.799999999999997</v>
      </c>
      <c r="I6541" s="9">
        <v>31</v>
      </c>
      <c r="J6541" s="9">
        <v>24.1</v>
      </c>
      <c r="K6541" s="9">
        <v>18.2</v>
      </c>
      <c r="L6541" s="30" t="s">
        <v>9</v>
      </c>
      <c r="M6541" s="9">
        <v>34.1</v>
      </c>
      <c r="N6541" s="9">
        <v>28.8</v>
      </c>
      <c r="O6541" s="7"/>
      <c r="P6541" s="9">
        <v>3</v>
      </c>
      <c r="Q6541" s="9">
        <v>4</v>
      </c>
      <c r="R6541" s="9">
        <v>4.0999999999999996</v>
      </c>
      <c r="S6541" s="8"/>
      <c r="T6541" s="17">
        <v>11.2</v>
      </c>
      <c r="U6541" s="9">
        <v>28</v>
      </c>
      <c r="V6541" s="9">
        <v>30.2</v>
      </c>
      <c r="W6541" s="9">
        <v>28.2</v>
      </c>
      <c r="X6541" s="9">
        <v>10</v>
      </c>
      <c r="Y6541" s="9">
        <v>12</v>
      </c>
      <c r="Z6541" s="9">
        <v>16</v>
      </c>
      <c r="AA6541" s="9"/>
      <c r="AC6541" s="38">
        <v>0</v>
      </c>
    </row>
    <row r="6542" spans="1:29" x14ac:dyDescent="0.25">
      <c r="A6542" s="22">
        <v>44893</v>
      </c>
      <c r="B6542" s="9">
        <v>2</v>
      </c>
      <c r="C6542" s="9">
        <v>8</v>
      </c>
      <c r="D6542" s="9">
        <v>10</v>
      </c>
      <c r="E6542" s="7"/>
      <c r="F6542" s="9">
        <v>15.1</v>
      </c>
      <c r="G6542" s="9">
        <v>16.5</v>
      </c>
      <c r="H6542" s="9">
        <v>4</v>
      </c>
      <c r="I6542" s="9">
        <v>11.2</v>
      </c>
      <c r="J6542" s="9">
        <v>17.5</v>
      </c>
      <c r="K6542" s="9">
        <v>13</v>
      </c>
      <c r="L6542" s="9">
        <v>11.2</v>
      </c>
      <c r="M6542" s="9">
        <v>15.6</v>
      </c>
      <c r="N6542" s="9">
        <v>2.8</v>
      </c>
      <c r="O6542" s="7"/>
      <c r="P6542" s="9">
        <v>16</v>
      </c>
      <c r="Q6542" s="9">
        <v>5.2</v>
      </c>
      <c r="R6542" s="9">
        <v>4.2</v>
      </c>
      <c r="S6542" s="8"/>
      <c r="T6542" s="17">
        <v>0</v>
      </c>
      <c r="U6542" s="9">
        <v>5</v>
      </c>
      <c r="V6542" s="9">
        <v>15.2</v>
      </c>
      <c r="W6542" s="9">
        <v>16</v>
      </c>
      <c r="X6542" s="9">
        <v>12</v>
      </c>
      <c r="Y6542" s="9">
        <v>8</v>
      </c>
      <c r="Z6542" s="9">
        <v>24</v>
      </c>
      <c r="AA6542" s="9">
        <v>47</v>
      </c>
      <c r="AC6542" s="38">
        <v>0</v>
      </c>
    </row>
    <row r="6543" spans="1:29" x14ac:dyDescent="0.25">
      <c r="A6543" s="22">
        <v>44894</v>
      </c>
      <c r="B6543" s="9">
        <v>0.5</v>
      </c>
      <c r="C6543" s="9">
        <v>0.8</v>
      </c>
      <c r="D6543" s="9">
        <v>1</v>
      </c>
      <c r="E6543" s="7"/>
      <c r="F6543" s="9">
        <v>1</v>
      </c>
      <c r="G6543" s="9">
        <v>1.5</v>
      </c>
      <c r="H6543" s="9">
        <v>0</v>
      </c>
      <c r="I6543" s="9">
        <v>1.2</v>
      </c>
      <c r="J6543" s="9">
        <v>2</v>
      </c>
      <c r="K6543" s="9">
        <v>2</v>
      </c>
      <c r="L6543" s="30" t="s">
        <v>9</v>
      </c>
      <c r="M6543" s="9">
        <v>2</v>
      </c>
      <c r="N6543" s="9">
        <v>4.5999999999999996</v>
      </c>
      <c r="O6543" s="7"/>
      <c r="P6543" s="7" t="s">
        <v>9</v>
      </c>
      <c r="Q6543" s="9">
        <v>1.4</v>
      </c>
      <c r="R6543" s="7" t="s">
        <v>9</v>
      </c>
      <c r="S6543" s="8"/>
      <c r="T6543" s="17">
        <v>1.2</v>
      </c>
      <c r="U6543" s="9">
        <v>2</v>
      </c>
      <c r="V6543" s="9">
        <v>3</v>
      </c>
      <c r="W6543" s="9">
        <v>0</v>
      </c>
      <c r="X6543" s="9">
        <v>2</v>
      </c>
      <c r="Y6543" s="7" t="s">
        <v>9</v>
      </c>
      <c r="Z6543" s="7" t="s">
        <v>9</v>
      </c>
      <c r="AA6543" s="9">
        <v>5</v>
      </c>
      <c r="AC6543" s="38">
        <v>0</v>
      </c>
    </row>
    <row r="6544" spans="1:29" x14ac:dyDescent="0.25">
      <c r="A6544" s="22">
        <v>44895</v>
      </c>
      <c r="B6544" s="9">
        <v>5</v>
      </c>
      <c r="C6544" s="9">
        <v>4.4000000000000004</v>
      </c>
      <c r="D6544" s="9">
        <v>9.8000000000000007</v>
      </c>
      <c r="E6544" s="7"/>
      <c r="F6544" s="9">
        <v>9</v>
      </c>
      <c r="G6544" s="9">
        <v>10.25</v>
      </c>
      <c r="H6544" s="9">
        <v>6</v>
      </c>
      <c r="I6544" s="9">
        <v>3.9</v>
      </c>
      <c r="J6544" s="9">
        <v>10.199999999999999</v>
      </c>
      <c r="K6544" s="9">
        <v>10.199999999999999</v>
      </c>
      <c r="L6544" s="9">
        <v>2.2999999999999998</v>
      </c>
      <c r="M6544" s="9">
        <v>6.5</v>
      </c>
      <c r="N6544" s="9">
        <v>5.8</v>
      </c>
      <c r="O6544" s="7"/>
      <c r="P6544" s="9">
        <v>3</v>
      </c>
      <c r="Q6544" s="9">
        <v>3.2</v>
      </c>
      <c r="R6544" s="9">
        <v>1.9</v>
      </c>
      <c r="S6544" s="8"/>
      <c r="T6544" s="17">
        <v>0.6</v>
      </c>
      <c r="U6544" s="9">
        <v>5</v>
      </c>
      <c r="V6544" s="9">
        <v>8</v>
      </c>
      <c r="W6544" s="9">
        <v>4.2</v>
      </c>
      <c r="X6544" s="9">
        <v>2</v>
      </c>
      <c r="Y6544" s="7" t="s">
        <v>9</v>
      </c>
      <c r="Z6544" s="9"/>
      <c r="AA6544" s="9">
        <v>5</v>
      </c>
      <c r="AC6544" s="38">
        <v>0</v>
      </c>
    </row>
    <row r="6545" spans="1:29" x14ac:dyDescent="0.25">
      <c r="A6545" s="22">
        <v>44896</v>
      </c>
      <c r="B6545" s="9">
        <v>6</v>
      </c>
      <c r="C6545" s="9">
        <v>0.4</v>
      </c>
      <c r="D6545" s="9">
        <v>14</v>
      </c>
      <c r="E6545" s="7">
        <v>0</v>
      </c>
      <c r="F6545" s="9">
        <v>5</v>
      </c>
      <c r="G6545" s="9">
        <v>6.25</v>
      </c>
      <c r="H6545" s="9">
        <v>0</v>
      </c>
      <c r="I6545" s="9">
        <v>0</v>
      </c>
      <c r="J6545" s="9">
        <v>4</v>
      </c>
      <c r="K6545" s="9">
        <v>2.4</v>
      </c>
      <c r="L6545" s="9">
        <v>18.8</v>
      </c>
      <c r="M6545" s="9">
        <v>5.8</v>
      </c>
      <c r="N6545" s="9">
        <v>11.6</v>
      </c>
      <c r="O6545" s="7"/>
      <c r="P6545" s="9">
        <v>4.5</v>
      </c>
      <c r="Q6545" s="9">
        <v>8.8000000000000007</v>
      </c>
      <c r="R6545" s="9">
        <v>4.9000000000000004</v>
      </c>
      <c r="S6545" s="8"/>
      <c r="T6545" s="15">
        <v>2.2000000000000002</v>
      </c>
      <c r="U6545" s="16">
        <v>14</v>
      </c>
      <c r="V6545" s="9">
        <v>4.2</v>
      </c>
      <c r="W6545" s="9">
        <v>4.3</v>
      </c>
      <c r="X6545" s="9">
        <v>8</v>
      </c>
      <c r="Y6545" s="9">
        <v>14</v>
      </c>
      <c r="Z6545" s="9">
        <v>14</v>
      </c>
      <c r="AA6545" s="9">
        <v>0</v>
      </c>
      <c r="AC6545" s="38">
        <v>0</v>
      </c>
    </row>
    <row r="6546" spans="1:29" x14ac:dyDescent="0.25">
      <c r="A6546" s="22">
        <v>44897</v>
      </c>
      <c r="B6546" s="9">
        <v>25</v>
      </c>
      <c r="C6546" s="9">
        <v>18.399999999999999</v>
      </c>
      <c r="D6546" s="9">
        <v>4.8</v>
      </c>
      <c r="E6546" s="7">
        <v>12</v>
      </c>
      <c r="F6546" s="9">
        <v>6.4</v>
      </c>
      <c r="G6546" s="9">
        <v>6.5</v>
      </c>
      <c r="H6546" s="9">
        <v>8.4</v>
      </c>
      <c r="I6546" s="9">
        <v>9</v>
      </c>
      <c r="J6546" s="9">
        <v>8.9</v>
      </c>
      <c r="K6546" s="9">
        <v>8.1999999999999993</v>
      </c>
      <c r="L6546" s="9">
        <v>12.4</v>
      </c>
      <c r="M6546" s="9">
        <v>6.3</v>
      </c>
      <c r="N6546" s="9">
        <v>7.4</v>
      </c>
      <c r="O6546" s="7"/>
      <c r="P6546" s="9">
        <v>15</v>
      </c>
      <c r="Q6546" s="9">
        <v>8.6</v>
      </c>
      <c r="R6546" s="9">
        <v>0</v>
      </c>
      <c r="S6546" s="8"/>
      <c r="T6546" s="15">
        <v>2</v>
      </c>
      <c r="U6546" s="16">
        <v>2</v>
      </c>
      <c r="V6546" s="9">
        <v>8</v>
      </c>
      <c r="W6546" s="9">
        <v>8.1999999999999993</v>
      </c>
      <c r="X6546" s="9">
        <v>0</v>
      </c>
      <c r="Y6546" s="9">
        <v>0</v>
      </c>
      <c r="Z6546" s="9">
        <v>5</v>
      </c>
      <c r="AA6546" s="9">
        <v>5</v>
      </c>
      <c r="AC6546" s="42">
        <v>-8738</v>
      </c>
    </row>
    <row r="6547" spans="1:29" x14ac:dyDescent="0.25">
      <c r="A6547" s="22">
        <v>44898</v>
      </c>
      <c r="B6547" s="9">
        <v>0</v>
      </c>
      <c r="C6547" s="9">
        <v>11.6</v>
      </c>
      <c r="D6547" s="9">
        <v>16.8</v>
      </c>
      <c r="E6547" s="7">
        <v>0</v>
      </c>
      <c r="F6547" s="9">
        <v>6</v>
      </c>
      <c r="G6547" s="9">
        <v>11</v>
      </c>
      <c r="H6547" s="9">
        <v>0</v>
      </c>
      <c r="I6547" s="9">
        <v>12</v>
      </c>
      <c r="J6547" s="9">
        <v>6.7</v>
      </c>
      <c r="K6547" s="9">
        <v>6</v>
      </c>
      <c r="L6547" s="9">
        <v>23.1</v>
      </c>
      <c r="M6547" s="9">
        <v>13.2</v>
      </c>
      <c r="N6547" s="9">
        <v>11</v>
      </c>
      <c r="O6547" s="7"/>
      <c r="P6547" s="9">
        <v>0</v>
      </c>
      <c r="Q6547" s="9">
        <v>7.2</v>
      </c>
      <c r="R6547" s="9">
        <v>13.1</v>
      </c>
      <c r="S6547" s="8"/>
      <c r="T6547" s="15">
        <v>0</v>
      </c>
      <c r="U6547" s="16">
        <v>12</v>
      </c>
      <c r="V6547" s="9">
        <v>10</v>
      </c>
      <c r="W6547" s="9">
        <v>8</v>
      </c>
      <c r="X6547" s="9">
        <v>8</v>
      </c>
      <c r="Y6547" s="9">
        <v>0</v>
      </c>
      <c r="Z6547" s="9">
        <v>0</v>
      </c>
      <c r="AA6547" s="9">
        <v>0</v>
      </c>
      <c r="AC6547" s="38">
        <v>0</v>
      </c>
    </row>
    <row r="6548" spans="1:29" x14ac:dyDescent="0.25">
      <c r="A6548" s="22">
        <v>44899</v>
      </c>
      <c r="B6548" s="9">
        <v>6</v>
      </c>
      <c r="C6548" s="9">
        <v>3.2</v>
      </c>
      <c r="D6548" s="9">
        <v>2.9</v>
      </c>
      <c r="E6548" s="7">
        <v>0</v>
      </c>
      <c r="F6548" s="9">
        <v>5.2</v>
      </c>
      <c r="G6548" s="9">
        <v>4.25</v>
      </c>
      <c r="H6548" s="9">
        <v>6.8</v>
      </c>
      <c r="I6548" s="9">
        <v>3.5</v>
      </c>
      <c r="J6548" s="9">
        <v>10.8</v>
      </c>
      <c r="K6548" s="9">
        <v>4.2</v>
      </c>
      <c r="L6548" s="9">
        <v>8.89</v>
      </c>
      <c r="M6548" s="9">
        <v>0</v>
      </c>
      <c r="N6548" s="9">
        <v>9.1999999999999993</v>
      </c>
      <c r="O6548" s="7"/>
      <c r="P6548" s="9">
        <v>4</v>
      </c>
      <c r="Q6548" s="9">
        <v>21</v>
      </c>
      <c r="R6548" s="9">
        <v>1.3</v>
      </c>
      <c r="S6548" s="8"/>
      <c r="T6548" s="15">
        <v>3.6</v>
      </c>
      <c r="U6548" s="16">
        <v>1.2</v>
      </c>
      <c r="V6548" s="9">
        <v>0.3</v>
      </c>
      <c r="W6548" s="9">
        <v>2.4</v>
      </c>
      <c r="X6548" s="9">
        <v>2</v>
      </c>
      <c r="Y6548" s="9">
        <v>10</v>
      </c>
      <c r="Z6548" s="9">
        <v>2</v>
      </c>
      <c r="AA6548" s="9">
        <v>0</v>
      </c>
      <c r="AC6548" s="38">
        <v>0</v>
      </c>
    </row>
    <row r="6549" spans="1:29" x14ac:dyDescent="0.25">
      <c r="A6549" s="22">
        <v>44900</v>
      </c>
      <c r="B6549" s="9">
        <v>33</v>
      </c>
      <c r="C6549" s="9">
        <v>1.2</v>
      </c>
      <c r="D6549" s="9">
        <v>2.8</v>
      </c>
      <c r="E6549" s="7">
        <v>22</v>
      </c>
      <c r="F6549" s="9">
        <v>3.6</v>
      </c>
      <c r="G6549" s="9">
        <v>27.05</v>
      </c>
      <c r="H6549" s="9">
        <v>5.5</v>
      </c>
      <c r="I6549" s="9">
        <v>24.6</v>
      </c>
      <c r="J6549" s="9">
        <v>2</v>
      </c>
      <c r="K6549" s="9">
        <v>3</v>
      </c>
      <c r="L6549" s="9">
        <v>13.2</v>
      </c>
      <c r="M6549" s="9">
        <v>11.8</v>
      </c>
      <c r="N6549" s="9">
        <v>0.2</v>
      </c>
      <c r="O6549" s="7"/>
      <c r="P6549" s="9">
        <v>4</v>
      </c>
      <c r="Q6549" s="9">
        <v>0</v>
      </c>
      <c r="R6549" s="9">
        <v>17.100000000000001</v>
      </c>
      <c r="S6549" s="8"/>
      <c r="T6549" s="15">
        <v>0</v>
      </c>
      <c r="U6549" s="16">
        <v>15</v>
      </c>
      <c r="V6549" s="9">
        <v>8.5</v>
      </c>
      <c r="W6549" s="9">
        <v>14.2</v>
      </c>
      <c r="X6549" s="9">
        <v>6</v>
      </c>
      <c r="Y6549" s="9">
        <v>4</v>
      </c>
      <c r="Z6549" s="9">
        <v>4</v>
      </c>
      <c r="AA6549" s="9">
        <v>0</v>
      </c>
      <c r="AC6549" s="38">
        <v>0</v>
      </c>
    </row>
    <row r="6550" spans="1:29" x14ac:dyDescent="0.25">
      <c r="A6550" s="22">
        <v>44901</v>
      </c>
      <c r="B6550" s="9">
        <v>0.5</v>
      </c>
      <c r="C6550" s="9">
        <v>0</v>
      </c>
      <c r="D6550" s="9">
        <v>0.2</v>
      </c>
      <c r="E6550" s="7">
        <v>0</v>
      </c>
      <c r="F6550" s="9">
        <v>4.5999999999999996</v>
      </c>
      <c r="G6550" s="9">
        <v>0.5</v>
      </c>
      <c r="H6550" s="9">
        <v>0</v>
      </c>
      <c r="I6550" s="9">
        <v>0</v>
      </c>
      <c r="J6550" s="9">
        <v>1</v>
      </c>
      <c r="K6550" s="9">
        <v>0</v>
      </c>
      <c r="L6550" s="9">
        <v>0</v>
      </c>
      <c r="M6550" s="9">
        <v>0</v>
      </c>
      <c r="N6550" s="9">
        <v>0.2</v>
      </c>
      <c r="O6550" s="7"/>
      <c r="P6550" s="9">
        <v>0</v>
      </c>
      <c r="Q6550" s="9">
        <v>0</v>
      </c>
      <c r="R6550" s="9">
        <v>0</v>
      </c>
      <c r="S6550" s="8"/>
      <c r="T6550" s="15">
        <v>0</v>
      </c>
      <c r="U6550" s="16">
        <v>0</v>
      </c>
      <c r="V6550" s="9">
        <v>0</v>
      </c>
      <c r="W6550" s="9">
        <v>0</v>
      </c>
      <c r="X6550" s="9">
        <v>0</v>
      </c>
      <c r="Y6550" s="9">
        <v>0</v>
      </c>
      <c r="Z6550" s="9">
        <v>0</v>
      </c>
      <c r="AA6550" s="9">
        <v>0</v>
      </c>
      <c r="AC6550" s="38">
        <v>0</v>
      </c>
    </row>
    <row r="6551" spans="1:29" x14ac:dyDescent="0.25">
      <c r="A6551" s="22">
        <v>44902</v>
      </c>
      <c r="B6551" s="9">
        <v>0</v>
      </c>
      <c r="C6551" s="9">
        <v>0.8</v>
      </c>
      <c r="D6551" s="9">
        <v>0</v>
      </c>
      <c r="E6551" s="7">
        <v>0</v>
      </c>
      <c r="F6551" s="9">
        <v>7.8</v>
      </c>
      <c r="G6551" s="9">
        <v>0.5</v>
      </c>
      <c r="H6551" s="9">
        <v>0</v>
      </c>
      <c r="I6551" s="9">
        <v>0</v>
      </c>
      <c r="J6551" s="9">
        <v>0</v>
      </c>
      <c r="K6551" s="9">
        <v>0</v>
      </c>
      <c r="L6551" s="9">
        <v>0</v>
      </c>
      <c r="M6551" s="9">
        <v>0</v>
      </c>
      <c r="N6551" s="9">
        <v>0</v>
      </c>
      <c r="O6551" s="7"/>
      <c r="P6551" s="9">
        <v>0</v>
      </c>
      <c r="Q6551" s="9">
        <v>5.2</v>
      </c>
      <c r="R6551" s="9">
        <v>0</v>
      </c>
      <c r="S6551" s="8"/>
      <c r="T6551" s="15">
        <v>0.2</v>
      </c>
      <c r="U6551" s="16">
        <v>0</v>
      </c>
      <c r="V6551" s="9">
        <v>0</v>
      </c>
      <c r="W6551" s="9">
        <v>0</v>
      </c>
      <c r="X6551" s="9">
        <v>0</v>
      </c>
      <c r="Y6551" s="9">
        <v>0</v>
      </c>
      <c r="Z6551" s="9">
        <v>0</v>
      </c>
      <c r="AA6551" s="9">
        <v>0</v>
      </c>
      <c r="AC6551" s="38">
        <v>0</v>
      </c>
    </row>
    <row r="6552" spans="1:29" x14ac:dyDescent="0.25">
      <c r="A6552" s="22">
        <v>44903</v>
      </c>
      <c r="B6552" s="9">
        <v>0</v>
      </c>
      <c r="C6552" s="9">
        <v>0</v>
      </c>
      <c r="D6552" s="9">
        <v>0</v>
      </c>
      <c r="E6552" s="7">
        <v>0</v>
      </c>
      <c r="F6552" s="9">
        <v>11.6</v>
      </c>
      <c r="G6552" s="9">
        <v>0</v>
      </c>
      <c r="H6552" s="9">
        <v>0</v>
      </c>
      <c r="I6552" s="9">
        <v>0</v>
      </c>
      <c r="J6552" s="9">
        <v>0</v>
      </c>
      <c r="K6552" s="9">
        <v>0</v>
      </c>
      <c r="L6552" s="9">
        <v>0</v>
      </c>
      <c r="M6552" s="9">
        <v>0</v>
      </c>
      <c r="N6552" s="9">
        <v>0.2</v>
      </c>
      <c r="O6552" s="7"/>
      <c r="P6552" s="9">
        <v>0</v>
      </c>
      <c r="Q6552" s="9">
        <v>0</v>
      </c>
      <c r="R6552" s="9">
        <v>1</v>
      </c>
      <c r="S6552" s="8"/>
      <c r="T6552" s="15">
        <v>0</v>
      </c>
      <c r="U6552" s="16">
        <v>0</v>
      </c>
      <c r="V6552" s="9">
        <v>0</v>
      </c>
      <c r="W6552" s="9">
        <v>0</v>
      </c>
      <c r="X6552" s="9">
        <v>0</v>
      </c>
      <c r="Y6552" s="9">
        <v>0</v>
      </c>
      <c r="Z6552" s="9">
        <v>0</v>
      </c>
      <c r="AA6552" s="9">
        <v>0</v>
      </c>
      <c r="AC6552" s="38">
        <v>0</v>
      </c>
    </row>
    <row r="6553" spans="1:29" x14ac:dyDescent="0.25">
      <c r="A6553" s="22">
        <v>44904</v>
      </c>
      <c r="B6553" s="9">
        <v>0</v>
      </c>
      <c r="C6553" s="9">
        <v>0</v>
      </c>
      <c r="D6553" s="9">
        <v>0</v>
      </c>
      <c r="E6553" s="7">
        <v>0</v>
      </c>
      <c r="F6553" s="9">
        <v>8.8000000000000007</v>
      </c>
      <c r="G6553" s="9">
        <v>0</v>
      </c>
      <c r="H6553" s="9">
        <v>0</v>
      </c>
      <c r="I6553" s="9">
        <v>0</v>
      </c>
      <c r="J6553" s="9">
        <v>0</v>
      </c>
      <c r="K6553" s="9">
        <v>0</v>
      </c>
      <c r="L6553" s="9">
        <v>0</v>
      </c>
      <c r="M6553" s="9">
        <v>0</v>
      </c>
      <c r="N6553" s="9">
        <v>0</v>
      </c>
      <c r="O6553" s="7"/>
      <c r="P6553" s="9">
        <v>0</v>
      </c>
      <c r="Q6553" s="9">
        <v>0</v>
      </c>
      <c r="R6553" s="9">
        <v>0</v>
      </c>
      <c r="S6553" s="8"/>
      <c r="T6553" s="15">
        <v>0</v>
      </c>
      <c r="U6553" s="16">
        <v>0</v>
      </c>
      <c r="V6553" s="9">
        <v>0</v>
      </c>
      <c r="W6553" s="9">
        <v>0</v>
      </c>
      <c r="X6553" s="9">
        <v>0</v>
      </c>
      <c r="Y6553" s="9">
        <v>0</v>
      </c>
      <c r="Z6553" s="9">
        <v>0</v>
      </c>
      <c r="AA6553" s="9">
        <v>0</v>
      </c>
      <c r="AC6553" s="38">
        <v>0</v>
      </c>
    </row>
    <row r="6554" spans="1:29" x14ac:dyDescent="0.25">
      <c r="A6554" s="22">
        <v>44905</v>
      </c>
      <c r="B6554" s="9">
        <v>0</v>
      </c>
      <c r="C6554" s="9">
        <v>0.4</v>
      </c>
      <c r="D6554" s="9">
        <v>0</v>
      </c>
      <c r="E6554" s="7">
        <v>0</v>
      </c>
      <c r="F6554" s="9">
        <v>6.2</v>
      </c>
      <c r="G6554" s="9">
        <v>0.5</v>
      </c>
      <c r="H6554" s="9">
        <v>0</v>
      </c>
      <c r="I6554" s="9">
        <v>0</v>
      </c>
      <c r="J6554" s="9">
        <v>0</v>
      </c>
      <c r="K6554" s="9">
        <v>0</v>
      </c>
      <c r="L6554" s="9">
        <v>0</v>
      </c>
      <c r="M6554" s="9">
        <v>0.5</v>
      </c>
      <c r="N6554" s="9">
        <v>0</v>
      </c>
      <c r="O6554" s="7"/>
      <c r="P6554" s="9">
        <v>0</v>
      </c>
      <c r="Q6554" s="9">
        <v>0</v>
      </c>
      <c r="R6554" s="9">
        <v>0</v>
      </c>
      <c r="S6554" s="8"/>
      <c r="T6554" s="15">
        <v>0</v>
      </c>
      <c r="U6554" s="16">
        <v>0</v>
      </c>
      <c r="V6554" s="9">
        <v>0</v>
      </c>
      <c r="W6554" s="9">
        <v>0</v>
      </c>
      <c r="X6554" s="9">
        <v>0</v>
      </c>
      <c r="Y6554" s="9">
        <v>0</v>
      </c>
      <c r="Z6554" s="9">
        <v>0</v>
      </c>
      <c r="AA6554" s="9">
        <v>0</v>
      </c>
      <c r="AC6554" s="38">
        <v>0</v>
      </c>
    </row>
    <row r="6555" spans="1:29" x14ac:dyDescent="0.25">
      <c r="A6555" s="22">
        <v>44906</v>
      </c>
      <c r="B6555" s="9">
        <v>0</v>
      </c>
      <c r="C6555" s="9">
        <v>0</v>
      </c>
      <c r="D6555" s="9">
        <v>0</v>
      </c>
      <c r="E6555" s="7">
        <v>0</v>
      </c>
      <c r="F6555" s="9">
        <v>3</v>
      </c>
      <c r="G6555" s="9">
        <v>0</v>
      </c>
      <c r="H6555" s="9">
        <v>0</v>
      </c>
      <c r="I6555" s="9">
        <v>0</v>
      </c>
      <c r="J6555" s="9">
        <v>0</v>
      </c>
      <c r="K6555" s="9">
        <v>0</v>
      </c>
      <c r="L6555" s="9">
        <v>0</v>
      </c>
      <c r="M6555" s="9">
        <v>0</v>
      </c>
      <c r="N6555" s="9">
        <v>0.2</v>
      </c>
      <c r="O6555" s="7"/>
      <c r="P6555" s="9">
        <v>0</v>
      </c>
      <c r="Q6555" s="9">
        <v>0</v>
      </c>
      <c r="R6555" s="9">
        <v>0</v>
      </c>
      <c r="S6555" s="8"/>
      <c r="T6555" s="15">
        <v>0</v>
      </c>
      <c r="U6555" s="16">
        <v>0</v>
      </c>
      <c r="V6555" s="9">
        <v>0</v>
      </c>
      <c r="W6555" s="9">
        <v>0</v>
      </c>
      <c r="X6555" s="9">
        <v>0</v>
      </c>
      <c r="Y6555" s="9">
        <v>0</v>
      </c>
      <c r="Z6555" s="9">
        <v>0</v>
      </c>
      <c r="AA6555" s="9">
        <v>0</v>
      </c>
      <c r="AC6555" s="38">
        <v>0</v>
      </c>
    </row>
    <row r="6556" spans="1:29" x14ac:dyDescent="0.25">
      <c r="A6556" s="22">
        <v>44907</v>
      </c>
      <c r="B6556" s="9">
        <v>0</v>
      </c>
      <c r="C6556" s="9">
        <v>0</v>
      </c>
      <c r="D6556" s="9">
        <v>0</v>
      </c>
      <c r="E6556" s="7">
        <v>0</v>
      </c>
      <c r="F6556" s="9">
        <v>2</v>
      </c>
      <c r="G6556" s="9">
        <v>0</v>
      </c>
      <c r="H6556" s="9">
        <v>0</v>
      </c>
      <c r="I6556" s="9">
        <v>0</v>
      </c>
      <c r="J6556" s="9">
        <v>0</v>
      </c>
      <c r="K6556" s="9">
        <v>0</v>
      </c>
      <c r="L6556" s="9">
        <v>0</v>
      </c>
      <c r="M6556" s="9">
        <v>0</v>
      </c>
      <c r="N6556" s="9">
        <v>0</v>
      </c>
      <c r="O6556" s="7"/>
      <c r="P6556" s="9">
        <v>0</v>
      </c>
      <c r="Q6556" s="9">
        <v>0</v>
      </c>
      <c r="R6556" s="9">
        <v>0</v>
      </c>
      <c r="S6556" s="8"/>
      <c r="T6556" s="15">
        <v>0</v>
      </c>
      <c r="U6556" s="16">
        <v>0</v>
      </c>
      <c r="V6556" s="9">
        <v>0</v>
      </c>
      <c r="W6556" s="9">
        <v>0</v>
      </c>
      <c r="X6556" s="9">
        <v>0</v>
      </c>
      <c r="Y6556" s="9">
        <v>0</v>
      </c>
      <c r="Z6556" s="9">
        <v>0</v>
      </c>
      <c r="AA6556" s="9">
        <v>0</v>
      </c>
      <c r="AC6556" s="38">
        <v>0</v>
      </c>
    </row>
    <row r="6557" spans="1:29" x14ac:dyDescent="0.25">
      <c r="A6557" s="22">
        <v>44908</v>
      </c>
      <c r="B6557" s="9">
        <v>0</v>
      </c>
      <c r="C6557" s="9">
        <v>0</v>
      </c>
      <c r="D6557" s="9">
        <v>0</v>
      </c>
      <c r="E6557" s="7">
        <v>0</v>
      </c>
      <c r="F6557" s="9">
        <v>2</v>
      </c>
      <c r="G6557" s="9">
        <v>0</v>
      </c>
      <c r="H6557" s="9">
        <v>0</v>
      </c>
      <c r="I6557" s="9">
        <v>0</v>
      </c>
      <c r="J6557" s="9">
        <v>0</v>
      </c>
      <c r="K6557" s="9">
        <v>0</v>
      </c>
      <c r="L6557" s="9">
        <v>0</v>
      </c>
      <c r="M6557" s="9">
        <v>0</v>
      </c>
      <c r="N6557" s="9">
        <v>8</v>
      </c>
      <c r="O6557" s="7"/>
      <c r="P6557" s="9">
        <v>0</v>
      </c>
      <c r="Q6557" s="9">
        <v>9.8000000000000007</v>
      </c>
      <c r="R6557" s="9">
        <v>5.0999999999999996</v>
      </c>
      <c r="S6557" s="10"/>
      <c r="T6557" s="15">
        <v>19.600000000000001</v>
      </c>
      <c r="U6557" s="16">
        <v>10</v>
      </c>
      <c r="V6557" s="9">
        <v>0</v>
      </c>
      <c r="W6557" s="9">
        <v>0</v>
      </c>
      <c r="X6557" s="9">
        <v>0</v>
      </c>
      <c r="Y6557" s="9">
        <v>0</v>
      </c>
      <c r="Z6557" s="9">
        <v>2</v>
      </c>
      <c r="AA6557" s="9">
        <v>0</v>
      </c>
      <c r="AC6557" s="38">
        <v>0</v>
      </c>
    </row>
    <row r="6558" spans="1:29" x14ac:dyDescent="0.25">
      <c r="A6558" s="22">
        <v>44909</v>
      </c>
      <c r="B6558" s="9">
        <v>11</v>
      </c>
      <c r="C6558" s="9">
        <v>13.2</v>
      </c>
      <c r="D6558" s="9">
        <v>17.399999999999999</v>
      </c>
      <c r="E6558" s="7">
        <v>21</v>
      </c>
      <c r="F6558" s="9">
        <v>2</v>
      </c>
      <c r="G6558" s="9">
        <v>34.5</v>
      </c>
      <c r="H6558" s="9">
        <v>53.4</v>
      </c>
      <c r="I6558" s="9">
        <v>29</v>
      </c>
      <c r="J6558" s="9">
        <v>35.5</v>
      </c>
      <c r="K6558" s="9">
        <v>9.8000000000000007</v>
      </c>
      <c r="L6558" s="9">
        <v>16.5</v>
      </c>
      <c r="M6558" s="9">
        <v>34.5</v>
      </c>
      <c r="N6558" s="9">
        <v>2.2000000000000002</v>
      </c>
      <c r="O6558" s="7"/>
      <c r="P6558" s="9">
        <v>12.5</v>
      </c>
      <c r="Q6558" s="9">
        <v>1</v>
      </c>
      <c r="R6558" s="9">
        <v>4.9000000000000004</v>
      </c>
      <c r="S6558" s="10"/>
      <c r="T6558" s="15">
        <v>0.6</v>
      </c>
      <c r="U6558" s="16">
        <v>18</v>
      </c>
      <c r="V6558" s="9">
        <v>30.4</v>
      </c>
      <c r="W6558" s="9">
        <v>26.5</v>
      </c>
      <c r="X6558" s="9">
        <v>13</v>
      </c>
      <c r="Y6558" s="9">
        <v>25</v>
      </c>
      <c r="Z6558" s="9">
        <v>0</v>
      </c>
      <c r="AA6558" s="9">
        <v>12</v>
      </c>
      <c r="AC6558" s="38">
        <v>0</v>
      </c>
    </row>
    <row r="6559" spans="1:29" x14ac:dyDescent="0.25">
      <c r="A6559" s="22">
        <v>44910</v>
      </c>
      <c r="B6559" s="9">
        <v>7.5</v>
      </c>
      <c r="C6559" s="9">
        <v>11.2</v>
      </c>
      <c r="D6559" s="9">
        <v>8.1999999999999993</v>
      </c>
      <c r="E6559" s="7">
        <v>12</v>
      </c>
      <c r="F6559" s="9">
        <v>2.2000000000000002</v>
      </c>
      <c r="G6559" s="9">
        <v>16</v>
      </c>
      <c r="H6559" s="9">
        <v>14</v>
      </c>
      <c r="I6559" s="9">
        <v>16.899999999999999</v>
      </c>
      <c r="J6559" s="9">
        <v>14.5</v>
      </c>
      <c r="K6559" s="9">
        <v>14.5</v>
      </c>
      <c r="L6559" s="9">
        <v>10.199999999999999</v>
      </c>
      <c r="M6559" s="9">
        <v>16</v>
      </c>
      <c r="N6559" s="9">
        <v>18</v>
      </c>
      <c r="O6559" s="7"/>
      <c r="P6559" s="9">
        <v>6</v>
      </c>
      <c r="Q6559" s="9">
        <v>14</v>
      </c>
      <c r="R6559" s="9">
        <v>6</v>
      </c>
      <c r="S6559" s="10"/>
      <c r="T6559" s="15">
        <v>0</v>
      </c>
      <c r="U6559" s="16">
        <v>16</v>
      </c>
      <c r="V6559" s="9">
        <v>10.4</v>
      </c>
      <c r="W6559" s="9">
        <v>18.399999999999999</v>
      </c>
      <c r="X6559" s="9">
        <v>9</v>
      </c>
      <c r="Y6559" s="9">
        <v>8</v>
      </c>
      <c r="Z6559" s="9">
        <v>8</v>
      </c>
      <c r="AA6559" s="9">
        <v>12</v>
      </c>
      <c r="AC6559" s="38">
        <v>0</v>
      </c>
    </row>
    <row r="6560" spans="1:29" x14ac:dyDescent="0.25">
      <c r="A6560" s="22">
        <v>44911</v>
      </c>
      <c r="B6560" s="9">
        <v>0</v>
      </c>
      <c r="C6560" s="9">
        <v>0</v>
      </c>
      <c r="D6560" s="9">
        <v>0.9</v>
      </c>
      <c r="E6560" s="7">
        <v>0</v>
      </c>
      <c r="F6560" s="9">
        <v>2</v>
      </c>
      <c r="G6560" s="9">
        <v>0</v>
      </c>
      <c r="H6560" s="9">
        <v>0</v>
      </c>
      <c r="I6560" s="9">
        <v>2.4</v>
      </c>
      <c r="J6560" s="9">
        <v>2</v>
      </c>
      <c r="K6560" s="9">
        <v>2.4</v>
      </c>
      <c r="L6560" s="9">
        <v>0</v>
      </c>
      <c r="M6560" s="9">
        <v>0</v>
      </c>
      <c r="N6560" s="9">
        <v>1.8</v>
      </c>
      <c r="O6560" s="7"/>
      <c r="P6560" s="9">
        <v>0</v>
      </c>
      <c r="Q6560" s="9">
        <v>0</v>
      </c>
      <c r="R6560" s="9">
        <v>16.100000000000001</v>
      </c>
      <c r="S6560" s="10"/>
      <c r="T6560" s="15">
        <v>0.4</v>
      </c>
      <c r="U6560" s="16">
        <v>0</v>
      </c>
      <c r="V6560" s="9">
        <v>0</v>
      </c>
      <c r="W6560" s="9">
        <v>0</v>
      </c>
      <c r="X6560" s="9">
        <v>3</v>
      </c>
      <c r="Y6560" s="9">
        <v>0</v>
      </c>
      <c r="Z6560" s="9">
        <v>0</v>
      </c>
      <c r="AA6560" s="9">
        <v>3</v>
      </c>
      <c r="AC6560" s="38">
        <v>0</v>
      </c>
    </row>
    <row r="6561" spans="1:29" x14ac:dyDescent="0.25">
      <c r="A6561" s="22">
        <v>44912</v>
      </c>
      <c r="B6561" s="9">
        <v>0</v>
      </c>
      <c r="C6561" s="9">
        <v>2.8</v>
      </c>
      <c r="D6561" s="9">
        <v>0</v>
      </c>
      <c r="E6561" s="7">
        <v>0</v>
      </c>
      <c r="F6561" s="9">
        <v>2</v>
      </c>
      <c r="G6561" s="9">
        <v>0</v>
      </c>
      <c r="H6561" s="9">
        <v>0</v>
      </c>
      <c r="I6561" s="9">
        <v>0</v>
      </c>
      <c r="J6561" s="9">
        <v>0</v>
      </c>
      <c r="K6561" s="9">
        <v>0</v>
      </c>
      <c r="L6561" s="9">
        <v>2.8</v>
      </c>
      <c r="M6561" s="9">
        <v>0</v>
      </c>
      <c r="N6561" s="9">
        <v>0.2</v>
      </c>
      <c r="O6561" s="7"/>
      <c r="P6561" s="9">
        <v>8</v>
      </c>
      <c r="Q6561" s="9">
        <v>2</v>
      </c>
      <c r="R6561" s="9">
        <v>0</v>
      </c>
      <c r="S6561" s="10"/>
      <c r="T6561" s="15">
        <v>0</v>
      </c>
      <c r="U6561" s="16">
        <v>0</v>
      </c>
      <c r="V6561" s="9">
        <v>0</v>
      </c>
      <c r="W6561" s="9">
        <v>0</v>
      </c>
      <c r="X6561" s="9">
        <v>0</v>
      </c>
      <c r="Y6561" s="9">
        <v>0</v>
      </c>
      <c r="Z6561" s="9">
        <v>0</v>
      </c>
      <c r="AA6561" s="9">
        <v>0</v>
      </c>
      <c r="AC6561" s="38">
        <v>0</v>
      </c>
    </row>
    <row r="6562" spans="1:29" x14ac:dyDescent="0.25">
      <c r="A6562" s="22">
        <v>44913</v>
      </c>
      <c r="B6562" s="9">
        <v>0</v>
      </c>
      <c r="C6562" s="9">
        <v>7</v>
      </c>
      <c r="D6562" s="9">
        <v>2.1</v>
      </c>
      <c r="E6562" s="7">
        <v>8</v>
      </c>
      <c r="F6562" s="9">
        <v>1.8</v>
      </c>
      <c r="G6562" s="9">
        <v>1</v>
      </c>
      <c r="H6562" s="9">
        <v>0</v>
      </c>
      <c r="I6562" s="9">
        <v>0</v>
      </c>
      <c r="J6562" s="9">
        <v>2</v>
      </c>
      <c r="K6562" s="9">
        <v>0</v>
      </c>
      <c r="L6562" s="9">
        <v>0</v>
      </c>
      <c r="M6562" s="9">
        <v>1</v>
      </c>
      <c r="N6562" s="9">
        <v>0.8</v>
      </c>
      <c r="O6562" s="7"/>
      <c r="P6562" s="9">
        <v>0</v>
      </c>
      <c r="Q6562" s="9">
        <v>1.2</v>
      </c>
      <c r="R6562" s="9">
        <v>4</v>
      </c>
      <c r="S6562" s="10"/>
      <c r="T6562" s="15">
        <v>0</v>
      </c>
      <c r="U6562" s="16">
        <v>0</v>
      </c>
      <c r="V6562" s="9">
        <v>0</v>
      </c>
      <c r="W6562" s="9">
        <v>0</v>
      </c>
      <c r="X6562" s="9">
        <v>1</v>
      </c>
      <c r="Y6562" s="9">
        <v>0</v>
      </c>
      <c r="Z6562" s="9">
        <v>0</v>
      </c>
      <c r="AA6562" s="9">
        <v>0</v>
      </c>
      <c r="AC6562" s="38">
        <v>0</v>
      </c>
    </row>
    <row r="6563" spans="1:29" x14ac:dyDescent="0.25">
      <c r="A6563" s="22">
        <v>44914</v>
      </c>
      <c r="B6563" s="9">
        <v>0</v>
      </c>
      <c r="C6563" s="9">
        <v>0</v>
      </c>
      <c r="D6563" s="9">
        <v>0</v>
      </c>
      <c r="E6563" s="7">
        <v>0</v>
      </c>
      <c r="F6563" s="9">
        <v>1.6</v>
      </c>
      <c r="G6563" s="9">
        <v>0</v>
      </c>
      <c r="H6563" s="9">
        <v>0</v>
      </c>
      <c r="I6563" s="9">
        <v>0.2</v>
      </c>
      <c r="J6563" s="9">
        <v>0</v>
      </c>
      <c r="K6563" s="9">
        <v>0</v>
      </c>
      <c r="L6563" s="9">
        <v>0</v>
      </c>
      <c r="M6563" s="9">
        <v>3</v>
      </c>
      <c r="N6563" s="9">
        <v>0.2</v>
      </c>
      <c r="O6563" s="7"/>
      <c r="P6563" s="9">
        <v>0</v>
      </c>
      <c r="Q6563" s="9">
        <v>0.4</v>
      </c>
      <c r="R6563" s="9">
        <v>0</v>
      </c>
      <c r="S6563" s="10"/>
      <c r="T6563" s="15">
        <v>0.2</v>
      </c>
      <c r="U6563" s="16">
        <v>0</v>
      </c>
      <c r="V6563" s="9">
        <v>0</v>
      </c>
      <c r="W6563" s="9">
        <v>0</v>
      </c>
      <c r="X6563" s="9">
        <v>0</v>
      </c>
      <c r="Y6563" s="9">
        <v>0</v>
      </c>
      <c r="Z6563" s="9">
        <v>0</v>
      </c>
      <c r="AA6563" s="9">
        <v>0</v>
      </c>
      <c r="AC6563" s="38">
        <v>0</v>
      </c>
    </row>
    <row r="6564" spans="1:29" x14ac:dyDescent="0.25">
      <c r="A6564" s="22">
        <v>44915</v>
      </c>
      <c r="B6564" s="9">
        <v>10</v>
      </c>
      <c r="C6564" s="9">
        <v>1.6</v>
      </c>
      <c r="D6564" s="9">
        <v>4.5999999999999996</v>
      </c>
      <c r="E6564" s="7">
        <v>0</v>
      </c>
      <c r="F6564" s="9">
        <v>1.8</v>
      </c>
      <c r="G6564" s="9">
        <v>0</v>
      </c>
      <c r="H6564" s="9">
        <v>6</v>
      </c>
      <c r="I6564" s="9">
        <v>4.4000000000000004</v>
      </c>
      <c r="J6564" s="9">
        <v>6.8</v>
      </c>
      <c r="K6564" s="9">
        <v>2</v>
      </c>
      <c r="L6564" s="9">
        <v>0</v>
      </c>
      <c r="M6564" s="9">
        <v>3</v>
      </c>
      <c r="N6564" s="9">
        <v>5</v>
      </c>
      <c r="O6564" s="7"/>
      <c r="P6564" s="9">
        <v>0</v>
      </c>
      <c r="Q6564" s="9">
        <v>7.8</v>
      </c>
      <c r="R6564" s="9">
        <v>2.5</v>
      </c>
      <c r="S6564" s="10"/>
      <c r="T6564" s="15">
        <v>1.6</v>
      </c>
      <c r="U6564" s="16">
        <v>0</v>
      </c>
      <c r="V6564" s="9">
        <v>5.0999999999999996</v>
      </c>
      <c r="W6564" s="9">
        <v>6.2</v>
      </c>
      <c r="X6564" s="9">
        <v>3</v>
      </c>
      <c r="Y6564" s="9">
        <v>0</v>
      </c>
      <c r="Z6564" s="9">
        <v>0</v>
      </c>
      <c r="AA6564" s="9">
        <v>0</v>
      </c>
      <c r="AC6564" s="38">
        <v>0</v>
      </c>
    </row>
    <row r="6565" spans="1:29" x14ac:dyDescent="0.25">
      <c r="A6565" s="22">
        <v>44916</v>
      </c>
      <c r="B6565" s="9">
        <v>17.5</v>
      </c>
      <c r="C6565" s="9">
        <v>2.8</v>
      </c>
      <c r="D6565" s="9">
        <v>9.8000000000000007</v>
      </c>
      <c r="E6565" s="7">
        <v>9</v>
      </c>
      <c r="F6565" s="9">
        <v>1.4</v>
      </c>
      <c r="G6565" s="9">
        <v>6</v>
      </c>
      <c r="H6565" s="9">
        <v>2</v>
      </c>
      <c r="I6565" s="9">
        <v>8</v>
      </c>
      <c r="J6565" s="9">
        <v>8.5</v>
      </c>
      <c r="K6565" s="9">
        <v>8.8000000000000007</v>
      </c>
      <c r="L6565" s="9">
        <v>5.8</v>
      </c>
      <c r="M6565" s="9">
        <v>3.8</v>
      </c>
      <c r="N6565" s="9">
        <v>16.600000000000001</v>
      </c>
      <c r="O6565" s="7"/>
      <c r="P6565" s="9">
        <v>4.5</v>
      </c>
      <c r="Q6565" s="9">
        <v>10.6</v>
      </c>
      <c r="R6565" s="9">
        <v>3</v>
      </c>
      <c r="S6565" s="10"/>
      <c r="T6565" s="15">
        <v>0.4</v>
      </c>
      <c r="U6565" s="16">
        <v>20</v>
      </c>
      <c r="V6565" s="9">
        <v>9.1999999999999993</v>
      </c>
      <c r="W6565" s="9">
        <v>2.2999999999999998</v>
      </c>
      <c r="X6565" s="9">
        <v>6.5</v>
      </c>
      <c r="Y6565" s="9">
        <v>6</v>
      </c>
      <c r="Z6565" s="9">
        <v>0</v>
      </c>
      <c r="AA6565" s="9">
        <v>8</v>
      </c>
      <c r="AC6565" s="38">
        <v>0</v>
      </c>
    </row>
    <row r="6566" spans="1:29" x14ac:dyDescent="0.25">
      <c r="A6566" s="22">
        <v>44917</v>
      </c>
      <c r="B6566" s="9">
        <v>10</v>
      </c>
      <c r="C6566" s="9">
        <v>13</v>
      </c>
      <c r="D6566" s="9">
        <v>13</v>
      </c>
      <c r="E6566" s="7">
        <v>10</v>
      </c>
      <c r="F6566" s="9">
        <v>1.4</v>
      </c>
      <c r="G6566" s="9">
        <v>14</v>
      </c>
      <c r="H6566" s="9">
        <v>12.8</v>
      </c>
      <c r="I6566" s="9">
        <v>14</v>
      </c>
      <c r="J6566" s="9">
        <v>16</v>
      </c>
      <c r="K6566" s="9">
        <v>12.4</v>
      </c>
      <c r="L6566" s="9">
        <v>10.7</v>
      </c>
      <c r="M6566" s="9">
        <v>3.4</v>
      </c>
      <c r="N6566" s="9">
        <v>4.8</v>
      </c>
      <c r="O6566" s="7"/>
      <c r="P6566" s="9">
        <v>6</v>
      </c>
      <c r="Q6566" s="9">
        <v>1.2</v>
      </c>
      <c r="R6566" s="9">
        <v>0</v>
      </c>
      <c r="S6566" s="10"/>
      <c r="T6566" s="15">
        <v>4.5999999999999996</v>
      </c>
      <c r="U6566" s="16">
        <v>10</v>
      </c>
      <c r="V6566" s="9">
        <v>15.3</v>
      </c>
      <c r="W6566" s="9">
        <v>14.1</v>
      </c>
      <c r="X6566" s="9">
        <v>11</v>
      </c>
      <c r="Y6566" s="9">
        <v>14</v>
      </c>
      <c r="Z6566" s="9">
        <v>0</v>
      </c>
      <c r="AA6566" s="9">
        <v>14</v>
      </c>
      <c r="AC6566" s="38">
        <v>0</v>
      </c>
    </row>
    <row r="6567" spans="1:29" x14ac:dyDescent="0.25">
      <c r="A6567" s="22">
        <v>44918</v>
      </c>
      <c r="B6567" s="9">
        <v>13</v>
      </c>
      <c r="C6567" s="9">
        <v>24.8</v>
      </c>
      <c r="D6567" s="9">
        <v>1.2</v>
      </c>
      <c r="E6567" s="7">
        <v>0</v>
      </c>
      <c r="F6567" s="9">
        <v>1.2</v>
      </c>
      <c r="G6567" s="9">
        <v>6.2</v>
      </c>
      <c r="H6567" s="9">
        <v>2</v>
      </c>
      <c r="I6567" s="9">
        <v>0.1</v>
      </c>
      <c r="J6567" s="9">
        <v>2</v>
      </c>
      <c r="K6567" s="9">
        <v>1.4</v>
      </c>
      <c r="L6567" s="9">
        <v>23.4</v>
      </c>
      <c r="M6567" s="9">
        <v>0</v>
      </c>
      <c r="N6567" s="9">
        <v>5.4</v>
      </c>
      <c r="O6567" s="7"/>
      <c r="P6567" s="9">
        <v>16.5</v>
      </c>
      <c r="Q6567" s="9">
        <v>2.8</v>
      </c>
      <c r="R6567" s="9">
        <v>23.1</v>
      </c>
      <c r="S6567" s="8"/>
      <c r="T6567" s="15">
        <v>0.4</v>
      </c>
      <c r="U6567" s="16">
        <v>0</v>
      </c>
      <c r="V6567" s="9">
        <v>62.5</v>
      </c>
      <c r="W6567" s="9">
        <v>0</v>
      </c>
      <c r="X6567" s="9">
        <v>41</v>
      </c>
      <c r="Y6567" s="9">
        <v>0</v>
      </c>
      <c r="Z6567" s="9">
        <v>68</v>
      </c>
      <c r="AA6567" s="9">
        <v>45</v>
      </c>
      <c r="AC6567" s="38">
        <v>0</v>
      </c>
    </row>
    <row r="6568" spans="1:29" x14ac:dyDescent="0.25">
      <c r="A6568" s="22">
        <v>44919</v>
      </c>
      <c r="B6568" s="9">
        <v>10</v>
      </c>
      <c r="C6568" s="9">
        <v>4.8</v>
      </c>
      <c r="D6568" s="9">
        <v>2.2000000000000002</v>
      </c>
      <c r="E6568" s="7">
        <v>0</v>
      </c>
      <c r="F6568" s="9">
        <v>1.2</v>
      </c>
      <c r="G6568" s="9">
        <v>8</v>
      </c>
      <c r="H6568" s="9">
        <v>0</v>
      </c>
      <c r="I6568" s="9">
        <v>4.2</v>
      </c>
      <c r="J6568" s="9">
        <v>2.5</v>
      </c>
      <c r="K6568" s="9">
        <v>2.8</v>
      </c>
      <c r="L6568" s="9">
        <v>0</v>
      </c>
      <c r="M6568" s="9">
        <v>4.8</v>
      </c>
      <c r="N6568" s="9">
        <v>1.8</v>
      </c>
      <c r="O6568" s="7"/>
      <c r="P6568" s="9">
        <v>0</v>
      </c>
      <c r="Q6568" s="9">
        <v>1.2</v>
      </c>
      <c r="R6568" s="9">
        <v>0</v>
      </c>
      <c r="S6568" s="8"/>
      <c r="T6568" s="15">
        <v>1.8</v>
      </c>
      <c r="U6568" s="16">
        <v>0</v>
      </c>
      <c r="V6568" s="9">
        <v>0</v>
      </c>
      <c r="W6568" s="9">
        <v>0</v>
      </c>
      <c r="X6568" s="9">
        <v>0</v>
      </c>
      <c r="Y6568" s="9">
        <v>0</v>
      </c>
      <c r="Z6568" s="9">
        <v>0</v>
      </c>
      <c r="AA6568" s="9">
        <v>2</v>
      </c>
      <c r="AC6568" s="38">
        <v>0</v>
      </c>
    </row>
    <row r="6569" spans="1:29" x14ac:dyDescent="0.25">
      <c r="A6569" s="22">
        <v>44920</v>
      </c>
      <c r="B6569" s="9">
        <v>3</v>
      </c>
      <c r="C6569" s="9">
        <v>13</v>
      </c>
      <c r="D6569" s="9">
        <v>3</v>
      </c>
      <c r="E6569" s="7">
        <v>0</v>
      </c>
      <c r="F6569" s="9">
        <v>1.4</v>
      </c>
      <c r="G6569" s="9">
        <v>8.5</v>
      </c>
      <c r="H6569" s="9">
        <v>6.9</v>
      </c>
      <c r="I6569" s="9">
        <v>6.4</v>
      </c>
      <c r="J6569" s="9">
        <v>4.4000000000000004</v>
      </c>
      <c r="K6569" s="9">
        <v>5</v>
      </c>
      <c r="L6569" s="9">
        <v>3.81</v>
      </c>
      <c r="M6569" s="9">
        <v>1.6</v>
      </c>
      <c r="N6569" s="9">
        <v>3.6</v>
      </c>
      <c r="O6569" s="7"/>
      <c r="P6569" s="9">
        <v>0</v>
      </c>
      <c r="Q6569" s="9">
        <v>0</v>
      </c>
      <c r="R6569" s="9">
        <v>0</v>
      </c>
      <c r="S6569" s="8"/>
      <c r="T6569" s="15">
        <v>0.8</v>
      </c>
      <c r="U6569" s="16">
        <v>0</v>
      </c>
      <c r="V6569" s="9">
        <v>14.5</v>
      </c>
      <c r="W6569" s="9">
        <v>24.1</v>
      </c>
      <c r="X6569" s="9">
        <v>2</v>
      </c>
      <c r="Y6569" s="9">
        <v>2</v>
      </c>
      <c r="Z6569" s="9">
        <v>0</v>
      </c>
      <c r="AA6569" s="9">
        <v>0</v>
      </c>
      <c r="AC6569" s="38">
        <v>0</v>
      </c>
    </row>
    <row r="6570" spans="1:29" x14ac:dyDescent="0.25">
      <c r="A6570" s="22">
        <v>44921</v>
      </c>
      <c r="B6570" s="9">
        <v>0</v>
      </c>
      <c r="C6570" s="9">
        <v>13</v>
      </c>
      <c r="D6570" s="9">
        <v>0</v>
      </c>
      <c r="E6570" s="7">
        <v>0</v>
      </c>
      <c r="F6570" s="9">
        <v>3.6</v>
      </c>
      <c r="G6570" s="9">
        <v>3</v>
      </c>
      <c r="H6570" s="9">
        <v>0</v>
      </c>
      <c r="I6570" s="9">
        <v>5</v>
      </c>
      <c r="J6570" s="9">
        <v>9.8000000000000007</v>
      </c>
      <c r="K6570" s="9">
        <v>4</v>
      </c>
      <c r="L6570" s="9">
        <v>0</v>
      </c>
      <c r="M6570" s="9">
        <v>3</v>
      </c>
      <c r="N6570" s="9">
        <v>0.8</v>
      </c>
      <c r="O6570" s="7"/>
      <c r="P6570" s="9">
        <v>0</v>
      </c>
      <c r="Q6570" s="9">
        <v>0</v>
      </c>
      <c r="R6570" s="9">
        <v>0</v>
      </c>
      <c r="S6570" s="8"/>
      <c r="T6570" s="15">
        <v>0.4</v>
      </c>
      <c r="U6570" s="16">
        <v>0</v>
      </c>
      <c r="V6570" s="9">
        <v>9.5</v>
      </c>
      <c r="W6570" s="9">
        <v>2.2000000000000002</v>
      </c>
      <c r="X6570" s="9">
        <v>2</v>
      </c>
      <c r="Y6570" s="9">
        <v>6</v>
      </c>
      <c r="Z6570" s="9">
        <v>0</v>
      </c>
      <c r="AA6570" s="9">
        <v>5</v>
      </c>
      <c r="AC6570" s="38">
        <v>0</v>
      </c>
    </row>
    <row r="6571" spans="1:29" x14ac:dyDescent="0.25">
      <c r="A6571" s="22">
        <v>44922</v>
      </c>
      <c r="B6571" s="9">
        <v>10</v>
      </c>
      <c r="C6571" s="9">
        <v>6.4</v>
      </c>
      <c r="D6571" s="9">
        <v>3</v>
      </c>
      <c r="E6571" s="7">
        <v>10</v>
      </c>
      <c r="F6571" s="9">
        <v>20.6</v>
      </c>
      <c r="G6571" s="9">
        <v>13</v>
      </c>
      <c r="H6571" s="9">
        <v>4</v>
      </c>
      <c r="I6571" s="9">
        <v>5.7</v>
      </c>
      <c r="J6571" s="9">
        <v>6.2</v>
      </c>
      <c r="K6571" s="9">
        <v>6.2</v>
      </c>
      <c r="L6571" s="9">
        <v>0</v>
      </c>
      <c r="M6571" s="9">
        <v>3.8</v>
      </c>
      <c r="N6571" s="9">
        <v>2.4</v>
      </c>
      <c r="O6571" s="7"/>
      <c r="P6571" s="9">
        <v>2</v>
      </c>
      <c r="Q6571" s="9">
        <v>1.4</v>
      </c>
      <c r="R6571" s="9">
        <v>0</v>
      </c>
      <c r="S6571" s="8"/>
      <c r="T6571" s="15">
        <v>0</v>
      </c>
      <c r="U6571" s="16">
        <v>9</v>
      </c>
      <c r="V6571" s="9">
        <v>8.1999999999999993</v>
      </c>
      <c r="W6571" s="9">
        <v>6.3</v>
      </c>
      <c r="X6571" s="9">
        <v>0</v>
      </c>
      <c r="Y6571" s="9">
        <v>0</v>
      </c>
      <c r="Z6571" s="9">
        <v>0</v>
      </c>
      <c r="AA6571" s="9">
        <v>2</v>
      </c>
      <c r="AC6571" s="38">
        <v>0</v>
      </c>
    </row>
    <row r="6572" spans="1:29" x14ac:dyDescent="0.25">
      <c r="A6572" s="22">
        <v>44923</v>
      </c>
      <c r="B6572" s="9">
        <v>3.5</v>
      </c>
      <c r="C6572" s="9">
        <v>6</v>
      </c>
      <c r="D6572" s="9">
        <v>7.8</v>
      </c>
      <c r="E6572" s="7">
        <v>0</v>
      </c>
      <c r="F6572" s="9">
        <v>1</v>
      </c>
      <c r="G6572" s="9">
        <v>1</v>
      </c>
      <c r="H6572" s="9">
        <v>0</v>
      </c>
      <c r="I6572" s="9">
        <v>0.9</v>
      </c>
      <c r="J6572" s="9">
        <v>2</v>
      </c>
      <c r="K6572" s="9">
        <v>2</v>
      </c>
      <c r="L6572" s="9">
        <v>3.2</v>
      </c>
      <c r="M6572" s="9">
        <v>0</v>
      </c>
      <c r="N6572" s="9">
        <v>2.6</v>
      </c>
      <c r="O6572" s="7"/>
      <c r="P6572" s="9">
        <v>0</v>
      </c>
      <c r="Q6572" s="9">
        <v>6.2</v>
      </c>
      <c r="R6572" s="9">
        <v>2.2000000000000002</v>
      </c>
      <c r="S6572" s="8"/>
      <c r="T6572" s="15">
        <v>0</v>
      </c>
      <c r="U6572" s="16">
        <v>0</v>
      </c>
      <c r="V6572" s="9">
        <v>0</v>
      </c>
      <c r="W6572" s="9">
        <v>2.2000000000000002</v>
      </c>
      <c r="X6572" s="9">
        <v>1</v>
      </c>
      <c r="Y6572" s="9">
        <v>4</v>
      </c>
      <c r="Z6572" s="9">
        <v>0</v>
      </c>
      <c r="AA6572" s="9">
        <v>1</v>
      </c>
      <c r="AC6572" s="38">
        <v>0</v>
      </c>
    </row>
    <row r="6573" spans="1:29" x14ac:dyDescent="0.25">
      <c r="A6573" s="22">
        <v>44924</v>
      </c>
      <c r="B6573" s="9">
        <v>58</v>
      </c>
      <c r="C6573" s="9">
        <v>42.4</v>
      </c>
      <c r="D6573" s="9">
        <v>46.8</v>
      </c>
      <c r="E6573" s="7">
        <v>78</v>
      </c>
      <c r="F6573" s="9">
        <v>17.8</v>
      </c>
      <c r="G6573" s="9">
        <v>20.25</v>
      </c>
      <c r="H6573" s="9">
        <v>10.9</v>
      </c>
      <c r="I6573" s="9">
        <v>10</v>
      </c>
      <c r="J6573" s="9">
        <v>24</v>
      </c>
      <c r="K6573" s="9">
        <v>26.6</v>
      </c>
      <c r="L6573" s="9">
        <v>43.2</v>
      </c>
      <c r="M6573" s="9">
        <v>12.6</v>
      </c>
      <c r="N6573" s="9">
        <v>36.200000000000003</v>
      </c>
      <c r="O6573" s="7"/>
      <c r="P6573" s="9">
        <v>30.5</v>
      </c>
      <c r="Q6573" s="9">
        <v>38.6</v>
      </c>
      <c r="R6573" s="9">
        <v>40</v>
      </c>
      <c r="S6573" s="8"/>
      <c r="T6573" s="15">
        <v>3</v>
      </c>
      <c r="U6573" s="16">
        <v>50</v>
      </c>
      <c r="V6573" s="9">
        <v>15.3</v>
      </c>
      <c r="W6573" s="9">
        <v>18.100000000000001</v>
      </c>
      <c r="X6573" s="9">
        <v>36</v>
      </c>
      <c r="Y6573" s="9">
        <v>20</v>
      </c>
      <c r="Z6573" s="9">
        <v>0</v>
      </c>
      <c r="AA6573" s="9">
        <v>44</v>
      </c>
      <c r="AC6573" s="38">
        <v>0</v>
      </c>
    </row>
    <row r="6574" spans="1:29" x14ac:dyDescent="0.25">
      <c r="A6574" s="22">
        <v>44925</v>
      </c>
      <c r="B6574" s="9">
        <v>25</v>
      </c>
      <c r="C6574" s="9">
        <v>25.8</v>
      </c>
      <c r="D6574" s="9">
        <v>28.4</v>
      </c>
      <c r="E6574" s="7">
        <v>25</v>
      </c>
      <c r="F6574" s="9">
        <v>3</v>
      </c>
      <c r="G6574" s="9">
        <v>15</v>
      </c>
      <c r="H6574" s="9">
        <v>7.5</v>
      </c>
      <c r="I6574" s="9">
        <v>7.2</v>
      </c>
      <c r="J6574" s="9">
        <v>12</v>
      </c>
      <c r="K6574" s="9">
        <v>18.2</v>
      </c>
      <c r="L6574" s="9">
        <v>48.6</v>
      </c>
      <c r="M6574" s="9">
        <v>8.8000000000000007</v>
      </c>
      <c r="N6574" s="9">
        <v>13.4</v>
      </c>
      <c r="O6574" s="7"/>
      <c r="P6574" s="9">
        <v>20</v>
      </c>
      <c r="Q6574" s="9">
        <v>16.600000000000001</v>
      </c>
      <c r="R6574" s="9">
        <v>12.2</v>
      </c>
      <c r="S6574" s="8"/>
      <c r="T6574" s="15">
        <v>4</v>
      </c>
      <c r="U6574" s="16">
        <v>10</v>
      </c>
      <c r="V6574" s="9">
        <v>10.4</v>
      </c>
      <c r="W6574" s="9">
        <v>10.199999999999999</v>
      </c>
      <c r="X6574" s="9">
        <v>12</v>
      </c>
      <c r="Y6574" s="9">
        <v>8</v>
      </c>
      <c r="Z6574" s="9">
        <v>8</v>
      </c>
      <c r="AA6574" s="9">
        <v>11</v>
      </c>
      <c r="AC6574" s="38">
        <v>0</v>
      </c>
    </row>
    <row r="6575" spans="1:29" x14ac:dyDescent="0.25">
      <c r="A6575" s="22">
        <v>44926</v>
      </c>
      <c r="B6575" s="9">
        <v>15</v>
      </c>
      <c r="C6575" s="9">
        <v>3.2</v>
      </c>
      <c r="D6575" s="9">
        <v>10</v>
      </c>
      <c r="E6575" s="7">
        <v>0</v>
      </c>
      <c r="F6575" s="44">
        <v>0.8</v>
      </c>
      <c r="G6575" s="6">
        <v>8</v>
      </c>
      <c r="H6575" s="7">
        <v>0</v>
      </c>
      <c r="I6575" s="9">
        <v>8.4</v>
      </c>
      <c r="J6575" s="6">
        <v>14.5</v>
      </c>
      <c r="K6575" s="6">
        <v>10</v>
      </c>
      <c r="L6575" s="7">
        <v>9.9060000000000006</v>
      </c>
      <c r="M6575" s="6">
        <v>7.4</v>
      </c>
      <c r="N6575" s="10">
        <v>6.4</v>
      </c>
      <c r="O6575" s="7"/>
      <c r="P6575" s="7">
        <v>12</v>
      </c>
      <c r="Q6575" s="6">
        <v>4.2</v>
      </c>
      <c r="R6575" s="9">
        <v>8</v>
      </c>
      <c r="S6575" s="10"/>
      <c r="T6575" s="15">
        <v>5.6</v>
      </c>
      <c r="U6575" s="16">
        <v>8</v>
      </c>
      <c r="V6575" s="7">
        <v>10.199999999999999</v>
      </c>
      <c r="W6575" s="9">
        <v>8.3000000000000007</v>
      </c>
      <c r="X6575" s="9">
        <v>6</v>
      </c>
      <c r="Y6575" s="9">
        <v>0</v>
      </c>
      <c r="Z6575" s="9">
        <v>0</v>
      </c>
      <c r="AA6575" s="9">
        <v>6</v>
      </c>
      <c r="AC6575" s="38">
        <v>0</v>
      </c>
    </row>
    <row r="6576" spans="1:29" x14ac:dyDescent="0.25">
      <c r="A6576" s="22">
        <v>44927</v>
      </c>
      <c r="B6576" s="9">
        <v>10</v>
      </c>
      <c r="C6576" s="9">
        <v>1.8</v>
      </c>
      <c r="D6576" s="9">
        <v>1.2</v>
      </c>
      <c r="E6576" s="7"/>
      <c r="F6576" s="9">
        <v>0.8</v>
      </c>
      <c r="G6576" s="9">
        <v>3</v>
      </c>
      <c r="H6576" s="9">
        <v>3</v>
      </c>
      <c r="I6576" s="9">
        <v>1.1000000000000001</v>
      </c>
      <c r="J6576" s="9">
        <v>1.6</v>
      </c>
      <c r="K6576" s="9">
        <v>2</v>
      </c>
      <c r="L6576" s="9">
        <v>0</v>
      </c>
      <c r="M6576" s="9">
        <v>0.6</v>
      </c>
      <c r="N6576" s="9">
        <v>7.6</v>
      </c>
      <c r="O6576" s="7"/>
      <c r="P6576" s="9">
        <v>0</v>
      </c>
      <c r="Q6576" s="9">
        <v>0</v>
      </c>
      <c r="R6576" s="9">
        <v>0</v>
      </c>
      <c r="S6576" s="8"/>
      <c r="T6576" s="15">
        <v>2.2000000000000002</v>
      </c>
      <c r="U6576" s="9">
        <v>5</v>
      </c>
      <c r="V6576" s="9">
        <v>2.1</v>
      </c>
      <c r="W6576" s="9">
        <v>2.2000000000000002</v>
      </c>
      <c r="X6576" s="9">
        <v>0</v>
      </c>
      <c r="Y6576" s="9">
        <v>0</v>
      </c>
      <c r="Z6576" s="9">
        <v>0</v>
      </c>
      <c r="AA6576" s="9">
        <v>10</v>
      </c>
      <c r="AC6576" s="38">
        <v>0</v>
      </c>
    </row>
    <row r="6577" spans="1:29" x14ac:dyDescent="0.25">
      <c r="A6577" s="22">
        <v>44928</v>
      </c>
      <c r="B6577" s="9">
        <v>0</v>
      </c>
      <c r="C6577" s="9">
        <v>17</v>
      </c>
      <c r="D6577" s="9">
        <v>23.6</v>
      </c>
      <c r="E6577" s="7"/>
      <c r="F6577" s="9">
        <v>18.399999999999999</v>
      </c>
      <c r="G6577" s="9">
        <v>23</v>
      </c>
      <c r="H6577" s="9">
        <v>19.2</v>
      </c>
      <c r="I6577" s="9">
        <v>11.4</v>
      </c>
      <c r="J6577" s="9">
        <v>40.5</v>
      </c>
      <c r="K6577" s="9">
        <v>25</v>
      </c>
      <c r="L6577" s="9">
        <v>4.7</v>
      </c>
      <c r="M6577" s="9">
        <v>17.2</v>
      </c>
      <c r="N6577" s="9">
        <v>13.2</v>
      </c>
      <c r="O6577" s="7"/>
      <c r="P6577" s="9">
        <v>0</v>
      </c>
      <c r="Q6577" s="9">
        <v>15</v>
      </c>
      <c r="R6577" s="9">
        <v>12</v>
      </c>
      <c r="S6577" s="8"/>
      <c r="T6577" s="15">
        <v>0.8</v>
      </c>
      <c r="U6577" s="9">
        <v>15</v>
      </c>
      <c r="V6577" s="9">
        <v>40.5</v>
      </c>
      <c r="W6577" s="9">
        <v>24.4</v>
      </c>
      <c r="X6577" s="9">
        <v>7</v>
      </c>
      <c r="Y6577" s="9">
        <v>2</v>
      </c>
      <c r="Z6577" s="9">
        <v>0</v>
      </c>
      <c r="AA6577" s="9">
        <v>10</v>
      </c>
      <c r="AC6577" s="38">
        <v>0</v>
      </c>
    </row>
    <row r="6578" spans="1:29" x14ac:dyDescent="0.25">
      <c r="A6578" s="22">
        <v>44929</v>
      </c>
      <c r="B6578" s="9">
        <v>20</v>
      </c>
      <c r="C6578" s="9">
        <v>9.1999999999999993</v>
      </c>
      <c r="D6578" s="9">
        <v>14</v>
      </c>
      <c r="E6578" s="7"/>
      <c r="F6578" s="9">
        <v>0.2</v>
      </c>
      <c r="G6578" s="9">
        <v>5</v>
      </c>
      <c r="H6578" s="9">
        <v>0</v>
      </c>
      <c r="I6578" s="9">
        <v>11.4</v>
      </c>
      <c r="J6578" s="9">
        <v>4.2</v>
      </c>
      <c r="K6578" s="9">
        <v>25</v>
      </c>
      <c r="L6578" s="9">
        <v>11.2</v>
      </c>
      <c r="M6578" s="9">
        <v>1.8</v>
      </c>
      <c r="N6578" s="9">
        <v>2.6</v>
      </c>
      <c r="O6578" s="7"/>
      <c r="P6578" s="9">
        <v>4</v>
      </c>
      <c r="Q6578" s="9">
        <v>5.0999999999999996</v>
      </c>
      <c r="R6578" s="9">
        <v>3.1</v>
      </c>
      <c r="S6578" s="8"/>
      <c r="T6578" s="15">
        <v>1.2</v>
      </c>
      <c r="U6578" s="9">
        <v>8</v>
      </c>
      <c r="V6578" s="9">
        <v>0.3</v>
      </c>
      <c r="W6578" s="9">
        <v>0.4</v>
      </c>
      <c r="X6578" s="9">
        <v>0</v>
      </c>
      <c r="Y6578" s="9">
        <v>0</v>
      </c>
      <c r="Z6578" s="9">
        <v>2</v>
      </c>
      <c r="AA6578" s="9">
        <v>3</v>
      </c>
      <c r="AC6578" s="38">
        <v>0</v>
      </c>
    </row>
    <row r="6579" spans="1:29" x14ac:dyDescent="0.25">
      <c r="A6579" s="22">
        <v>44930</v>
      </c>
      <c r="B6579" s="9">
        <v>2</v>
      </c>
      <c r="C6579" s="9">
        <v>8.8000000000000007</v>
      </c>
      <c r="D6579" s="9">
        <v>4.5999999999999996</v>
      </c>
      <c r="E6579" s="7"/>
      <c r="F6579" s="9">
        <v>1.6</v>
      </c>
      <c r="G6579" s="9">
        <v>6.25</v>
      </c>
      <c r="H6579" s="9">
        <v>0</v>
      </c>
      <c r="I6579" s="9">
        <v>0</v>
      </c>
      <c r="J6579" s="9">
        <v>6.5</v>
      </c>
      <c r="K6579" s="9">
        <v>14</v>
      </c>
      <c r="L6579" s="9">
        <v>0</v>
      </c>
      <c r="M6579" s="9">
        <v>4</v>
      </c>
      <c r="N6579" s="9">
        <v>1.8</v>
      </c>
      <c r="O6579" s="7"/>
      <c r="P6579" s="9">
        <v>4</v>
      </c>
      <c r="Q6579" s="9">
        <v>1.6</v>
      </c>
      <c r="R6579" s="9">
        <v>0</v>
      </c>
      <c r="S6579" s="8"/>
      <c r="T6579" s="15">
        <v>1.4</v>
      </c>
      <c r="U6579" s="9">
        <v>5</v>
      </c>
      <c r="V6579" s="9">
        <v>6.5</v>
      </c>
      <c r="W6579" s="9">
        <v>2.4</v>
      </c>
      <c r="X6579" s="9">
        <v>1</v>
      </c>
      <c r="Y6579" s="9">
        <v>0</v>
      </c>
      <c r="Z6579" s="9">
        <v>2</v>
      </c>
      <c r="AA6579" s="9">
        <v>2</v>
      </c>
      <c r="AC6579" s="38">
        <v>0</v>
      </c>
    </row>
    <row r="6580" spans="1:29" x14ac:dyDescent="0.25">
      <c r="A6580" s="22">
        <v>44931</v>
      </c>
      <c r="B6580" s="9">
        <v>13</v>
      </c>
      <c r="C6580" s="9">
        <v>9.4</v>
      </c>
      <c r="D6580" s="9">
        <v>10.8</v>
      </c>
      <c r="E6580" s="7"/>
      <c r="F6580" s="9">
        <v>1.8</v>
      </c>
      <c r="G6580" s="9">
        <v>4.25</v>
      </c>
      <c r="H6580" s="9">
        <v>3.7</v>
      </c>
      <c r="I6580" s="9">
        <v>2.8</v>
      </c>
      <c r="J6580" s="9">
        <v>12</v>
      </c>
      <c r="K6580" s="9">
        <v>6.6</v>
      </c>
      <c r="L6580" s="9">
        <v>3.3</v>
      </c>
      <c r="M6580" s="9">
        <v>2.4</v>
      </c>
      <c r="N6580" s="9">
        <v>4.5999999999999996</v>
      </c>
      <c r="O6580" s="7"/>
      <c r="P6580" s="9">
        <v>4</v>
      </c>
      <c r="Q6580" s="9">
        <v>1.2</v>
      </c>
      <c r="R6580" s="9">
        <v>1</v>
      </c>
      <c r="S6580" s="8"/>
      <c r="T6580" s="15">
        <v>8.8000000000000007</v>
      </c>
      <c r="U6580" s="9">
        <v>0</v>
      </c>
      <c r="V6580" s="9">
        <v>10.199999999999999</v>
      </c>
      <c r="W6580" s="9">
        <v>6.3</v>
      </c>
      <c r="X6580" s="9">
        <v>0</v>
      </c>
      <c r="Y6580" s="9">
        <v>1</v>
      </c>
      <c r="Z6580" s="9">
        <v>0</v>
      </c>
      <c r="AA6580" s="9">
        <v>1</v>
      </c>
      <c r="AC6580" s="38">
        <v>0</v>
      </c>
    </row>
    <row r="6581" spans="1:29" x14ac:dyDescent="0.25">
      <c r="A6581" s="22">
        <v>44932</v>
      </c>
      <c r="B6581" s="9">
        <v>4</v>
      </c>
      <c r="C6581" s="9">
        <v>13.6</v>
      </c>
      <c r="D6581" s="9">
        <v>21</v>
      </c>
      <c r="E6581" s="7"/>
      <c r="F6581" s="9">
        <v>2</v>
      </c>
      <c r="G6581" s="9">
        <v>10.25</v>
      </c>
      <c r="H6581" s="9">
        <v>6.5</v>
      </c>
      <c r="I6581" s="9">
        <v>8.1</v>
      </c>
      <c r="J6581" s="9">
        <v>12.5</v>
      </c>
      <c r="K6581" s="9">
        <v>12</v>
      </c>
      <c r="L6581" s="9">
        <v>3.81</v>
      </c>
      <c r="M6581" s="9">
        <v>10</v>
      </c>
      <c r="N6581" s="9">
        <v>7.2</v>
      </c>
      <c r="O6581" s="7"/>
      <c r="P6581" s="9">
        <v>2</v>
      </c>
      <c r="Q6581" s="9">
        <v>4</v>
      </c>
      <c r="R6581" s="9">
        <v>3.2</v>
      </c>
      <c r="S6581" s="8"/>
      <c r="T6581" s="15">
        <v>4</v>
      </c>
      <c r="U6581" s="9">
        <v>30</v>
      </c>
      <c r="V6581" s="9">
        <v>10.3</v>
      </c>
      <c r="W6581" s="9">
        <v>10.4</v>
      </c>
      <c r="X6581" s="9">
        <v>10</v>
      </c>
      <c r="Y6581" s="9">
        <v>6</v>
      </c>
      <c r="Z6581" s="9">
        <v>8</v>
      </c>
      <c r="AA6581" s="9">
        <v>4</v>
      </c>
      <c r="AC6581" s="38">
        <v>0</v>
      </c>
    </row>
    <row r="6582" spans="1:29" x14ac:dyDescent="0.25">
      <c r="A6582" s="22">
        <v>44933</v>
      </c>
      <c r="B6582" s="9">
        <v>68</v>
      </c>
      <c r="C6582" s="9">
        <v>35.200000000000003</v>
      </c>
      <c r="D6582" s="9">
        <v>36.799999999999997</v>
      </c>
      <c r="E6582" s="7"/>
      <c r="F6582" s="9">
        <v>29</v>
      </c>
      <c r="G6582" s="9">
        <v>32.5</v>
      </c>
      <c r="H6582" s="9">
        <v>50.8</v>
      </c>
      <c r="I6582" s="9">
        <v>11.4</v>
      </c>
      <c r="J6582" s="9">
        <v>34</v>
      </c>
      <c r="K6582" s="9">
        <v>28.4</v>
      </c>
      <c r="L6582" s="9">
        <v>55.9</v>
      </c>
      <c r="M6582" s="9">
        <v>38</v>
      </c>
      <c r="N6582" s="9">
        <v>39.799999999999997</v>
      </c>
      <c r="O6582" s="7"/>
      <c r="P6582" s="9">
        <v>62.5</v>
      </c>
      <c r="Q6582" s="9">
        <v>36.799999999999997</v>
      </c>
      <c r="R6582" s="9">
        <v>0</v>
      </c>
      <c r="S6582" s="8"/>
      <c r="T6582" s="15">
        <v>6.4</v>
      </c>
      <c r="U6582" s="9">
        <v>78</v>
      </c>
      <c r="V6582" s="9">
        <v>30.4</v>
      </c>
      <c r="W6582" s="9">
        <v>34.299999999999997</v>
      </c>
      <c r="X6582" s="9">
        <v>36</v>
      </c>
      <c r="Y6582" s="9">
        <v>0</v>
      </c>
      <c r="Z6582" s="9">
        <v>68</v>
      </c>
      <c r="AA6582" s="9">
        <v>24</v>
      </c>
      <c r="AC6582" s="38">
        <v>0</v>
      </c>
    </row>
    <row r="6583" spans="1:29" x14ac:dyDescent="0.25">
      <c r="A6583" s="22">
        <v>44934</v>
      </c>
      <c r="B6583" s="9">
        <v>36</v>
      </c>
      <c r="C6583" s="9">
        <v>57.8</v>
      </c>
      <c r="D6583" s="9">
        <v>58.8</v>
      </c>
      <c r="E6583" s="7"/>
      <c r="F6583" s="9">
        <v>12.4</v>
      </c>
      <c r="G6583" s="9">
        <v>29</v>
      </c>
      <c r="H6583" s="9">
        <v>16.600000000000001</v>
      </c>
      <c r="I6583" s="9">
        <v>18.399999999999999</v>
      </c>
      <c r="J6583" s="9">
        <v>15.8</v>
      </c>
      <c r="K6583" s="9">
        <v>27</v>
      </c>
      <c r="L6583" s="9">
        <v>24</v>
      </c>
      <c r="M6583" s="9">
        <v>40.4</v>
      </c>
      <c r="N6583" s="9">
        <v>21.4</v>
      </c>
      <c r="O6583" s="7"/>
      <c r="P6583" s="9">
        <v>18</v>
      </c>
      <c r="Q6583" s="9">
        <v>54.2</v>
      </c>
      <c r="R6583" s="9">
        <v>0</v>
      </c>
      <c r="S6583" s="8"/>
      <c r="T6583" s="15">
        <v>0.4</v>
      </c>
      <c r="U6583" s="9">
        <v>20</v>
      </c>
      <c r="V6583" s="9">
        <v>7.2</v>
      </c>
      <c r="W6583" s="9">
        <v>4.4000000000000004</v>
      </c>
      <c r="X6583" s="9">
        <v>12</v>
      </c>
      <c r="Y6583" s="9">
        <v>0</v>
      </c>
      <c r="Z6583" s="9">
        <v>4</v>
      </c>
      <c r="AA6583" s="9">
        <v>0</v>
      </c>
      <c r="AC6583" s="38">
        <v>0</v>
      </c>
    </row>
    <row r="6584" spans="1:29" x14ac:dyDescent="0.25">
      <c r="A6584" s="22">
        <v>44935</v>
      </c>
      <c r="B6584" s="9">
        <v>36</v>
      </c>
      <c r="C6584" s="9">
        <v>10.199999999999999</v>
      </c>
      <c r="D6584" s="9">
        <v>10.8</v>
      </c>
      <c r="E6584" s="7"/>
      <c r="F6584" s="9">
        <v>3.2</v>
      </c>
      <c r="G6584" s="9">
        <v>8.25</v>
      </c>
      <c r="H6584" s="9">
        <v>2</v>
      </c>
      <c r="I6584" s="9">
        <v>4.8</v>
      </c>
      <c r="J6584" s="9">
        <v>6.5</v>
      </c>
      <c r="K6584" s="9">
        <v>12.5</v>
      </c>
      <c r="L6584" s="9">
        <v>9.6999999999999993</v>
      </c>
      <c r="M6584" s="9">
        <v>26.6</v>
      </c>
      <c r="N6584" s="9">
        <v>9.4</v>
      </c>
      <c r="O6584" s="7"/>
      <c r="P6584" s="9">
        <v>16</v>
      </c>
      <c r="Q6584" s="9">
        <v>3</v>
      </c>
      <c r="R6584" s="9">
        <v>0</v>
      </c>
      <c r="S6584" s="8"/>
      <c r="T6584" s="15">
        <v>1.4</v>
      </c>
      <c r="U6584" s="9">
        <v>15</v>
      </c>
      <c r="V6584" s="9">
        <v>0.4</v>
      </c>
      <c r="W6584" s="9">
        <v>4.0999999999999996</v>
      </c>
      <c r="X6584" s="9">
        <v>2</v>
      </c>
      <c r="Y6584" s="9">
        <v>0</v>
      </c>
      <c r="Z6584" s="9">
        <v>10</v>
      </c>
      <c r="AA6584" s="9"/>
      <c r="AC6584" s="38">
        <v>0</v>
      </c>
    </row>
    <row r="6585" spans="1:29" x14ac:dyDescent="0.25">
      <c r="A6585" s="22">
        <v>44936</v>
      </c>
      <c r="B6585" s="9">
        <v>14.5</v>
      </c>
      <c r="C6585" s="9">
        <v>6.6</v>
      </c>
      <c r="D6585" s="9">
        <v>4.8</v>
      </c>
      <c r="E6585" s="7"/>
      <c r="F6585" s="9">
        <v>2.8</v>
      </c>
      <c r="G6585" s="9">
        <v>10</v>
      </c>
      <c r="H6585" s="9">
        <v>4.9000000000000004</v>
      </c>
      <c r="I6585" s="9">
        <v>14.2</v>
      </c>
      <c r="J6585" s="9">
        <v>5.8</v>
      </c>
      <c r="K6585" s="9">
        <v>6.2</v>
      </c>
      <c r="L6585" s="9">
        <v>9.9</v>
      </c>
      <c r="M6585" s="9">
        <v>12.2</v>
      </c>
      <c r="N6585" s="9">
        <v>2</v>
      </c>
      <c r="O6585" s="7"/>
      <c r="P6585" s="9">
        <v>4</v>
      </c>
      <c r="Q6585" s="9">
        <v>4</v>
      </c>
      <c r="R6585" s="9">
        <v>0</v>
      </c>
      <c r="S6585" s="8"/>
      <c r="T6585" s="15">
        <v>0</v>
      </c>
      <c r="U6585" s="9">
        <v>18</v>
      </c>
      <c r="V6585" s="9">
        <v>5.2</v>
      </c>
      <c r="W6585" s="9">
        <v>0.6</v>
      </c>
      <c r="X6585" s="9">
        <v>0</v>
      </c>
      <c r="Y6585" s="9">
        <v>0</v>
      </c>
      <c r="Z6585" s="9">
        <v>10</v>
      </c>
      <c r="AA6585" s="9">
        <v>0</v>
      </c>
      <c r="AC6585" s="38">
        <v>0</v>
      </c>
    </row>
    <row r="6586" spans="1:29" x14ac:dyDescent="0.25">
      <c r="A6586" s="22">
        <v>44937</v>
      </c>
      <c r="B6586" s="9">
        <v>41</v>
      </c>
      <c r="C6586" s="9">
        <v>25.6</v>
      </c>
      <c r="D6586" s="9">
        <v>34.200000000000003</v>
      </c>
      <c r="E6586" s="7"/>
      <c r="F6586" s="9">
        <v>3.8</v>
      </c>
      <c r="G6586" s="9">
        <v>32</v>
      </c>
      <c r="H6586" s="9">
        <v>40</v>
      </c>
      <c r="I6586" s="9">
        <v>22</v>
      </c>
      <c r="J6586" s="9">
        <v>22</v>
      </c>
      <c r="K6586" s="9">
        <v>26.4</v>
      </c>
      <c r="L6586" s="9">
        <v>25.4</v>
      </c>
      <c r="M6586" s="9">
        <v>34.700000000000003</v>
      </c>
      <c r="N6586" s="9">
        <v>42</v>
      </c>
      <c r="O6586" s="7"/>
      <c r="P6586" s="9">
        <v>60</v>
      </c>
      <c r="Q6586" s="9">
        <v>59</v>
      </c>
      <c r="R6586" s="9">
        <v>64</v>
      </c>
      <c r="S6586" s="8"/>
      <c r="T6586" s="15">
        <v>3.4</v>
      </c>
      <c r="U6586" s="9">
        <v>60</v>
      </c>
      <c r="V6586" s="9">
        <v>35.299999999999997</v>
      </c>
      <c r="W6586" s="9">
        <v>32.200000000000003</v>
      </c>
      <c r="X6586" s="9">
        <v>67</v>
      </c>
      <c r="Y6586" s="9">
        <v>51</v>
      </c>
      <c r="Z6586" s="9">
        <v>8</v>
      </c>
      <c r="AA6586" s="9">
        <v>68</v>
      </c>
      <c r="AC6586" s="38">
        <v>0</v>
      </c>
    </row>
    <row r="6587" spans="1:29" x14ac:dyDescent="0.25">
      <c r="A6587" s="22">
        <v>44938</v>
      </c>
      <c r="B6587" s="9">
        <v>5</v>
      </c>
      <c r="C6587" s="9">
        <v>1.6</v>
      </c>
      <c r="D6587" s="9">
        <v>2.2000000000000002</v>
      </c>
      <c r="E6587" s="7"/>
      <c r="F6587" s="9">
        <v>5.6</v>
      </c>
      <c r="G6587" s="9">
        <v>1.75</v>
      </c>
      <c r="H6587" s="9">
        <v>40</v>
      </c>
      <c r="I6587" s="9">
        <v>0.2</v>
      </c>
      <c r="J6587" s="9">
        <v>2</v>
      </c>
      <c r="K6587" s="9">
        <v>26.4</v>
      </c>
      <c r="L6587" s="9">
        <v>8.3000000000000007</v>
      </c>
      <c r="M6587" s="9">
        <v>1.4</v>
      </c>
      <c r="N6587" s="9">
        <v>9.1999999999999993</v>
      </c>
      <c r="O6587" s="7"/>
      <c r="P6587" s="9">
        <v>4</v>
      </c>
      <c r="Q6587" s="9">
        <v>2.2000000000000002</v>
      </c>
      <c r="R6587" s="9">
        <v>3</v>
      </c>
      <c r="S6587" s="8"/>
      <c r="T6587" s="15">
        <v>0</v>
      </c>
      <c r="U6587" s="9">
        <v>4</v>
      </c>
      <c r="V6587" s="9">
        <v>0</v>
      </c>
      <c r="W6587" s="9">
        <v>0</v>
      </c>
      <c r="X6587" s="9">
        <v>0</v>
      </c>
      <c r="Y6587" s="9">
        <v>2</v>
      </c>
      <c r="Z6587" s="9">
        <v>4</v>
      </c>
      <c r="AA6587" s="9">
        <v>5</v>
      </c>
      <c r="AC6587" s="38">
        <v>0</v>
      </c>
    </row>
    <row r="6588" spans="1:29" x14ac:dyDescent="0.25">
      <c r="A6588" s="22">
        <v>44939</v>
      </c>
      <c r="B6588" s="9">
        <v>5</v>
      </c>
      <c r="C6588" s="9">
        <v>1.6</v>
      </c>
      <c r="D6588" s="9">
        <v>2.2000000000000002</v>
      </c>
      <c r="E6588" s="7"/>
      <c r="F6588" s="9">
        <v>6.2</v>
      </c>
      <c r="G6588" s="9">
        <v>10.25</v>
      </c>
      <c r="H6588" s="9">
        <v>5.9</v>
      </c>
      <c r="I6588" s="9">
        <v>0.2</v>
      </c>
      <c r="J6588" s="9">
        <v>4</v>
      </c>
      <c r="K6588" s="9">
        <v>4.2</v>
      </c>
      <c r="L6588" s="9">
        <v>8.3000000000000007</v>
      </c>
      <c r="M6588" s="9">
        <v>0.4</v>
      </c>
      <c r="N6588" s="9">
        <v>1.6</v>
      </c>
      <c r="O6588" s="7"/>
      <c r="P6588" s="9">
        <v>4</v>
      </c>
      <c r="Q6588" s="9">
        <v>2.2000000000000002</v>
      </c>
      <c r="R6588" s="9">
        <v>3</v>
      </c>
      <c r="S6588" s="10"/>
      <c r="T6588" s="15">
        <v>0.2</v>
      </c>
      <c r="U6588" s="9">
        <v>4</v>
      </c>
      <c r="V6588" s="9">
        <v>0.4</v>
      </c>
      <c r="W6588" s="9">
        <v>4.4000000000000004</v>
      </c>
      <c r="X6588" s="9">
        <v>0</v>
      </c>
      <c r="Y6588" s="9">
        <v>2</v>
      </c>
      <c r="Z6588" s="9">
        <v>4</v>
      </c>
      <c r="AA6588" s="9">
        <v>4</v>
      </c>
      <c r="AC6588" s="38">
        <v>0</v>
      </c>
    </row>
    <row r="6589" spans="1:29" x14ac:dyDescent="0.25">
      <c r="A6589" s="22">
        <v>44940</v>
      </c>
      <c r="B6589" s="9">
        <v>0</v>
      </c>
      <c r="C6589" s="9">
        <v>2</v>
      </c>
      <c r="D6589" s="9">
        <v>0</v>
      </c>
      <c r="E6589" s="7"/>
      <c r="F6589" s="9">
        <v>5.8</v>
      </c>
      <c r="G6589" s="9">
        <v>1</v>
      </c>
      <c r="H6589" s="9">
        <v>0.9</v>
      </c>
      <c r="I6589" s="9">
        <v>1</v>
      </c>
      <c r="J6589" s="9">
        <v>2</v>
      </c>
      <c r="K6589" s="9">
        <v>1.1000000000000001</v>
      </c>
      <c r="L6589" s="9">
        <v>1.3</v>
      </c>
      <c r="M6589" s="9">
        <v>8.5</v>
      </c>
      <c r="N6589" s="9">
        <v>3.6</v>
      </c>
      <c r="O6589" s="7"/>
      <c r="P6589" s="9">
        <v>1</v>
      </c>
      <c r="Q6589" s="9">
        <v>1.2</v>
      </c>
      <c r="R6589" s="9">
        <v>0</v>
      </c>
      <c r="S6589" s="10"/>
      <c r="T6589" s="15">
        <v>2</v>
      </c>
      <c r="U6589" s="9">
        <v>40</v>
      </c>
      <c r="V6589" s="9">
        <v>0</v>
      </c>
      <c r="W6589" s="9">
        <v>0</v>
      </c>
      <c r="X6589" s="9">
        <v>1</v>
      </c>
      <c r="Y6589" s="9">
        <v>12</v>
      </c>
      <c r="Z6589" s="9">
        <v>20</v>
      </c>
      <c r="AA6589" s="9">
        <v>1</v>
      </c>
      <c r="AC6589" s="38">
        <v>0</v>
      </c>
    </row>
    <row r="6590" spans="1:29" x14ac:dyDescent="0.25">
      <c r="A6590" s="22">
        <v>44941</v>
      </c>
      <c r="B6590" s="9">
        <v>0</v>
      </c>
      <c r="C6590" s="9">
        <v>6</v>
      </c>
      <c r="D6590" s="9">
        <v>0</v>
      </c>
      <c r="E6590" s="7"/>
      <c r="F6590" s="9">
        <v>6.6</v>
      </c>
      <c r="G6590" s="9">
        <v>2</v>
      </c>
      <c r="H6590" s="9">
        <v>0</v>
      </c>
      <c r="I6590" s="9">
        <v>0.8</v>
      </c>
      <c r="J6590" s="9">
        <v>3.9</v>
      </c>
      <c r="K6590" s="9">
        <v>2</v>
      </c>
      <c r="L6590" s="9">
        <v>1.3</v>
      </c>
      <c r="M6590" s="9">
        <v>2.4</v>
      </c>
      <c r="N6590" s="9">
        <v>1</v>
      </c>
      <c r="O6590" s="7"/>
      <c r="P6590" s="9">
        <v>1</v>
      </c>
      <c r="Q6590" s="9">
        <v>1.2</v>
      </c>
      <c r="R6590" s="9">
        <v>0</v>
      </c>
      <c r="S6590" s="10"/>
      <c r="T6590" s="15">
        <v>0</v>
      </c>
      <c r="U6590" s="9">
        <v>10</v>
      </c>
      <c r="V6590" s="9">
        <v>3.1</v>
      </c>
      <c r="W6590" s="9">
        <v>2.2000000000000002</v>
      </c>
      <c r="X6590" s="9">
        <v>1</v>
      </c>
      <c r="Y6590" s="9">
        <v>0</v>
      </c>
      <c r="Z6590" s="9">
        <v>0</v>
      </c>
      <c r="AA6590" s="9">
        <v>4</v>
      </c>
      <c r="AC6590" s="38">
        <v>0</v>
      </c>
    </row>
    <row r="6591" spans="1:29" x14ac:dyDescent="0.25">
      <c r="A6591" s="22">
        <v>44942</v>
      </c>
      <c r="B6591" s="9">
        <v>0</v>
      </c>
      <c r="C6591" s="9">
        <v>0</v>
      </c>
      <c r="D6591" s="9">
        <v>0</v>
      </c>
      <c r="E6591" s="7"/>
      <c r="F6591" s="9">
        <v>9.1999999999999993</v>
      </c>
      <c r="G6591" s="9">
        <v>0</v>
      </c>
      <c r="H6591" s="9">
        <v>2</v>
      </c>
      <c r="I6591" s="9">
        <v>0</v>
      </c>
      <c r="J6591" s="9">
        <v>0</v>
      </c>
      <c r="K6591" s="9">
        <v>5</v>
      </c>
      <c r="L6591" s="9">
        <v>1.3</v>
      </c>
      <c r="M6591" s="9">
        <v>1</v>
      </c>
      <c r="N6591" s="9">
        <v>14</v>
      </c>
      <c r="O6591" s="7"/>
      <c r="P6591" s="9">
        <v>1</v>
      </c>
      <c r="Q6591" s="9">
        <v>1.2</v>
      </c>
      <c r="R6591" s="9">
        <v>0</v>
      </c>
      <c r="S6591" s="10"/>
      <c r="T6591" s="15">
        <v>20</v>
      </c>
      <c r="U6591" s="9">
        <v>0</v>
      </c>
      <c r="V6591" s="9">
        <v>0</v>
      </c>
      <c r="W6591" s="9">
        <v>3.3</v>
      </c>
      <c r="X6591" s="9">
        <v>1</v>
      </c>
      <c r="Y6591" s="9">
        <v>0</v>
      </c>
      <c r="Z6591" s="9">
        <v>0</v>
      </c>
      <c r="AA6591" s="9">
        <v>12</v>
      </c>
      <c r="AC6591" s="38">
        <v>0</v>
      </c>
    </row>
    <row r="6592" spans="1:29" x14ac:dyDescent="0.25">
      <c r="A6592" s="22">
        <v>44943</v>
      </c>
      <c r="B6592" s="9">
        <v>12.5</v>
      </c>
      <c r="C6592" s="9">
        <v>22.4</v>
      </c>
      <c r="D6592" s="9">
        <v>4</v>
      </c>
      <c r="E6592" s="7"/>
      <c r="F6592" s="9">
        <v>11.2</v>
      </c>
      <c r="G6592" s="9">
        <v>1</v>
      </c>
      <c r="H6592" s="9">
        <v>9.9</v>
      </c>
      <c r="I6592" s="9">
        <v>7.4</v>
      </c>
      <c r="J6592" s="9">
        <v>11.8</v>
      </c>
      <c r="K6592" s="9">
        <v>7</v>
      </c>
      <c r="L6592" s="9">
        <v>1.8</v>
      </c>
      <c r="M6592" s="9">
        <v>20.2</v>
      </c>
      <c r="N6592" s="9">
        <v>5</v>
      </c>
      <c r="O6592" s="7"/>
      <c r="P6592" s="9">
        <v>3</v>
      </c>
      <c r="Q6592" s="9">
        <v>3.7</v>
      </c>
      <c r="R6592" s="9">
        <v>3.9</v>
      </c>
      <c r="S6592" s="10"/>
      <c r="T6592" s="15">
        <v>1.4</v>
      </c>
      <c r="U6592" s="9">
        <v>0</v>
      </c>
      <c r="V6592" s="9">
        <v>20.2</v>
      </c>
      <c r="W6592" s="9">
        <v>4.3</v>
      </c>
      <c r="X6592" s="9">
        <v>6</v>
      </c>
      <c r="Y6592" s="9">
        <v>3</v>
      </c>
      <c r="Z6592" s="9">
        <v>0</v>
      </c>
      <c r="AA6592" s="9">
        <v>2</v>
      </c>
      <c r="AC6592" s="38">
        <v>0</v>
      </c>
    </row>
    <row r="6593" spans="1:29" x14ac:dyDescent="0.25">
      <c r="A6593" s="22">
        <v>44944</v>
      </c>
      <c r="B6593" s="9">
        <v>12.5</v>
      </c>
      <c r="C6593" s="9">
        <v>22.4</v>
      </c>
      <c r="D6593" s="9">
        <v>4</v>
      </c>
      <c r="E6593" s="7"/>
      <c r="F6593" s="9">
        <v>13.4</v>
      </c>
      <c r="G6593" s="9">
        <v>4</v>
      </c>
      <c r="H6593" s="9">
        <v>0</v>
      </c>
      <c r="I6593" s="9">
        <v>1.7</v>
      </c>
      <c r="J6593" s="9">
        <v>10.5</v>
      </c>
      <c r="K6593" s="9">
        <v>11</v>
      </c>
      <c r="L6593" s="9">
        <v>1.8</v>
      </c>
      <c r="M6593" s="9">
        <v>2.4</v>
      </c>
      <c r="N6593" s="9">
        <v>3.2</v>
      </c>
      <c r="O6593" s="7"/>
      <c r="P6593" s="9">
        <v>3</v>
      </c>
      <c r="Q6593" s="9">
        <v>3.7</v>
      </c>
      <c r="R6593" s="9">
        <v>3.9</v>
      </c>
      <c r="S6593" s="10"/>
      <c r="T6593" s="15">
        <v>2</v>
      </c>
      <c r="U6593" s="9">
        <v>0</v>
      </c>
      <c r="V6593" s="9">
        <v>8.1999999999999993</v>
      </c>
      <c r="W6593" s="9">
        <v>5.2</v>
      </c>
      <c r="X6593" s="9">
        <v>6</v>
      </c>
      <c r="Y6593" s="9">
        <v>3</v>
      </c>
      <c r="Z6593" s="9">
        <v>0</v>
      </c>
      <c r="AA6593" s="9">
        <v>2</v>
      </c>
      <c r="AC6593" s="38">
        <v>0</v>
      </c>
    </row>
    <row r="6594" spans="1:29" x14ac:dyDescent="0.25">
      <c r="A6594" s="22">
        <v>44945</v>
      </c>
      <c r="B6594" s="9">
        <v>6.5</v>
      </c>
      <c r="C6594" s="9">
        <v>1.2</v>
      </c>
      <c r="D6594" s="9">
        <v>9</v>
      </c>
      <c r="E6594" s="7"/>
      <c r="F6594" s="9">
        <v>1</v>
      </c>
      <c r="G6594" s="9">
        <v>2</v>
      </c>
      <c r="H6594" s="9">
        <v>1.2</v>
      </c>
      <c r="I6594" s="9">
        <v>2.8</v>
      </c>
      <c r="J6594" s="9">
        <v>4</v>
      </c>
      <c r="K6594" s="9">
        <v>5</v>
      </c>
      <c r="L6594" s="9">
        <v>1.7</v>
      </c>
      <c r="M6594" s="9">
        <v>0.21</v>
      </c>
      <c r="N6594" s="9">
        <v>8.1999999999999993</v>
      </c>
      <c r="O6594" s="7"/>
      <c r="P6594" s="9">
        <v>4</v>
      </c>
      <c r="Q6594" s="9">
        <v>3.5</v>
      </c>
      <c r="R6594" s="9">
        <v>0</v>
      </c>
      <c r="S6594" s="10"/>
      <c r="T6594" s="15">
        <v>0</v>
      </c>
      <c r="U6594" s="9">
        <v>12</v>
      </c>
      <c r="V6594" s="9">
        <v>2.2000000000000002</v>
      </c>
      <c r="W6594" s="9">
        <v>0</v>
      </c>
      <c r="X6594" s="9">
        <v>3</v>
      </c>
      <c r="Y6594" s="9">
        <v>1</v>
      </c>
      <c r="Z6594" s="9">
        <v>0</v>
      </c>
      <c r="AA6594" s="9">
        <v>0</v>
      </c>
      <c r="AC6594" s="38">
        <v>0</v>
      </c>
    </row>
    <row r="6595" spans="1:29" x14ac:dyDescent="0.25">
      <c r="A6595" s="22">
        <v>44946</v>
      </c>
      <c r="B6595" s="9">
        <v>0</v>
      </c>
      <c r="C6595" s="9">
        <v>11</v>
      </c>
      <c r="D6595" s="9">
        <v>10.199999999999999</v>
      </c>
      <c r="E6595" s="7"/>
      <c r="F6595" s="9">
        <v>1.6</v>
      </c>
      <c r="G6595" s="9">
        <v>6.5</v>
      </c>
      <c r="H6595" s="9">
        <v>6</v>
      </c>
      <c r="I6595" s="9">
        <v>9.1999999999999993</v>
      </c>
      <c r="J6595" s="9">
        <v>6.5</v>
      </c>
      <c r="K6595" s="9">
        <v>8.1999999999999993</v>
      </c>
      <c r="L6595" s="9">
        <v>2.8</v>
      </c>
      <c r="M6595" s="9">
        <v>5</v>
      </c>
      <c r="N6595" s="9">
        <v>1.4</v>
      </c>
      <c r="O6595" s="7"/>
      <c r="P6595" s="9">
        <v>3</v>
      </c>
      <c r="Q6595" s="9">
        <v>4.2</v>
      </c>
      <c r="R6595" s="9">
        <v>2.2999999999999998</v>
      </c>
      <c r="S6595" s="10"/>
      <c r="T6595" s="15">
        <v>0.4</v>
      </c>
      <c r="U6595" s="9">
        <v>8</v>
      </c>
      <c r="V6595" s="9">
        <v>3.2</v>
      </c>
      <c r="W6595" s="9">
        <v>6.2</v>
      </c>
      <c r="X6595" s="9">
        <v>10</v>
      </c>
      <c r="Y6595" s="9">
        <v>0</v>
      </c>
      <c r="Z6595" s="9">
        <v>0</v>
      </c>
      <c r="AA6595" s="9">
        <v>1</v>
      </c>
      <c r="AC6595" s="38">
        <v>0</v>
      </c>
    </row>
    <row r="6596" spans="1:29" x14ac:dyDescent="0.25">
      <c r="A6596" s="22">
        <v>44947</v>
      </c>
      <c r="B6596" s="9">
        <v>0</v>
      </c>
      <c r="C6596" s="9">
        <v>0</v>
      </c>
      <c r="D6596" s="9">
        <v>1</v>
      </c>
      <c r="E6596" s="7"/>
      <c r="F6596" s="9">
        <v>1.2</v>
      </c>
      <c r="G6596" s="9">
        <v>1.8</v>
      </c>
      <c r="H6596" s="9">
        <v>0</v>
      </c>
      <c r="I6596" s="9">
        <v>1.4</v>
      </c>
      <c r="J6596" s="9">
        <v>2.5</v>
      </c>
      <c r="K6596" s="9">
        <v>1.2</v>
      </c>
      <c r="L6596" s="9">
        <v>0</v>
      </c>
      <c r="M6596" s="9">
        <v>0.2</v>
      </c>
      <c r="N6596" s="9">
        <v>1</v>
      </c>
      <c r="O6596" s="7"/>
      <c r="P6596" s="9">
        <v>0</v>
      </c>
      <c r="Q6596" s="9">
        <v>0</v>
      </c>
      <c r="R6596" s="9">
        <v>6.9</v>
      </c>
      <c r="S6596" s="10"/>
      <c r="T6596" s="15">
        <v>1.4</v>
      </c>
      <c r="U6596" s="9">
        <v>8</v>
      </c>
      <c r="V6596" s="9">
        <v>2.2000000000000002</v>
      </c>
      <c r="W6596" s="9">
        <v>4.2</v>
      </c>
      <c r="X6596" s="9">
        <v>0</v>
      </c>
      <c r="Y6596" s="9">
        <v>0</v>
      </c>
      <c r="Z6596" s="9">
        <v>0</v>
      </c>
      <c r="AA6596" s="9">
        <v>1</v>
      </c>
      <c r="AC6596" s="38">
        <v>0</v>
      </c>
    </row>
    <row r="6597" spans="1:29" x14ac:dyDescent="0.25">
      <c r="A6597" s="22">
        <v>44948</v>
      </c>
      <c r="B6597" s="9">
        <v>9</v>
      </c>
      <c r="C6597" s="9">
        <v>0</v>
      </c>
      <c r="D6597" s="9">
        <v>1</v>
      </c>
      <c r="E6597" s="7"/>
      <c r="F6597" s="9">
        <v>1.4</v>
      </c>
      <c r="G6597" s="9">
        <v>0.5</v>
      </c>
      <c r="H6597" s="9">
        <v>0</v>
      </c>
      <c r="I6597" s="9">
        <v>0</v>
      </c>
      <c r="J6597" s="9">
        <v>1.2</v>
      </c>
      <c r="K6597" s="9">
        <v>1</v>
      </c>
      <c r="L6597" s="9">
        <v>0</v>
      </c>
      <c r="M6597" s="9">
        <v>0</v>
      </c>
      <c r="N6597" s="9">
        <v>2.6</v>
      </c>
      <c r="O6597" s="7"/>
      <c r="P6597" s="9">
        <v>0</v>
      </c>
      <c r="Q6597" s="9">
        <v>0</v>
      </c>
      <c r="R6597" s="9">
        <v>0</v>
      </c>
      <c r="S6597" s="10"/>
      <c r="T6597" s="15">
        <v>17.399999999999999</v>
      </c>
      <c r="U6597" s="9">
        <v>0</v>
      </c>
      <c r="V6597" s="9">
        <v>0</v>
      </c>
      <c r="W6597" s="9">
        <v>0</v>
      </c>
      <c r="X6597" s="9">
        <v>0</v>
      </c>
      <c r="Y6597" s="9">
        <v>0</v>
      </c>
      <c r="Z6597" s="9">
        <v>2</v>
      </c>
      <c r="AA6597" s="9">
        <v>1</v>
      </c>
      <c r="AC6597" s="38">
        <v>0</v>
      </c>
    </row>
    <row r="6598" spans="1:29" x14ac:dyDescent="0.25">
      <c r="A6598" s="22">
        <v>44949</v>
      </c>
      <c r="B6598" s="9">
        <v>12.5</v>
      </c>
      <c r="C6598" s="9">
        <v>4.8</v>
      </c>
      <c r="D6598" s="9">
        <v>7.2</v>
      </c>
      <c r="E6598" s="7"/>
      <c r="F6598" s="9">
        <v>2.2000000000000002</v>
      </c>
      <c r="G6598" s="9">
        <v>7</v>
      </c>
      <c r="H6598" s="9">
        <v>0</v>
      </c>
      <c r="I6598" s="9">
        <v>5.6</v>
      </c>
      <c r="J6598" s="9">
        <v>8</v>
      </c>
      <c r="K6598" s="9">
        <v>6</v>
      </c>
      <c r="L6598" s="9">
        <v>16.8</v>
      </c>
      <c r="M6598" s="9">
        <v>6.6</v>
      </c>
      <c r="N6598" s="9">
        <v>1.8</v>
      </c>
      <c r="O6598" s="7"/>
      <c r="P6598" s="9">
        <v>10</v>
      </c>
      <c r="Q6598" s="9">
        <v>0</v>
      </c>
      <c r="R6598" s="9">
        <v>6.9</v>
      </c>
      <c r="S6598" s="8"/>
      <c r="T6598" s="15">
        <v>0.4</v>
      </c>
      <c r="U6598" s="9">
        <v>10</v>
      </c>
      <c r="V6598" s="9">
        <v>5.2</v>
      </c>
      <c r="W6598" s="9">
        <v>6.2</v>
      </c>
      <c r="X6598" s="9">
        <v>6</v>
      </c>
      <c r="Y6598" s="9">
        <v>4</v>
      </c>
      <c r="Z6598" s="9">
        <v>2</v>
      </c>
      <c r="AA6598" s="9">
        <v>1</v>
      </c>
      <c r="AC6598" s="38">
        <v>0</v>
      </c>
    </row>
    <row r="6599" spans="1:29" x14ac:dyDescent="0.25">
      <c r="A6599" s="22">
        <v>44950</v>
      </c>
      <c r="B6599" s="9">
        <v>6.5</v>
      </c>
      <c r="C6599" s="9">
        <v>5.6</v>
      </c>
      <c r="D6599" s="9">
        <v>6.8</v>
      </c>
      <c r="E6599" s="7"/>
      <c r="F6599" s="9">
        <v>4</v>
      </c>
      <c r="G6599" s="9">
        <v>9.5</v>
      </c>
      <c r="H6599" s="9">
        <v>11</v>
      </c>
      <c r="I6599" s="9">
        <v>3.1</v>
      </c>
      <c r="J6599" s="9">
        <v>8.1999999999999993</v>
      </c>
      <c r="K6599" s="9">
        <v>6</v>
      </c>
      <c r="L6599" s="9">
        <v>6.6</v>
      </c>
      <c r="M6599" s="9">
        <v>8.1999999999999993</v>
      </c>
      <c r="N6599" s="9">
        <v>7.4</v>
      </c>
      <c r="O6599" s="7"/>
      <c r="P6599" s="9">
        <v>3</v>
      </c>
      <c r="Q6599" s="9">
        <v>4.8</v>
      </c>
      <c r="R6599" s="9">
        <v>3.9</v>
      </c>
      <c r="S6599" s="8"/>
      <c r="T6599" s="15">
        <v>0.6</v>
      </c>
      <c r="U6599" s="9">
        <v>5</v>
      </c>
      <c r="V6599" s="9">
        <v>10.199999999999999</v>
      </c>
      <c r="W6599" s="9">
        <v>6.3</v>
      </c>
      <c r="X6599" s="9">
        <v>6</v>
      </c>
      <c r="Y6599" s="9">
        <v>8</v>
      </c>
      <c r="Z6599" s="9">
        <v>8</v>
      </c>
      <c r="AA6599" s="9">
        <v>7</v>
      </c>
      <c r="AC6599" s="38">
        <v>0</v>
      </c>
    </row>
    <row r="6600" spans="1:29" x14ac:dyDescent="0.25">
      <c r="A6600" s="22">
        <v>44951</v>
      </c>
      <c r="B6600" s="9">
        <v>6.5</v>
      </c>
      <c r="C6600" s="9">
        <v>2</v>
      </c>
      <c r="D6600" s="9">
        <v>4</v>
      </c>
      <c r="E6600" s="7"/>
      <c r="F6600" s="9">
        <v>0.3</v>
      </c>
      <c r="G6600" s="9">
        <v>4.5</v>
      </c>
      <c r="H6600" s="9">
        <v>6</v>
      </c>
      <c r="I6600" s="9">
        <v>5.0999999999999996</v>
      </c>
      <c r="J6600" s="9">
        <v>2</v>
      </c>
      <c r="K6600" s="9">
        <v>0.6</v>
      </c>
      <c r="L6600" s="9">
        <v>6.9</v>
      </c>
      <c r="M6600" s="9">
        <v>3.6</v>
      </c>
      <c r="N6600" s="9">
        <v>2.2000000000000002</v>
      </c>
      <c r="O6600" s="7"/>
      <c r="P6600" s="9">
        <v>2</v>
      </c>
      <c r="Q6600" s="9">
        <v>1.5</v>
      </c>
      <c r="R6600" s="9">
        <v>1.3</v>
      </c>
      <c r="S6600" s="8"/>
      <c r="T6600" s="15">
        <v>1</v>
      </c>
      <c r="U6600" s="9">
        <v>3</v>
      </c>
      <c r="V6600" s="9">
        <v>2.1</v>
      </c>
      <c r="W6600" s="9">
        <v>2.4</v>
      </c>
      <c r="X6600" s="9">
        <v>0</v>
      </c>
      <c r="Y6600" s="9">
        <v>4</v>
      </c>
      <c r="Z6600" s="9">
        <v>8</v>
      </c>
      <c r="AA6600" s="9">
        <v>0</v>
      </c>
      <c r="AC6600" s="38">
        <v>0</v>
      </c>
    </row>
    <row r="6601" spans="1:29" x14ac:dyDescent="0.25">
      <c r="A6601" s="22">
        <v>44952</v>
      </c>
      <c r="B6601" s="9">
        <v>5</v>
      </c>
      <c r="C6601" s="9">
        <v>3.6</v>
      </c>
      <c r="D6601" s="9">
        <v>6</v>
      </c>
      <c r="E6601" s="7"/>
      <c r="F6601" s="9">
        <v>0.8</v>
      </c>
      <c r="G6601" s="9">
        <v>8</v>
      </c>
      <c r="H6601" s="9">
        <v>0</v>
      </c>
      <c r="I6601" s="9">
        <v>3.4</v>
      </c>
      <c r="J6601" s="9">
        <v>2.5</v>
      </c>
      <c r="K6601" s="9">
        <v>4</v>
      </c>
      <c r="L6601" s="9">
        <v>20</v>
      </c>
      <c r="M6601" s="9">
        <v>4.0999999999999996</v>
      </c>
      <c r="N6601" s="9">
        <v>5</v>
      </c>
      <c r="O6601" s="7"/>
      <c r="P6601" s="9">
        <v>4</v>
      </c>
      <c r="Q6601" s="9">
        <v>1.3</v>
      </c>
      <c r="R6601" s="9">
        <v>0</v>
      </c>
      <c r="S6601" s="8"/>
      <c r="T6601" s="15">
        <v>0</v>
      </c>
      <c r="U6601" s="9">
        <v>8</v>
      </c>
      <c r="V6601" s="9">
        <v>5.2</v>
      </c>
      <c r="W6601" s="9">
        <v>2.2999999999999998</v>
      </c>
      <c r="X6601" s="9">
        <v>0</v>
      </c>
      <c r="Y6601" s="9">
        <v>4</v>
      </c>
      <c r="Z6601" s="9">
        <v>0</v>
      </c>
      <c r="AA6601" s="9">
        <v>4</v>
      </c>
      <c r="AC6601" s="38">
        <v>0</v>
      </c>
    </row>
    <row r="6602" spans="1:29" x14ac:dyDescent="0.25">
      <c r="A6602" s="22">
        <v>44953</v>
      </c>
      <c r="B6602" s="9">
        <v>5</v>
      </c>
      <c r="C6602" s="9">
        <v>0.4</v>
      </c>
      <c r="D6602" s="9">
        <v>0</v>
      </c>
      <c r="E6602" s="7"/>
      <c r="F6602" s="9">
        <v>0.2</v>
      </c>
      <c r="G6602" s="9">
        <v>4.25</v>
      </c>
      <c r="H6602" s="9">
        <v>0</v>
      </c>
      <c r="I6602" s="9">
        <v>2.1</v>
      </c>
      <c r="J6602" s="9">
        <v>2.2000000000000002</v>
      </c>
      <c r="K6602" s="9">
        <v>1</v>
      </c>
      <c r="L6602" s="9">
        <v>0</v>
      </c>
      <c r="M6602" s="9">
        <v>1.2</v>
      </c>
      <c r="N6602" s="9">
        <v>0.4</v>
      </c>
      <c r="O6602" s="7"/>
      <c r="P6602" s="9">
        <v>0</v>
      </c>
      <c r="Q6602" s="9">
        <v>0</v>
      </c>
      <c r="R6602" s="9">
        <v>0</v>
      </c>
      <c r="S6602" s="8"/>
      <c r="T6602" s="15">
        <v>0</v>
      </c>
      <c r="U6602" s="9">
        <v>0</v>
      </c>
      <c r="V6602" s="9">
        <v>3.2</v>
      </c>
      <c r="W6602" s="9">
        <v>0.4</v>
      </c>
      <c r="X6602" s="9">
        <v>0</v>
      </c>
      <c r="Y6602" s="9">
        <v>0</v>
      </c>
      <c r="Z6602" s="9">
        <v>0</v>
      </c>
      <c r="AA6602" s="9">
        <v>2</v>
      </c>
      <c r="AC6602" s="38">
        <v>0</v>
      </c>
    </row>
    <row r="6603" spans="1:29" x14ac:dyDescent="0.25">
      <c r="A6603" s="22">
        <v>44954</v>
      </c>
      <c r="B6603" s="9">
        <v>0</v>
      </c>
      <c r="C6603" s="9">
        <v>1.2</v>
      </c>
      <c r="D6603" s="9">
        <v>0</v>
      </c>
      <c r="E6603" s="7"/>
      <c r="F6603" s="9">
        <v>9.1999999999999993</v>
      </c>
      <c r="G6603" s="9">
        <v>0.5</v>
      </c>
      <c r="H6603" s="9">
        <v>1</v>
      </c>
      <c r="I6603" s="9">
        <v>0</v>
      </c>
      <c r="J6603" s="9">
        <v>1.2</v>
      </c>
      <c r="K6603" s="9">
        <v>0</v>
      </c>
      <c r="L6603" s="9">
        <v>0</v>
      </c>
      <c r="M6603" s="9">
        <v>0</v>
      </c>
      <c r="N6603" s="9">
        <v>14.4</v>
      </c>
      <c r="O6603" s="7"/>
      <c r="P6603" s="9">
        <v>0</v>
      </c>
      <c r="Q6603" s="9">
        <v>0</v>
      </c>
      <c r="R6603" s="9">
        <v>0</v>
      </c>
      <c r="S6603" s="8"/>
      <c r="T6603" s="15">
        <v>0.2</v>
      </c>
      <c r="U6603" s="9">
        <v>0</v>
      </c>
      <c r="V6603" s="9">
        <v>0</v>
      </c>
      <c r="W6603" s="9">
        <v>0</v>
      </c>
      <c r="X6603" s="9">
        <v>0</v>
      </c>
      <c r="Y6603" s="9">
        <v>0</v>
      </c>
      <c r="Z6603" s="9">
        <v>0</v>
      </c>
      <c r="AA6603" s="9">
        <v>0</v>
      </c>
      <c r="AC6603" s="38">
        <v>0</v>
      </c>
    </row>
    <row r="6604" spans="1:29" x14ac:dyDescent="0.25">
      <c r="A6604" s="22">
        <v>44955</v>
      </c>
      <c r="B6604" s="9">
        <v>12</v>
      </c>
      <c r="C6604" s="9">
        <v>7</v>
      </c>
      <c r="D6604" s="9">
        <v>0</v>
      </c>
      <c r="E6604" s="7"/>
      <c r="F6604" s="9">
        <v>0.8</v>
      </c>
      <c r="G6604" s="9">
        <v>6</v>
      </c>
      <c r="H6604" s="9">
        <v>10.8</v>
      </c>
      <c r="I6604" s="9">
        <v>2.4</v>
      </c>
      <c r="J6604" s="9">
        <v>8.1999999999999993</v>
      </c>
      <c r="K6604" s="9">
        <v>8.1999999999999993</v>
      </c>
      <c r="L6604" s="9">
        <v>0</v>
      </c>
      <c r="M6604" s="9">
        <v>6.7</v>
      </c>
      <c r="N6604" s="9">
        <v>0.2</v>
      </c>
      <c r="O6604" s="7"/>
      <c r="P6604" s="9">
        <v>0</v>
      </c>
      <c r="Q6604" s="9">
        <v>0</v>
      </c>
      <c r="R6604" s="9">
        <v>0</v>
      </c>
      <c r="S6604" s="8"/>
      <c r="T6604" s="15">
        <v>0</v>
      </c>
      <c r="U6604" s="9">
        <v>0</v>
      </c>
      <c r="V6604" s="9">
        <v>0</v>
      </c>
      <c r="W6604" s="9">
        <v>0</v>
      </c>
      <c r="X6604" s="9">
        <v>0</v>
      </c>
      <c r="Y6604" s="9">
        <v>0</v>
      </c>
      <c r="Z6604" s="9">
        <v>0</v>
      </c>
      <c r="AA6604" s="9">
        <v>14</v>
      </c>
      <c r="AC6604" s="38">
        <v>0</v>
      </c>
    </row>
    <row r="6605" spans="1:29" x14ac:dyDescent="0.25">
      <c r="A6605" s="22">
        <v>44956</v>
      </c>
      <c r="B6605" s="9">
        <v>5</v>
      </c>
      <c r="C6605" s="9">
        <v>3.6</v>
      </c>
      <c r="D6605" s="9">
        <v>0</v>
      </c>
      <c r="E6605" s="7"/>
      <c r="F6605" s="9">
        <v>2.8</v>
      </c>
      <c r="G6605" s="9">
        <v>0</v>
      </c>
      <c r="H6605" s="9">
        <v>2</v>
      </c>
      <c r="I6605" s="9">
        <v>0</v>
      </c>
      <c r="J6605" s="9">
        <v>1.2</v>
      </c>
      <c r="K6605" s="9">
        <v>1</v>
      </c>
      <c r="L6605" s="9">
        <v>0</v>
      </c>
      <c r="M6605" s="9">
        <v>1.2</v>
      </c>
      <c r="N6605" s="9">
        <v>1.2</v>
      </c>
      <c r="O6605" s="7"/>
      <c r="P6605" s="9">
        <v>0</v>
      </c>
      <c r="Q6605" s="9">
        <v>0</v>
      </c>
      <c r="R6605" s="9">
        <v>0</v>
      </c>
      <c r="S6605" s="8"/>
      <c r="T6605" s="15">
        <v>0</v>
      </c>
      <c r="U6605" s="9">
        <v>0</v>
      </c>
      <c r="V6605" s="9">
        <v>5.3</v>
      </c>
      <c r="W6605" s="9">
        <v>0.4</v>
      </c>
      <c r="X6605" s="9">
        <v>0</v>
      </c>
      <c r="Y6605" s="9">
        <v>0</v>
      </c>
      <c r="Z6605" s="9">
        <v>0</v>
      </c>
      <c r="AA6605" s="9">
        <v>0</v>
      </c>
      <c r="AC6605" s="38">
        <v>0</v>
      </c>
    </row>
    <row r="6606" spans="1:29" x14ac:dyDescent="0.25">
      <c r="A6606" s="22">
        <v>44957</v>
      </c>
      <c r="B6606" s="9">
        <v>2</v>
      </c>
      <c r="C6606" s="9">
        <v>0</v>
      </c>
      <c r="D6606" s="9">
        <v>0</v>
      </c>
      <c r="E6606" s="7"/>
      <c r="F6606" s="9">
        <v>0.4</v>
      </c>
      <c r="G6606" s="9">
        <v>2.5</v>
      </c>
      <c r="H6606" s="9">
        <v>6.6</v>
      </c>
      <c r="I6606" s="9">
        <v>0.3</v>
      </c>
      <c r="J6606" s="9">
        <v>0</v>
      </c>
      <c r="K6606" s="9">
        <v>2</v>
      </c>
      <c r="L6606" s="9">
        <v>1</v>
      </c>
      <c r="M6606" s="9">
        <v>2</v>
      </c>
      <c r="N6606" s="10">
        <v>0.2</v>
      </c>
      <c r="O6606" s="7"/>
      <c r="P6606" s="9">
        <v>1</v>
      </c>
      <c r="Q6606" s="9">
        <v>0</v>
      </c>
      <c r="R6606" s="9">
        <v>2.9</v>
      </c>
      <c r="S6606" s="10"/>
      <c r="T6606" s="15">
        <v>1.6</v>
      </c>
      <c r="U6606" s="9">
        <v>2</v>
      </c>
      <c r="V6606" s="9">
        <v>0</v>
      </c>
      <c r="W6606" s="9">
        <v>0</v>
      </c>
      <c r="X6606" s="9">
        <v>0</v>
      </c>
      <c r="Y6606" s="9">
        <v>0</v>
      </c>
      <c r="Z6606" s="9">
        <v>0</v>
      </c>
      <c r="AA6606" s="9">
        <v>0</v>
      </c>
      <c r="AC6606" s="38">
        <v>0</v>
      </c>
    </row>
    <row r="6607" spans="1:29" x14ac:dyDescent="0.25">
      <c r="A6607" s="22">
        <v>44958</v>
      </c>
      <c r="B6607" s="9">
        <v>2</v>
      </c>
      <c r="C6607" s="9">
        <v>2.8</v>
      </c>
      <c r="D6607" s="9">
        <v>2</v>
      </c>
      <c r="E6607" s="7"/>
      <c r="F6607" s="9">
        <v>1.8</v>
      </c>
      <c r="G6607" s="9">
        <v>0</v>
      </c>
      <c r="H6607" s="9">
        <v>2.8</v>
      </c>
      <c r="I6607" s="9">
        <v>0</v>
      </c>
      <c r="J6607" s="9">
        <v>2</v>
      </c>
      <c r="K6607" s="9">
        <v>2</v>
      </c>
      <c r="L6607" s="9">
        <v>1.778</v>
      </c>
      <c r="M6607" s="9">
        <v>1</v>
      </c>
      <c r="N6607" s="9">
        <v>0.4</v>
      </c>
      <c r="O6607" s="7"/>
      <c r="P6607" s="9">
        <v>2</v>
      </c>
      <c r="Q6607" s="9">
        <v>1.7</v>
      </c>
      <c r="R6607" s="9">
        <v>1.9</v>
      </c>
      <c r="S6607" s="8"/>
      <c r="T6607" s="15">
        <v>1.2</v>
      </c>
      <c r="U6607" s="9">
        <v>0</v>
      </c>
      <c r="V6607" s="9">
        <v>0</v>
      </c>
      <c r="W6607" s="9">
        <v>0</v>
      </c>
      <c r="X6607" s="9">
        <v>2</v>
      </c>
      <c r="Y6607" s="9">
        <v>4</v>
      </c>
      <c r="Z6607" s="9">
        <v>2</v>
      </c>
      <c r="AA6607" s="9">
        <v>0</v>
      </c>
      <c r="AC6607" s="38">
        <v>0</v>
      </c>
    </row>
    <row r="6608" spans="1:29" x14ac:dyDescent="0.25">
      <c r="A6608" s="22">
        <v>44959</v>
      </c>
      <c r="B6608" s="9">
        <v>0</v>
      </c>
      <c r="C6608" s="9">
        <v>0</v>
      </c>
      <c r="D6608" s="9">
        <v>0</v>
      </c>
      <c r="E6608" s="7"/>
      <c r="F6608" s="9">
        <v>0</v>
      </c>
      <c r="G6608" s="9">
        <v>0</v>
      </c>
      <c r="H6608" s="9">
        <v>0</v>
      </c>
      <c r="I6608" s="9">
        <v>0</v>
      </c>
      <c r="J6608" s="9">
        <v>0</v>
      </c>
      <c r="K6608" s="9">
        <v>0</v>
      </c>
      <c r="L6608" s="9">
        <v>0</v>
      </c>
      <c r="M6608" s="9">
        <v>0</v>
      </c>
      <c r="N6608" s="9">
        <v>0</v>
      </c>
      <c r="O6608" s="7"/>
      <c r="P6608" s="9">
        <v>0</v>
      </c>
      <c r="Q6608" s="9">
        <v>0</v>
      </c>
      <c r="R6608" s="9">
        <v>0</v>
      </c>
      <c r="S6608" s="8"/>
      <c r="T6608" s="15">
        <v>0</v>
      </c>
      <c r="U6608" s="9">
        <v>0</v>
      </c>
      <c r="V6608" s="9">
        <v>0</v>
      </c>
      <c r="W6608" s="9">
        <v>0</v>
      </c>
      <c r="X6608" s="9">
        <v>0</v>
      </c>
      <c r="Y6608" s="9">
        <v>0</v>
      </c>
      <c r="Z6608" s="9">
        <v>0</v>
      </c>
      <c r="AA6608" s="9">
        <v>0</v>
      </c>
      <c r="AC6608" s="38">
        <v>0</v>
      </c>
    </row>
    <row r="6609" spans="1:29" x14ac:dyDescent="0.25">
      <c r="A6609" s="22">
        <v>44960</v>
      </c>
      <c r="B6609" s="9">
        <v>0</v>
      </c>
      <c r="C6609" s="9">
        <v>0</v>
      </c>
      <c r="D6609" s="9">
        <v>0</v>
      </c>
      <c r="E6609" s="7"/>
      <c r="F6609" s="9">
        <v>0</v>
      </c>
      <c r="G6609" s="9">
        <v>3</v>
      </c>
      <c r="H6609" s="9">
        <v>0</v>
      </c>
      <c r="I6609" s="9">
        <v>2.8</v>
      </c>
      <c r="J6609" s="9">
        <v>1.6</v>
      </c>
      <c r="K6609" s="9">
        <v>2</v>
      </c>
      <c r="L6609" s="9">
        <v>0</v>
      </c>
      <c r="M6609" s="9">
        <v>0.4</v>
      </c>
      <c r="N6609" s="9">
        <v>0.2</v>
      </c>
      <c r="O6609" s="7"/>
      <c r="P6609" s="9">
        <v>0</v>
      </c>
      <c r="Q6609" s="9">
        <v>0</v>
      </c>
      <c r="R6609" s="9">
        <v>0</v>
      </c>
      <c r="S6609" s="8"/>
      <c r="T6609" s="15">
        <v>0.6</v>
      </c>
      <c r="U6609" s="9">
        <v>0</v>
      </c>
      <c r="V6609" s="9">
        <v>0.2</v>
      </c>
      <c r="W6609" s="9">
        <v>0</v>
      </c>
      <c r="X6609" s="9">
        <v>0</v>
      </c>
      <c r="Y6609" s="9">
        <v>0</v>
      </c>
      <c r="Z6609" s="9">
        <v>0</v>
      </c>
      <c r="AA6609" s="9">
        <v>0</v>
      </c>
      <c r="AC6609" s="38">
        <v>0</v>
      </c>
    </row>
    <row r="6610" spans="1:29" x14ac:dyDescent="0.25">
      <c r="A6610" s="22">
        <v>44961</v>
      </c>
      <c r="B6610" s="9">
        <v>0</v>
      </c>
      <c r="C6610" s="9">
        <v>0.8</v>
      </c>
      <c r="D6610" s="9">
        <v>2</v>
      </c>
      <c r="E6610" s="7"/>
      <c r="F6610" s="9">
        <v>0.2</v>
      </c>
      <c r="G6610" s="9">
        <v>0.5</v>
      </c>
      <c r="H6610" s="9">
        <v>1.2</v>
      </c>
      <c r="I6610" s="9">
        <v>0.6</v>
      </c>
      <c r="J6610" s="9">
        <v>0.3</v>
      </c>
      <c r="K6610" s="9">
        <v>2</v>
      </c>
      <c r="L6610" s="9">
        <v>3.8099999999999996</v>
      </c>
      <c r="M6610" s="9">
        <v>0.4</v>
      </c>
      <c r="N6610" s="9">
        <v>1.2</v>
      </c>
      <c r="O6610" s="7"/>
      <c r="P6610" s="9">
        <v>2</v>
      </c>
      <c r="Q6610" s="9">
        <v>1.1000000000000001</v>
      </c>
      <c r="R6610" s="9">
        <v>0</v>
      </c>
      <c r="S6610" s="8"/>
      <c r="T6610" s="15">
        <v>0.6</v>
      </c>
      <c r="U6610" s="9">
        <v>3</v>
      </c>
      <c r="V6610" s="9">
        <v>0</v>
      </c>
      <c r="W6610" s="9">
        <v>0</v>
      </c>
      <c r="X6610" s="9">
        <v>1</v>
      </c>
      <c r="Y6610" s="9">
        <v>1</v>
      </c>
      <c r="Z6610" s="9">
        <v>8</v>
      </c>
      <c r="AA6610" s="9">
        <v>0</v>
      </c>
      <c r="AC6610" s="38">
        <v>0</v>
      </c>
    </row>
    <row r="6611" spans="1:29" x14ac:dyDescent="0.25">
      <c r="A6611" s="22">
        <v>44962</v>
      </c>
      <c r="B6611" s="9">
        <v>4</v>
      </c>
      <c r="C6611" s="9">
        <v>0</v>
      </c>
      <c r="D6611" s="9">
        <v>1.3</v>
      </c>
      <c r="E6611" s="7"/>
      <c r="F6611" s="9">
        <v>0</v>
      </c>
      <c r="G6611" s="9">
        <v>0.1</v>
      </c>
      <c r="H6611" s="9">
        <v>0</v>
      </c>
      <c r="I6611" s="9">
        <v>1</v>
      </c>
      <c r="J6611" s="9">
        <v>1.2</v>
      </c>
      <c r="K6611" s="9">
        <v>0.2</v>
      </c>
      <c r="L6611" s="9">
        <v>1.5239999999999998</v>
      </c>
      <c r="M6611" s="9">
        <v>0</v>
      </c>
      <c r="N6611" s="9">
        <v>0.8</v>
      </c>
      <c r="O6611" s="7"/>
      <c r="P6611" s="9">
        <v>0</v>
      </c>
      <c r="Q6611" s="9">
        <v>1.2</v>
      </c>
      <c r="R6611" s="9">
        <v>2.2000000000000002</v>
      </c>
      <c r="S6611" s="8"/>
      <c r="T6611" s="15">
        <v>0.4</v>
      </c>
      <c r="U6611" s="9">
        <v>0</v>
      </c>
      <c r="V6611" s="9">
        <v>0.3</v>
      </c>
      <c r="W6611" s="9">
        <v>0.4</v>
      </c>
      <c r="X6611" s="9">
        <v>0</v>
      </c>
      <c r="Y6611" s="9">
        <v>0</v>
      </c>
      <c r="Z6611" s="9">
        <v>2</v>
      </c>
      <c r="AA6611" s="9">
        <v>1</v>
      </c>
      <c r="AC6611" s="38">
        <v>0</v>
      </c>
    </row>
    <row r="6612" spans="1:29" x14ac:dyDescent="0.25">
      <c r="A6612" s="22">
        <v>44963</v>
      </c>
      <c r="B6612" s="9">
        <v>13</v>
      </c>
      <c r="C6612" s="9">
        <v>17.399999999999999</v>
      </c>
      <c r="D6612" s="9">
        <v>14</v>
      </c>
      <c r="E6612" s="7"/>
      <c r="F6612" s="9">
        <v>18.2</v>
      </c>
      <c r="G6612" s="9">
        <v>8.75</v>
      </c>
      <c r="H6612" s="9">
        <v>8.6</v>
      </c>
      <c r="I6612" s="9">
        <v>3.5</v>
      </c>
      <c r="J6612" s="9">
        <v>19.8</v>
      </c>
      <c r="K6612" s="9">
        <v>22.9</v>
      </c>
      <c r="L6612" s="9">
        <v>7.8739999999999997</v>
      </c>
      <c r="M6612" s="9">
        <v>13.6</v>
      </c>
      <c r="N6612" s="9">
        <v>18.399999999999999</v>
      </c>
      <c r="O6612" s="7"/>
      <c r="P6612" s="9">
        <v>9</v>
      </c>
      <c r="Q6612" s="9">
        <v>11.2</v>
      </c>
      <c r="R6612" s="9">
        <v>18.2</v>
      </c>
      <c r="S6612" s="8"/>
      <c r="T6612" s="15">
        <v>1.4</v>
      </c>
      <c r="U6612" s="9">
        <v>32</v>
      </c>
      <c r="V6612" s="34">
        <v>10.3</v>
      </c>
      <c r="W6612" s="34">
        <v>2.1</v>
      </c>
      <c r="X6612" s="9">
        <v>20</v>
      </c>
      <c r="Y6612" s="9">
        <v>18</v>
      </c>
      <c r="Z6612" s="9">
        <v>10</v>
      </c>
      <c r="AA6612" s="9">
        <v>10</v>
      </c>
      <c r="AC6612" s="38">
        <v>0</v>
      </c>
    </row>
    <row r="6613" spans="1:29" x14ac:dyDescent="0.25">
      <c r="A6613" s="22">
        <v>44964</v>
      </c>
      <c r="B6613" s="9">
        <v>3.5</v>
      </c>
      <c r="C6613" s="9">
        <v>17.899999999999999</v>
      </c>
      <c r="D6613" s="9">
        <v>37.799999999999997</v>
      </c>
      <c r="E6613" s="7"/>
      <c r="F6613" s="9">
        <v>16.8</v>
      </c>
      <c r="G6613" s="9">
        <v>26.75</v>
      </c>
      <c r="H6613" s="9">
        <v>22.8</v>
      </c>
      <c r="I6613" s="9">
        <v>19.899999999999999</v>
      </c>
      <c r="J6613" s="9">
        <v>12.9</v>
      </c>
      <c r="K6613" s="9">
        <v>12.6</v>
      </c>
      <c r="L6613" s="9">
        <v>8.3819999999999997</v>
      </c>
      <c r="M6613" s="9">
        <v>24</v>
      </c>
      <c r="N6613" s="9">
        <v>19</v>
      </c>
      <c r="O6613" s="7"/>
      <c r="P6613" s="9">
        <v>0</v>
      </c>
      <c r="Q6613" s="9">
        <v>26.4</v>
      </c>
      <c r="R6613" s="9">
        <v>12.1</v>
      </c>
      <c r="S6613" s="8"/>
      <c r="T6613" s="15">
        <v>0</v>
      </c>
      <c r="U6613" s="9">
        <v>20</v>
      </c>
      <c r="V6613" s="34">
        <v>10.3</v>
      </c>
      <c r="W6613" s="34">
        <v>2.1</v>
      </c>
      <c r="X6613" s="9">
        <v>14</v>
      </c>
      <c r="Y6613" s="9">
        <v>20</v>
      </c>
      <c r="Z6613" s="9">
        <v>16</v>
      </c>
      <c r="AA6613" s="9">
        <v>23</v>
      </c>
      <c r="AC6613" s="38">
        <v>0</v>
      </c>
    </row>
    <row r="6614" spans="1:29" x14ac:dyDescent="0.25">
      <c r="A6614" s="22">
        <v>44965</v>
      </c>
      <c r="B6614" s="9">
        <v>2.5</v>
      </c>
      <c r="C6614" s="9">
        <v>4</v>
      </c>
      <c r="D6614" s="9">
        <v>6</v>
      </c>
      <c r="E6614" s="7"/>
      <c r="F6614" s="9">
        <v>12.8</v>
      </c>
      <c r="G6614" s="9">
        <v>6</v>
      </c>
      <c r="H6614" s="9">
        <v>8.8000000000000007</v>
      </c>
      <c r="I6614" s="9">
        <v>12.6</v>
      </c>
      <c r="J6614" s="9">
        <v>8.6</v>
      </c>
      <c r="K6614" s="9">
        <v>18.7</v>
      </c>
      <c r="L6614" s="9">
        <v>2.032</v>
      </c>
      <c r="M6614" s="9">
        <v>6.4</v>
      </c>
      <c r="N6614" s="9">
        <v>21.6</v>
      </c>
      <c r="O6614" s="7"/>
      <c r="P6614" s="9">
        <v>2</v>
      </c>
      <c r="Q6614" s="9">
        <v>3.3</v>
      </c>
      <c r="R6614" s="9">
        <v>4.4000000000000004</v>
      </c>
      <c r="S6614" s="8"/>
      <c r="T6614" s="15">
        <v>0</v>
      </c>
      <c r="U6614" s="9">
        <v>10</v>
      </c>
      <c r="V6614" s="34">
        <v>10.3</v>
      </c>
      <c r="W6614" s="34">
        <v>2.1</v>
      </c>
      <c r="X6614" s="9">
        <v>7</v>
      </c>
      <c r="Y6614" s="9">
        <v>6</v>
      </c>
      <c r="Z6614" s="9">
        <v>10</v>
      </c>
      <c r="AA6614" s="34">
        <v>17</v>
      </c>
      <c r="AC6614" s="38">
        <v>0</v>
      </c>
    </row>
    <row r="6615" spans="1:29" x14ac:dyDescent="0.25">
      <c r="A6615" s="22">
        <v>44966</v>
      </c>
      <c r="B6615" s="9">
        <v>0</v>
      </c>
      <c r="C6615" s="9">
        <v>10.4</v>
      </c>
      <c r="D6615" s="9">
        <v>14.8</v>
      </c>
      <c r="E6615" s="7"/>
      <c r="F6615" s="9">
        <v>1.6</v>
      </c>
      <c r="G6615" s="9">
        <v>17</v>
      </c>
      <c r="H6615" s="9">
        <v>8.4</v>
      </c>
      <c r="I6615" s="9">
        <v>9</v>
      </c>
      <c r="J6615" s="9">
        <v>6.8</v>
      </c>
      <c r="K6615" s="9">
        <v>6.5</v>
      </c>
      <c r="L6615" s="9">
        <v>3.302</v>
      </c>
      <c r="M6615" s="9">
        <v>12.4</v>
      </c>
      <c r="N6615" s="9">
        <v>3.6</v>
      </c>
      <c r="O6615" s="7"/>
      <c r="P6615" s="9">
        <v>4</v>
      </c>
      <c r="Q6615" s="9">
        <v>9.6</v>
      </c>
      <c r="R6615" s="9">
        <v>6.9</v>
      </c>
      <c r="S6615" s="8"/>
      <c r="T6615" s="15">
        <v>7.4</v>
      </c>
      <c r="U6615" s="9">
        <v>0</v>
      </c>
      <c r="V6615" s="9">
        <v>9.1999999999999993</v>
      </c>
      <c r="W6615" s="9">
        <v>6.4</v>
      </c>
      <c r="X6615" s="9">
        <v>6</v>
      </c>
      <c r="Y6615" s="9">
        <v>10</v>
      </c>
      <c r="Z6615" s="9">
        <v>12</v>
      </c>
      <c r="AA6615" s="34">
        <v>17</v>
      </c>
      <c r="AC6615" s="38">
        <v>0</v>
      </c>
    </row>
    <row r="6616" spans="1:29" x14ac:dyDescent="0.25">
      <c r="A6616" s="22">
        <v>44967</v>
      </c>
      <c r="B6616" s="9">
        <v>14</v>
      </c>
      <c r="C6616" s="9">
        <v>10.8</v>
      </c>
      <c r="D6616" s="9">
        <v>12.4</v>
      </c>
      <c r="E6616" s="7"/>
      <c r="F6616" s="9">
        <v>4.5999999999999996</v>
      </c>
      <c r="G6616" s="9">
        <v>75</v>
      </c>
      <c r="H6616" s="9">
        <v>6.8</v>
      </c>
      <c r="I6616" s="9">
        <v>6.1</v>
      </c>
      <c r="J6616" s="9">
        <v>18</v>
      </c>
      <c r="K6616" s="9">
        <v>15.9</v>
      </c>
      <c r="L6616" s="9">
        <v>5.3339999999999996</v>
      </c>
      <c r="M6616" s="9">
        <v>13.2</v>
      </c>
      <c r="N6616" s="9">
        <v>14.6</v>
      </c>
      <c r="O6616" s="7"/>
      <c r="P6616" s="9">
        <v>14</v>
      </c>
      <c r="Q6616" s="9">
        <v>7.1</v>
      </c>
      <c r="R6616" s="9">
        <v>5.2</v>
      </c>
      <c r="S6616" s="8"/>
      <c r="T6616" s="15">
        <v>3</v>
      </c>
      <c r="U6616" s="9">
        <v>9</v>
      </c>
      <c r="V6616" s="9">
        <v>15.2</v>
      </c>
      <c r="W6616" s="9">
        <v>8.3000000000000007</v>
      </c>
      <c r="X6616" s="9">
        <v>8</v>
      </c>
      <c r="Y6616" s="9">
        <v>6</v>
      </c>
      <c r="Z6616" s="9">
        <v>6</v>
      </c>
      <c r="AA6616" s="9">
        <v>11</v>
      </c>
      <c r="AC6616" s="38">
        <v>0</v>
      </c>
    </row>
    <row r="6617" spans="1:29" x14ac:dyDescent="0.25">
      <c r="A6617" s="22">
        <v>44968</v>
      </c>
      <c r="B6617" s="9">
        <v>7</v>
      </c>
      <c r="C6617" s="9">
        <v>6.4</v>
      </c>
      <c r="D6617" s="9">
        <v>6.6</v>
      </c>
      <c r="E6617" s="7"/>
      <c r="F6617" s="9">
        <v>4</v>
      </c>
      <c r="G6617" s="9">
        <v>6</v>
      </c>
      <c r="H6617" s="9">
        <v>4</v>
      </c>
      <c r="I6617" s="9">
        <v>8.4</v>
      </c>
      <c r="J6617" s="9">
        <v>12.2</v>
      </c>
      <c r="K6617" s="9">
        <v>5.9</v>
      </c>
      <c r="L6617" s="9">
        <v>3.302</v>
      </c>
      <c r="M6617" s="9">
        <v>4.5999999999999996</v>
      </c>
      <c r="N6617" s="9">
        <v>2</v>
      </c>
      <c r="O6617" s="7"/>
      <c r="P6617" s="9">
        <v>0</v>
      </c>
      <c r="Q6617" s="9">
        <v>1.3</v>
      </c>
      <c r="R6617" s="9">
        <v>0</v>
      </c>
      <c r="S6617" s="8"/>
      <c r="T6617" s="15">
        <v>4</v>
      </c>
      <c r="U6617" s="9">
        <v>0</v>
      </c>
      <c r="V6617" s="9">
        <v>8.3000000000000007</v>
      </c>
      <c r="W6617" s="9">
        <v>6.2</v>
      </c>
      <c r="X6617" s="9">
        <v>0</v>
      </c>
      <c r="Y6617" s="9">
        <v>2</v>
      </c>
      <c r="Z6617" s="9">
        <v>4</v>
      </c>
      <c r="AA6617" s="9">
        <v>4</v>
      </c>
      <c r="AC6617" s="38">
        <v>0</v>
      </c>
    </row>
    <row r="6618" spans="1:29" x14ac:dyDescent="0.25">
      <c r="A6618" s="22">
        <v>44969</v>
      </c>
      <c r="B6618" s="9">
        <v>8</v>
      </c>
      <c r="C6618" s="9">
        <v>10</v>
      </c>
      <c r="D6618" s="9">
        <v>14.8</v>
      </c>
      <c r="E6618" s="7"/>
      <c r="F6618" s="9">
        <v>1.2</v>
      </c>
      <c r="G6618" s="9">
        <v>0.2</v>
      </c>
      <c r="H6618" s="9">
        <v>0</v>
      </c>
      <c r="I6618" s="9">
        <v>1.1000000000000001</v>
      </c>
      <c r="J6618" s="9">
        <v>7</v>
      </c>
      <c r="K6618" s="9">
        <v>13</v>
      </c>
      <c r="L6618" s="9">
        <v>4.5719999999999992</v>
      </c>
      <c r="M6618" s="9">
        <v>0</v>
      </c>
      <c r="N6618" s="9">
        <v>3.8</v>
      </c>
      <c r="O6618" s="7"/>
      <c r="P6618" s="9">
        <v>4</v>
      </c>
      <c r="Q6618" s="9">
        <v>3</v>
      </c>
      <c r="R6618" s="9">
        <v>2.5</v>
      </c>
      <c r="S6618" s="8"/>
      <c r="T6618" s="15">
        <v>3</v>
      </c>
      <c r="U6618" s="9">
        <v>10</v>
      </c>
      <c r="V6618" s="9">
        <v>3.1</v>
      </c>
      <c r="W6618" s="9">
        <v>2.1</v>
      </c>
      <c r="X6618" s="9">
        <v>0</v>
      </c>
      <c r="Y6618" s="9">
        <v>1</v>
      </c>
      <c r="Z6618" s="9">
        <v>2</v>
      </c>
      <c r="AA6618" s="9">
        <v>2</v>
      </c>
      <c r="AC6618" s="38">
        <v>0</v>
      </c>
    </row>
    <row r="6619" spans="1:29" x14ac:dyDescent="0.25">
      <c r="A6619" s="22">
        <v>44970</v>
      </c>
      <c r="B6619" s="9">
        <v>1.5</v>
      </c>
      <c r="C6619" s="9">
        <v>0</v>
      </c>
      <c r="D6619" s="9">
        <v>1.2</v>
      </c>
      <c r="E6619" s="7"/>
      <c r="F6619" s="9">
        <v>1.2</v>
      </c>
      <c r="G6619" s="9">
        <v>3</v>
      </c>
      <c r="H6619" s="9">
        <v>0</v>
      </c>
      <c r="I6619" s="9">
        <v>0.8</v>
      </c>
      <c r="J6619" s="9">
        <v>1.9</v>
      </c>
      <c r="K6619" s="9">
        <v>2</v>
      </c>
      <c r="L6619" s="9">
        <v>2.2859999999999996</v>
      </c>
      <c r="M6619" s="9">
        <v>2.4</v>
      </c>
      <c r="N6619" s="9">
        <v>1</v>
      </c>
      <c r="O6619" s="7"/>
      <c r="P6619" s="9">
        <v>0</v>
      </c>
      <c r="Q6619" s="9">
        <v>0</v>
      </c>
      <c r="R6619" s="9">
        <v>0</v>
      </c>
      <c r="S6619" s="10"/>
      <c r="T6619" s="15">
        <v>0</v>
      </c>
      <c r="U6619" s="9">
        <v>0</v>
      </c>
      <c r="V6619" s="9">
        <v>0.3</v>
      </c>
      <c r="W6619" s="9">
        <v>0.3</v>
      </c>
      <c r="X6619" s="9">
        <v>7.2</v>
      </c>
      <c r="Y6619" s="9">
        <v>0</v>
      </c>
      <c r="Z6619" s="9">
        <v>4</v>
      </c>
      <c r="AA6619" s="9">
        <v>2</v>
      </c>
      <c r="AC6619" s="38">
        <v>0</v>
      </c>
    </row>
    <row r="6620" spans="1:29" x14ac:dyDescent="0.25">
      <c r="A6620" s="22">
        <v>44971</v>
      </c>
      <c r="B6620" s="9">
        <v>27</v>
      </c>
      <c r="C6620" s="9">
        <v>5.4</v>
      </c>
      <c r="D6620" s="9">
        <v>9.4</v>
      </c>
      <c r="E6620" s="7"/>
      <c r="F6620" s="9">
        <v>2.6</v>
      </c>
      <c r="G6620" s="9">
        <v>10</v>
      </c>
      <c r="H6620" s="9">
        <v>5.6</v>
      </c>
      <c r="I6620" s="9">
        <v>4</v>
      </c>
      <c r="J6620" s="9">
        <v>6.9</v>
      </c>
      <c r="K6620" s="9">
        <v>8.8000000000000007</v>
      </c>
      <c r="L6620" s="9">
        <v>9.1439999999999984</v>
      </c>
      <c r="M6620" s="9">
        <v>6.8</v>
      </c>
      <c r="N6620" s="9">
        <v>12</v>
      </c>
      <c r="O6620" s="7"/>
      <c r="P6620" s="9">
        <v>8</v>
      </c>
      <c r="Q6620" s="9">
        <v>4.8</v>
      </c>
      <c r="R6620" s="9">
        <v>0</v>
      </c>
      <c r="S6620" s="10"/>
      <c r="T6620" s="15">
        <v>9</v>
      </c>
      <c r="U6620" s="9">
        <v>6</v>
      </c>
      <c r="V6620" s="9">
        <v>4.3</v>
      </c>
      <c r="W6620" s="9">
        <v>2.2000000000000002</v>
      </c>
      <c r="X6620" s="9">
        <v>2</v>
      </c>
      <c r="Y6620" s="9">
        <v>5</v>
      </c>
      <c r="Z6620" s="9">
        <v>6</v>
      </c>
      <c r="AA6620" s="9">
        <v>13</v>
      </c>
      <c r="AC6620" s="38">
        <v>0</v>
      </c>
    </row>
    <row r="6621" spans="1:29" x14ac:dyDescent="0.25">
      <c r="A6621" s="22">
        <v>44972</v>
      </c>
      <c r="B6621" s="9">
        <v>5</v>
      </c>
      <c r="C6621" s="9">
        <v>2.8</v>
      </c>
      <c r="D6621" s="9">
        <v>6</v>
      </c>
      <c r="E6621" s="7"/>
      <c r="F6621" s="9">
        <v>7.2</v>
      </c>
      <c r="G6621" s="9">
        <v>3.5</v>
      </c>
      <c r="H6621" s="9">
        <v>8.8000000000000007</v>
      </c>
      <c r="I6621" s="9">
        <v>1.8</v>
      </c>
      <c r="J6621" s="9">
        <v>2.8</v>
      </c>
      <c r="K6621" s="9">
        <v>6.2</v>
      </c>
      <c r="L6621" s="9">
        <v>6.6040000000000001</v>
      </c>
      <c r="M6621" s="9">
        <v>1.4</v>
      </c>
      <c r="N6621" s="9">
        <v>6.4</v>
      </c>
      <c r="O6621" s="7"/>
      <c r="P6621" s="9">
        <v>3</v>
      </c>
      <c r="Q6621" s="9">
        <v>3.8</v>
      </c>
      <c r="R6621" s="9">
        <v>0</v>
      </c>
      <c r="S6621" s="10"/>
      <c r="T6621" s="15">
        <v>0</v>
      </c>
      <c r="U6621" s="9">
        <v>10</v>
      </c>
      <c r="V6621" s="9">
        <v>0.3</v>
      </c>
      <c r="W6621" s="9">
        <v>0.1</v>
      </c>
      <c r="X6621" s="9">
        <v>6</v>
      </c>
      <c r="Y6621" s="9">
        <v>4</v>
      </c>
      <c r="Z6621" s="9">
        <v>4</v>
      </c>
      <c r="AA6621" s="9">
        <v>6</v>
      </c>
      <c r="AC6621" s="38">
        <v>0</v>
      </c>
    </row>
    <row r="6622" spans="1:29" x14ac:dyDescent="0.25">
      <c r="A6622" s="22">
        <v>44973</v>
      </c>
      <c r="B6622" s="9">
        <v>0</v>
      </c>
      <c r="C6622" s="9">
        <v>0</v>
      </c>
      <c r="D6622" s="9">
        <v>0</v>
      </c>
      <c r="E6622" s="7"/>
      <c r="F6622" s="9">
        <v>0</v>
      </c>
      <c r="G6622" s="9">
        <v>1</v>
      </c>
      <c r="H6622" s="9">
        <v>0</v>
      </c>
      <c r="I6622" s="9">
        <v>0.9</v>
      </c>
      <c r="J6622" s="9">
        <v>0</v>
      </c>
      <c r="K6622" s="9">
        <v>0.3</v>
      </c>
      <c r="L6622" s="9">
        <v>0</v>
      </c>
      <c r="M6622" s="9">
        <v>14.2</v>
      </c>
      <c r="N6622" s="9">
        <v>0.2</v>
      </c>
      <c r="O6622" s="7"/>
      <c r="P6622" s="9">
        <v>0</v>
      </c>
      <c r="Q6622" s="9">
        <v>0</v>
      </c>
      <c r="R6622" s="9">
        <v>0</v>
      </c>
      <c r="S6622" s="10"/>
      <c r="T6622" s="15">
        <v>0</v>
      </c>
      <c r="U6622" s="9">
        <v>0</v>
      </c>
      <c r="V6622" s="9">
        <v>0</v>
      </c>
      <c r="W6622" s="9">
        <v>0.4</v>
      </c>
      <c r="X6622" s="9">
        <v>0</v>
      </c>
      <c r="Y6622" s="9">
        <v>0</v>
      </c>
      <c r="Z6622" s="9">
        <v>0</v>
      </c>
      <c r="AA6622" s="9">
        <v>3</v>
      </c>
      <c r="AC6622" s="38">
        <v>0</v>
      </c>
    </row>
    <row r="6623" spans="1:29" x14ac:dyDescent="0.25">
      <c r="A6623" s="22">
        <v>44974</v>
      </c>
      <c r="B6623" s="9">
        <v>4</v>
      </c>
      <c r="C6623" s="9">
        <v>4.5999999999999996</v>
      </c>
      <c r="D6623" s="9">
        <v>2.4</v>
      </c>
      <c r="E6623" s="7"/>
      <c r="F6623" s="9">
        <v>0</v>
      </c>
      <c r="G6623" s="9">
        <v>0</v>
      </c>
      <c r="H6623" s="9">
        <v>0</v>
      </c>
      <c r="I6623" s="9">
        <v>0</v>
      </c>
      <c r="J6623" s="9">
        <v>2</v>
      </c>
      <c r="K6623" s="9">
        <v>1.5</v>
      </c>
      <c r="L6623" s="9">
        <v>4.3180000000000005</v>
      </c>
      <c r="M6623" s="9">
        <v>0</v>
      </c>
      <c r="N6623" s="9">
        <v>2.4</v>
      </c>
      <c r="O6623" s="7"/>
      <c r="P6623" s="9">
        <v>5</v>
      </c>
      <c r="Q6623" s="9">
        <v>3</v>
      </c>
      <c r="R6623" s="9">
        <v>2.1</v>
      </c>
      <c r="S6623" s="10"/>
      <c r="T6623" s="15">
        <v>0.2</v>
      </c>
      <c r="U6623" s="9">
        <v>2</v>
      </c>
      <c r="V6623" s="9">
        <v>0</v>
      </c>
      <c r="W6623" s="9">
        <v>0.3</v>
      </c>
      <c r="X6623" s="9">
        <v>0</v>
      </c>
      <c r="Y6623" s="9">
        <v>0</v>
      </c>
      <c r="Z6623" s="9">
        <v>0</v>
      </c>
      <c r="AA6623" s="9"/>
      <c r="AC6623" s="38">
        <v>0</v>
      </c>
    </row>
    <row r="6624" spans="1:29" x14ac:dyDescent="0.25">
      <c r="A6624" s="22">
        <v>44975</v>
      </c>
      <c r="B6624" s="9">
        <v>4</v>
      </c>
      <c r="C6624" s="9">
        <v>1.8</v>
      </c>
      <c r="D6624" s="9">
        <v>1.2</v>
      </c>
      <c r="E6624" s="7"/>
      <c r="F6624" s="9">
        <v>0</v>
      </c>
      <c r="G6624" s="9">
        <v>0</v>
      </c>
      <c r="H6624" s="9">
        <v>0</v>
      </c>
      <c r="I6624" s="9">
        <v>0</v>
      </c>
      <c r="J6624" s="9">
        <v>2.2999999999999998</v>
      </c>
      <c r="K6624" s="9">
        <v>2</v>
      </c>
      <c r="L6624" s="9">
        <v>1.016</v>
      </c>
      <c r="M6624" s="9">
        <v>0</v>
      </c>
      <c r="N6624" s="9">
        <v>0</v>
      </c>
      <c r="O6624" s="7"/>
      <c r="P6624" s="9">
        <v>2</v>
      </c>
      <c r="Q6624" s="9">
        <v>0</v>
      </c>
      <c r="R6624" s="9">
        <v>0</v>
      </c>
      <c r="S6624" s="10"/>
      <c r="T6624" s="15">
        <v>0</v>
      </c>
      <c r="U6624" s="9">
        <v>0</v>
      </c>
      <c r="V6624" s="9">
        <v>0</v>
      </c>
      <c r="W6624" s="9">
        <v>0</v>
      </c>
      <c r="X6624" s="9">
        <v>0</v>
      </c>
      <c r="Y6624" s="9">
        <v>0</v>
      </c>
      <c r="Z6624" s="9">
        <v>2</v>
      </c>
      <c r="AA6624" s="9">
        <v>2</v>
      </c>
      <c r="AC6624" s="38">
        <v>0</v>
      </c>
    </row>
    <row r="6625" spans="1:29" x14ac:dyDescent="0.25">
      <c r="A6625" s="22">
        <v>44976</v>
      </c>
      <c r="B6625" s="9">
        <v>0</v>
      </c>
      <c r="C6625" s="9">
        <v>8</v>
      </c>
      <c r="D6625" s="9">
        <v>1.6</v>
      </c>
      <c r="E6625" s="7"/>
      <c r="F6625" s="9">
        <v>2</v>
      </c>
      <c r="G6625" s="9">
        <v>2.5</v>
      </c>
      <c r="H6625" s="9">
        <v>4.8</v>
      </c>
      <c r="I6625" s="9">
        <v>2</v>
      </c>
      <c r="J6625" s="9">
        <v>6</v>
      </c>
      <c r="K6625" s="9">
        <v>2.2000000000000002</v>
      </c>
      <c r="L6625" s="9">
        <v>0</v>
      </c>
      <c r="M6625" s="9">
        <v>6.2</v>
      </c>
      <c r="N6625" s="9">
        <v>1.6</v>
      </c>
      <c r="O6625" s="7"/>
      <c r="P6625" s="9">
        <v>1</v>
      </c>
      <c r="Q6625" s="9">
        <v>1.3</v>
      </c>
      <c r="R6625" s="9">
        <v>0</v>
      </c>
      <c r="S6625" s="10"/>
      <c r="T6625" s="15">
        <v>2.6</v>
      </c>
      <c r="U6625" s="9">
        <v>0</v>
      </c>
      <c r="V6625" s="9">
        <v>8.3000000000000007</v>
      </c>
      <c r="W6625" s="9">
        <v>6.2</v>
      </c>
      <c r="X6625" s="9">
        <v>0</v>
      </c>
      <c r="Y6625" s="9">
        <v>2</v>
      </c>
      <c r="Z6625" s="9">
        <v>0</v>
      </c>
      <c r="AA6625" s="9">
        <v>1</v>
      </c>
      <c r="AC6625" s="38">
        <v>0</v>
      </c>
    </row>
    <row r="6626" spans="1:29" x14ac:dyDescent="0.25">
      <c r="A6626" s="22">
        <v>44977</v>
      </c>
      <c r="B6626" s="9">
        <v>4</v>
      </c>
      <c r="C6626" s="9">
        <v>0</v>
      </c>
      <c r="D6626" s="9">
        <v>0</v>
      </c>
      <c r="E6626" s="7"/>
      <c r="F6626" s="9">
        <v>0</v>
      </c>
      <c r="G6626" s="9">
        <v>0.5</v>
      </c>
      <c r="H6626" s="9">
        <v>0</v>
      </c>
      <c r="I6626" s="9">
        <v>2.2000000000000002</v>
      </c>
      <c r="J6626" s="9">
        <v>0</v>
      </c>
      <c r="K6626" s="9">
        <v>0.2</v>
      </c>
      <c r="L6626" s="9">
        <v>0</v>
      </c>
      <c r="M6626" s="9">
        <v>1.2</v>
      </c>
      <c r="N6626" s="9">
        <v>0.2</v>
      </c>
      <c r="O6626" s="7"/>
      <c r="P6626" s="9">
        <v>0</v>
      </c>
      <c r="Q6626" s="9">
        <v>0</v>
      </c>
      <c r="R6626" s="9">
        <v>2.1</v>
      </c>
      <c r="S6626" s="10"/>
      <c r="T6626" s="15">
        <v>0</v>
      </c>
      <c r="U6626" s="9">
        <v>2</v>
      </c>
      <c r="V6626" s="9">
        <v>0.2</v>
      </c>
      <c r="W6626" s="9">
        <v>0</v>
      </c>
      <c r="X6626" s="9">
        <v>0</v>
      </c>
      <c r="Y6626" s="9">
        <v>0</v>
      </c>
      <c r="Z6626" s="9">
        <v>0</v>
      </c>
      <c r="AA6626" s="9">
        <v>0</v>
      </c>
      <c r="AC6626" s="38">
        <v>0</v>
      </c>
    </row>
    <row r="6627" spans="1:29" x14ac:dyDescent="0.25">
      <c r="A6627" s="22">
        <v>44978</v>
      </c>
      <c r="B6627" s="9">
        <v>0</v>
      </c>
      <c r="C6627" s="9">
        <v>0.8</v>
      </c>
      <c r="D6627" s="9">
        <v>2.1</v>
      </c>
      <c r="E6627" s="7"/>
      <c r="F6627" s="9">
        <v>0.2</v>
      </c>
      <c r="G6627" s="9">
        <v>0</v>
      </c>
      <c r="H6627" s="9">
        <v>0</v>
      </c>
      <c r="I6627" s="9">
        <v>0.2</v>
      </c>
      <c r="J6627" s="9">
        <v>0</v>
      </c>
      <c r="K6627" s="9">
        <v>0</v>
      </c>
      <c r="L6627" s="9">
        <v>0</v>
      </c>
      <c r="M6627" s="9">
        <v>0</v>
      </c>
      <c r="N6627" s="9">
        <v>0.4</v>
      </c>
      <c r="O6627" s="7"/>
      <c r="P6627" s="9">
        <v>0</v>
      </c>
      <c r="Q6627" s="9">
        <v>1.2</v>
      </c>
      <c r="R6627" s="9">
        <v>1.5</v>
      </c>
      <c r="S6627" s="10"/>
      <c r="T6627" s="15">
        <v>2.4</v>
      </c>
      <c r="U6627" s="9">
        <v>0</v>
      </c>
      <c r="V6627" s="9">
        <v>0</v>
      </c>
      <c r="W6627" s="9">
        <v>0</v>
      </c>
      <c r="X6627" s="9">
        <v>0</v>
      </c>
      <c r="Y6627" s="9">
        <v>0</v>
      </c>
      <c r="Z6627" s="9">
        <v>0</v>
      </c>
      <c r="AA6627" s="9">
        <v>0</v>
      </c>
      <c r="AC6627" s="38">
        <v>0</v>
      </c>
    </row>
    <row r="6628" spans="1:29" x14ac:dyDescent="0.25">
      <c r="A6628" s="22">
        <v>44979</v>
      </c>
      <c r="B6628" s="9">
        <v>3.5</v>
      </c>
      <c r="C6628" s="9">
        <v>2</v>
      </c>
      <c r="D6628" s="9">
        <v>4.4000000000000004</v>
      </c>
      <c r="E6628" s="7"/>
      <c r="F6628" s="9">
        <v>1.8</v>
      </c>
      <c r="G6628" s="9">
        <v>6</v>
      </c>
      <c r="H6628" s="9">
        <v>7</v>
      </c>
      <c r="I6628" s="9">
        <v>2.8</v>
      </c>
      <c r="J6628" s="9">
        <v>4.4000000000000004</v>
      </c>
      <c r="K6628" s="9">
        <v>0</v>
      </c>
      <c r="L6628" s="9">
        <v>4.3180000000000005</v>
      </c>
      <c r="M6628" s="9">
        <v>1.21</v>
      </c>
      <c r="N6628" s="9">
        <v>5.2</v>
      </c>
      <c r="O6628" s="7"/>
      <c r="P6628" s="9">
        <v>3</v>
      </c>
      <c r="Q6628" s="9">
        <v>4.4000000000000004</v>
      </c>
      <c r="R6628" s="9">
        <v>4.5</v>
      </c>
      <c r="S6628" s="10"/>
      <c r="T6628" s="15">
        <v>3.2</v>
      </c>
      <c r="U6628" s="9">
        <v>12</v>
      </c>
      <c r="V6628" s="9">
        <v>5.0999999999999996</v>
      </c>
      <c r="W6628" s="9">
        <v>4.2</v>
      </c>
      <c r="X6628" s="9">
        <v>1</v>
      </c>
      <c r="Y6628" s="9">
        <v>1</v>
      </c>
      <c r="Z6628" s="9">
        <v>2</v>
      </c>
      <c r="AA6628" s="9">
        <v>5</v>
      </c>
      <c r="AC6628" s="38">
        <v>0</v>
      </c>
    </row>
    <row r="6629" spans="1:29" x14ac:dyDescent="0.25">
      <c r="A6629" s="22">
        <v>44980</v>
      </c>
      <c r="B6629" s="9">
        <v>4</v>
      </c>
      <c r="C6629" s="9">
        <v>0.8</v>
      </c>
      <c r="D6629" s="9">
        <v>2.4</v>
      </c>
      <c r="E6629" s="7"/>
      <c r="F6629" s="9">
        <v>0</v>
      </c>
      <c r="G6629" s="9">
        <v>1</v>
      </c>
      <c r="H6629" s="9">
        <v>1.6</v>
      </c>
      <c r="I6629" s="9">
        <v>0</v>
      </c>
      <c r="J6629" s="9">
        <v>2</v>
      </c>
      <c r="K6629" s="9">
        <v>0</v>
      </c>
      <c r="L6629" s="9">
        <v>1.5239999999999998</v>
      </c>
      <c r="M6629" s="9">
        <v>2</v>
      </c>
      <c r="N6629" s="9">
        <v>1</v>
      </c>
      <c r="O6629" s="7"/>
      <c r="P6629" s="9">
        <v>3</v>
      </c>
      <c r="Q6629" s="9">
        <v>2.7</v>
      </c>
      <c r="R6629" s="9">
        <v>0</v>
      </c>
      <c r="S6629" s="8"/>
      <c r="T6629" s="15">
        <v>0</v>
      </c>
      <c r="U6629" s="9">
        <v>0</v>
      </c>
      <c r="V6629" s="9">
        <v>1</v>
      </c>
      <c r="W6629" s="9">
        <v>0.2</v>
      </c>
      <c r="X6629" s="9">
        <v>0</v>
      </c>
      <c r="Y6629" s="9">
        <v>0</v>
      </c>
      <c r="Z6629" s="9">
        <v>0</v>
      </c>
      <c r="AA6629" s="9">
        <v>0</v>
      </c>
      <c r="AC6629" s="38">
        <v>0</v>
      </c>
    </row>
    <row r="6630" spans="1:29" x14ac:dyDescent="0.25">
      <c r="A6630" s="22">
        <v>44981</v>
      </c>
      <c r="B6630" s="9">
        <v>0</v>
      </c>
      <c r="C6630" s="9">
        <v>0</v>
      </c>
      <c r="D6630" s="9">
        <v>0</v>
      </c>
      <c r="E6630" s="7"/>
      <c r="F6630" s="9">
        <v>0</v>
      </c>
      <c r="G6630" s="9">
        <v>0</v>
      </c>
      <c r="H6630" s="9">
        <v>2</v>
      </c>
      <c r="I6630" s="9">
        <v>2.2000000000000002</v>
      </c>
      <c r="J6630" s="9">
        <v>0</v>
      </c>
      <c r="K6630" s="9">
        <v>0.5</v>
      </c>
      <c r="L6630" s="9">
        <v>0</v>
      </c>
      <c r="M6630" s="9">
        <v>2</v>
      </c>
      <c r="N6630" s="9">
        <v>0.2</v>
      </c>
      <c r="O6630" s="7"/>
      <c r="P6630" s="9">
        <v>0</v>
      </c>
      <c r="Q6630" s="9">
        <v>1.1000000000000001</v>
      </c>
      <c r="R6630" s="9">
        <v>2.1</v>
      </c>
      <c r="S6630" s="8"/>
      <c r="T6630" s="15">
        <v>0.8</v>
      </c>
      <c r="U6630" s="9">
        <v>2</v>
      </c>
      <c r="V6630" s="9">
        <v>0.3</v>
      </c>
      <c r="W6630" s="9">
        <v>0</v>
      </c>
      <c r="X6630" s="9">
        <v>0</v>
      </c>
      <c r="Y6630" s="9">
        <v>0</v>
      </c>
      <c r="Z6630" s="9">
        <v>0</v>
      </c>
      <c r="AA6630" s="9">
        <v>0</v>
      </c>
      <c r="AC6630" s="38">
        <v>0</v>
      </c>
    </row>
    <row r="6631" spans="1:29" x14ac:dyDescent="0.25">
      <c r="A6631" s="22">
        <v>44982</v>
      </c>
      <c r="B6631" s="9">
        <v>0</v>
      </c>
      <c r="C6631" s="9">
        <v>0</v>
      </c>
      <c r="D6631" s="9">
        <v>0.2</v>
      </c>
      <c r="E6631" s="7"/>
      <c r="F6631" s="9">
        <v>1.8</v>
      </c>
      <c r="G6631" s="9">
        <v>1</v>
      </c>
      <c r="H6631" s="9">
        <v>1.6</v>
      </c>
      <c r="I6631" s="9">
        <v>0.4</v>
      </c>
      <c r="J6631" s="9">
        <v>2.2000000000000002</v>
      </c>
      <c r="K6631" s="9">
        <v>0</v>
      </c>
      <c r="L6631" s="9">
        <v>0</v>
      </c>
      <c r="M6631" s="9">
        <v>0</v>
      </c>
      <c r="N6631" s="9">
        <v>1.2</v>
      </c>
      <c r="O6631" s="7"/>
      <c r="P6631" s="9">
        <v>0</v>
      </c>
      <c r="Q6631" s="9">
        <v>0.3</v>
      </c>
      <c r="R6631" s="9">
        <v>0</v>
      </c>
      <c r="S6631" s="8"/>
      <c r="T6631" s="15">
        <v>0</v>
      </c>
      <c r="U6631" s="9">
        <v>0</v>
      </c>
      <c r="V6631" s="9">
        <v>4.2</v>
      </c>
      <c r="W6631" s="9">
        <v>2.2000000000000002</v>
      </c>
      <c r="X6631" s="9">
        <v>6</v>
      </c>
      <c r="Y6631" s="9">
        <v>0</v>
      </c>
      <c r="Z6631" s="9">
        <v>0</v>
      </c>
      <c r="AA6631" s="9">
        <v>0</v>
      </c>
      <c r="AC6631" s="38">
        <v>0</v>
      </c>
    </row>
    <row r="6632" spans="1:29" x14ac:dyDescent="0.25">
      <c r="A6632" s="22">
        <v>44983</v>
      </c>
      <c r="B6632" s="9">
        <v>7</v>
      </c>
      <c r="C6632" s="9">
        <v>0</v>
      </c>
      <c r="D6632" s="9">
        <v>1.6</v>
      </c>
      <c r="E6632" s="7"/>
      <c r="F6632" s="9">
        <v>0.6</v>
      </c>
      <c r="G6632" s="9">
        <v>2</v>
      </c>
      <c r="H6632" s="9">
        <v>2</v>
      </c>
      <c r="I6632" s="9">
        <v>0.2</v>
      </c>
      <c r="J6632" s="9">
        <v>2</v>
      </c>
      <c r="K6632" s="9">
        <v>2</v>
      </c>
      <c r="L6632" s="9">
        <v>0</v>
      </c>
      <c r="M6632" s="9">
        <v>2.4</v>
      </c>
      <c r="N6632" s="9">
        <v>0.6</v>
      </c>
      <c r="O6632" s="7"/>
      <c r="P6632" s="9">
        <v>1</v>
      </c>
      <c r="Q6632" s="9">
        <v>0</v>
      </c>
      <c r="R6632" s="9">
        <v>0</v>
      </c>
      <c r="S6632" s="8"/>
      <c r="T6632" s="15">
        <v>1</v>
      </c>
      <c r="U6632" s="9">
        <v>2</v>
      </c>
      <c r="V6632" s="9">
        <v>0.2</v>
      </c>
      <c r="W6632" s="9">
        <v>0.3</v>
      </c>
      <c r="X6632" s="9">
        <v>0</v>
      </c>
      <c r="Y6632" s="9">
        <v>0</v>
      </c>
      <c r="Z6632" s="9">
        <v>0</v>
      </c>
      <c r="AA6632" s="9">
        <v>0</v>
      </c>
      <c r="AC6632" s="38">
        <v>0</v>
      </c>
    </row>
    <row r="6633" spans="1:29" x14ac:dyDescent="0.25">
      <c r="A6633" s="22">
        <v>44984</v>
      </c>
      <c r="B6633" s="9">
        <v>0</v>
      </c>
      <c r="C6633" s="9">
        <v>0</v>
      </c>
      <c r="D6633" s="9">
        <v>0.4</v>
      </c>
      <c r="E6633" s="7"/>
      <c r="F6633" s="9">
        <v>0</v>
      </c>
      <c r="G6633" s="9">
        <v>0</v>
      </c>
      <c r="H6633" s="9">
        <v>0</v>
      </c>
      <c r="I6633" s="9">
        <v>0</v>
      </c>
      <c r="J6633" s="9">
        <v>0</v>
      </c>
      <c r="K6633" s="9">
        <v>0</v>
      </c>
      <c r="L6633" s="9">
        <v>0</v>
      </c>
      <c r="M6633" s="9">
        <v>0</v>
      </c>
      <c r="N6633" s="9">
        <v>0.2</v>
      </c>
      <c r="O6633" s="7"/>
      <c r="P6633" s="9">
        <v>0</v>
      </c>
      <c r="Q6633" s="9">
        <v>0</v>
      </c>
      <c r="R6633" s="9">
        <v>0</v>
      </c>
      <c r="S6633" s="8"/>
      <c r="T6633" s="15">
        <v>0</v>
      </c>
      <c r="U6633" s="9">
        <v>0</v>
      </c>
      <c r="V6633" s="9">
        <v>0</v>
      </c>
      <c r="W6633" s="9">
        <v>0</v>
      </c>
      <c r="X6633" s="9">
        <v>0</v>
      </c>
      <c r="Y6633" s="9">
        <v>0</v>
      </c>
      <c r="Z6633" s="9">
        <v>0</v>
      </c>
      <c r="AA6633" s="9">
        <v>0</v>
      </c>
      <c r="AC6633" s="38">
        <v>0</v>
      </c>
    </row>
    <row r="6634" spans="1:29" x14ac:dyDescent="0.25">
      <c r="A6634" s="22">
        <v>44985</v>
      </c>
      <c r="B6634" s="9">
        <v>0</v>
      </c>
      <c r="C6634" s="9">
        <v>0</v>
      </c>
      <c r="D6634" s="9">
        <v>0</v>
      </c>
      <c r="E6634" s="7"/>
      <c r="F6634" s="9">
        <v>0</v>
      </c>
      <c r="G6634" s="9">
        <v>0</v>
      </c>
      <c r="H6634" s="9">
        <v>0</v>
      </c>
      <c r="I6634" s="9">
        <v>0</v>
      </c>
      <c r="J6634" s="9">
        <v>0</v>
      </c>
      <c r="K6634" s="9">
        <v>0</v>
      </c>
      <c r="L6634" s="9">
        <v>0</v>
      </c>
      <c r="M6634" s="9">
        <v>1.2</v>
      </c>
      <c r="N6634" s="9">
        <v>0.2</v>
      </c>
      <c r="O6634" s="7"/>
      <c r="P6634" s="9">
        <v>0</v>
      </c>
      <c r="Q6634" s="9">
        <v>0</v>
      </c>
      <c r="R6634" s="9">
        <v>0</v>
      </c>
      <c r="S6634" s="8"/>
      <c r="T6634" s="15">
        <v>0</v>
      </c>
      <c r="U6634" s="9">
        <v>0</v>
      </c>
      <c r="V6634" s="9">
        <v>0</v>
      </c>
      <c r="W6634" s="9">
        <v>0</v>
      </c>
      <c r="X6634" s="9">
        <v>0</v>
      </c>
      <c r="Y6634" s="9">
        <v>0</v>
      </c>
      <c r="Z6634" s="9">
        <v>0</v>
      </c>
      <c r="AA6634" s="9">
        <v>0</v>
      </c>
      <c r="AC6634" s="38">
        <v>0</v>
      </c>
    </row>
    <row r="6635" spans="1:29" x14ac:dyDescent="0.25">
      <c r="A6635" s="22">
        <v>44986</v>
      </c>
      <c r="B6635" s="9">
        <v>0</v>
      </c>
      <c r="C6635" s="9">
        <v>0</v>
      </c>
      <c r="D6635" s="9">
        <v>0</v>
      </c>
      <c r="E6635" s="7"/>
      <c r="F6635" s="9">
        <v>0</v>
      </c>
      <c r="G6635" s="9">
        <v>0</v>
      </c>
      <c r="H6635" s="9">
        <v>0</v>
      </c>
      <c r="I6635" s="9">
        <v>0</v>
      </c>
      <c r="J6635" s="9">
        <v>0</v>
      </c>
      <c r="K6635" s="9">
        <v>0</v>
      </c>
      <c r="L6635" s="9">
        <v>0</v>
      </c>
      <c r="M6635" s="9">
        <v>0</v>
      </c>
      <c r="N6635" s="9">
        <v>0.4</v>
      </c>
      <c r="O6635" s="7"/>
      <c r="P6635" s="9">
        <v>0</v>
      </c>
      <c r="Q6635" s="9">
        <v>2.7</v>
      </c>
      <c r="R6635" s="9">
        <v>0</v>
      </c>
      <c r="S6635" s="8"/>
      <c r="T6635" s="15">
        <v>0</v>
      </c>
      <c r="U6635" s="9">
        <v>0</v>
      </c>
      <c r="V6635" s="9">
        <v>0</v>
      </c>
      <c r="W6635" s="9">
        <v>0</v>
      </c>
      <c r="X6635" s="9">
        <v>0</v>
      </c>
      <c r="Y6635" s="9">
        <v>0</v>
      </c>
      <c r="Z6635" s="9"/>
      <c r="AA6635" s="9">
        <v>0</v>
      </c>
      <c r="AC6635" s="38">
        <v>0</v>
      </c>
    </row>
    <row r="6636" spans="1:29" x14ac:dyDescent="0.25">
      <c r="A6636" s="22">
        <v>44987</v>
      </c>
      <c r="B6636" s="9">
        <v>0</v>
      </c>
      <c r="C6636" s="9">
        <v>0</v>
      </c>
      <c r="D6636" s="9">
        <v>0</v>
      </c>
      <c r="E6636" s="7"/>
      <c r="F6636" s="9">
        <v>2.2999999999999998</v>
      </c>
      <c r="G6636" s="9">
        <v>0</v>
      </c>
      <c r="H6636" s="9">
        <v>0</v>
      </c>
      <c r="I6636" s="9">
        <v>0</v>
      </c>
      <c r="J6636" s="9">
        <v>0.4</v>
      </c>
      <c r="K6636" s="9">
        <v>0</v>
      </c>
      <c r="L6636" s="9">
        <v>0</v>
      </c>
      <c r="M6636" s="9">
        <v>0</v>
      </c>
      <c r="N6636" s="9">
        <v>0.6</v>
      </c>
      <c r="O6636" s="7"/>
      <c r="P6636" s="9">
        <v>0</v>
      </c>
      <c r="Q6636" s="9">
        <v>0</v>
      </c>
      <c r="R6636" s="9">
        <v>0</v>
      </c>
      <c r="S6636" s="8"/>
      <c r="T6636" s="15">
        <v>0</v>
      </c>
      <c r="U6636" s="9">
        <v>0</v>
      </c>
      <c r="V6636" s="9">
        <v>0</v>
      </c>
      <c r="W6636" s="9">
        <v>0</v>
      </c>
      <c r="X6636" s="9">
        <v>0</v>
      </c>
      <c r="Y6636" s="9">
        <v>0</v>
      </c>
      <c r="Z6636" s="9"/>
      <c r="AA6636" s="9">
        <v>0</v>
      </c>
      <c r="AC6636" s="38">
        <v>0</v>
      </c>
    </row>
    <row r="6637" spans="1:29" x14ac:dyDescent="0.25">
      <c r="A6637" s="22">
        <v>44988</v>
      </c>
      <c r="B6637" s="9">
        <v>0</v>
      </c>
      <c r="C6637" s="9">
        <v>0</v>
      </c>
      <c r="D6637" s="9">
        <v>0</v>
      </c>
      <c r="E6637" s="7"/>
      <c r="F6637" s="9">
        <v>0</v>
      </c>
      <c r="G6637" s="9">
        <v>0</v>
      </c>
      <c r="H6637" s="9">
        <v>0</v>
      </c>
      <c r="I6637" s="9">
        <v>0</v>
      </c>
      <c r="J6637" s="9">
        <v>0</v>
      </c>
      <c r="K6637" s="9">
        <v>0</v>
      </c>
      <c r="L6637" s="9">
        <v>0</v>
      </c>
      <c r="M6637" s="9">
        <v>0</v>
      </c>
      <c r="N6637" s="9">
        <v>0.4</v>
      </c>
      <c r="O6637" s="7"/>
      <c r="P6637" s="9">
        <v>0</v>
      </c>
      <c r="Q6637" s="9">
        <v>0</v>
      </c>
      <c r="R6637" s="9">
        <v>0</v>
      </c>
      <c r="S6637" s="8"/>
      <c r="T6637" s="15">
        <v>0</v>
      </c>
      <c r="U6637" s="9">
        <v>0</v>
      </c>
      <c r="V6637" s="9">
        <v>2.2000000000000002</v>
      </c>
      <c r="W6637" s="9">
        <v>0.4</v>
      </c>
      <c r="X6637" s="9">
        <v>0</v>
      </c>
      <c r="Y6637" s="9">
        <v>0</v>
      </c>
      <c r="Z6637" s="9"/>
      <c r="AA6637" s="9">
        <v>0</v>
      </c>
      <c r="AC6637" s="38">
        <v>0</v>
      </c>
    </row>
    <row r="6638" spans="1:29" x14ac:dyDescent="0.25">
      <c r="A6638" s="22">
        <v>44989</v>
      </c>
      <c r="B6638" s="9">
        <v>0</v>
      </c>
      <c r="C6638" s="9">
        <v>0</v>
      </c>
      <c r="D6638" s="7">
        <v>0</v>
      </c>
      <c r="E6638" s="7"/>
      <c r="F6638" s="9">
        <v>0</v>
      </c>
      <c r="G6638" s="9">
        <v>0.5</v>
      </c>
      <c r="H6638" s="9">
        <v>0</v>
      </c>
      <c r="I6638" s="9">
        <v>0</v>
      </c>
      <c r="J6638" s="9">
        <v>0</v>
      </c>
      <c r="K6638" s="9">
        <v>0</v>
      </c>
      <c r="L6638" s="9">
        <v>0</v>
      </c>
      <c r="M6638" s="9">
        <v>0</v>
      </c>
      <c r="N6638" s="9">
        <v>0.2</v>
      </c>
      <c r="O6638" s="7"/>
      <c r="P6638" s="9">
        <v>0</v>
      </c>
      <c r="Q6638" s="9">
        <v>0</v>
      </c>
      <c r="R6638" s="9">
        <v>0</v>
      </c>
      <c r="S6638" s="8"/>
      <c r="T6638" s="15">
        <v>0</v>
      </c>
      <c r="U6638" s="9">
        <v>0</v>
      </c>
      <c r="V6638" s="9">
        <v>0</v>
      </c>
      <c r="W6638" s="9">
        <v>0</v>
      </c>
      <c r="X6638" s="9">
        <v>0</v>
      </c>
      <c r="Y6638" s="9">
        <v>0</v>
      </c>
      <c r="Z6638" s="9"/>
      <c r="AA6638" s="9">
        <v>0</v>
      </c>
      <c r="AC6638" s="38">
        <v>0</v>
      </c>
    </row>
    <row r="6639" spans="1:29" x14ac:dyDescent="0.25">
      <c r="A6639" s="22">
        <v>44990</v>
      </c>
      <c r="B6639" s="9">
        <v>0</v>
      </c>
      <c r="C6639" s="9">
        <v>0</v>
      </c>
      <c r="D6639" s="7">
        <v>6.6</v>
      </c>
      <c r="E6639" s="7"/>
      <c r="F6639" s="9">
        <v>0</v>
      </c>
      <c r="G6639" s="9">
        <v>0</v>
      </c>
      <c r="H6639" s="9">
        <v>0</v>
      </c>
      <c r="I6639" s="9">
        <v>0.2</v>
      </c>
      <c r="J6639" s="9">
        <v>0</v>
      </c>
      <c r="K6639" s="9">
        <v>0.8</v>
      </c>
      <c r="L6639" s="9">
        <v>0</v>
      </c>
      <c r="M6639" s="9">
        <v>1.2</v>
      </c>
      <c r="N6639" s="9">
        <v>0.4</v>
      </c>
      <c r="O6639" s="7"/>
      <c r="P6639" s="9">
        <v>0</v>
      </c>
      <c r="Q6639" s="9">
        <v>1.9</v>
      </c>
      <c r="R6639" s="9">
        <v>0</v>
      </c>
      <c r="S6639" s="8"/>
      <c r="T6639" s="15">
        <v>0</v>
      </c>
      <c r="U6639" s="9">
        <v>2</v>
      </c>
      <c r="V6639" s="9">
        <v>0</v>
      </c>
      <c r="W6639" s="9">
        <v>0</v>
      </c>
      <c r="X6639" s="9">
        <v>0</v>
      </c>
      <c r="Y6639" s="9">
        <v>0</v>
      </c>
      <c r="Z6639" s="9"/>
      <c r="AA6639" s="9">
        <v>0</v>
      </c>
      <c r="AC6639" s="42">
        <v>0</v>
      </c>
    </row>
    <row r="6640" spans="1:29" x14ac:dyDescent="0.25">
      <c r="A6640" s="22">
        <v>44991</v>
      </c>
      <c r="B6640" s="9">
        <v>1</v>
      </c>
      <c r="C6640" s="9">
        <v>2</v>
      </c>
      <c r="D6640" s="7">
        <v>0</v>
      </c>
      <c r="E6640" s="7"/>
      <c r="F6640" s="9">
        <v>0</v>
      </c>
      <c r="G6640" s="9">
        <v>1.5</v>
      </c>
      <c r="H6640" s="9">
        <v>0</v>
      </c>
      <c r="I6640" s="9">
        <v>0</v>
      </c>
      <c r="J6640" s="9">
        <v>2</v>
      </c>
      <c r="K6640" s="9">
        <v>0.8</v>
      </c>
      <c r="L6640" s="9">
        <f>0.6*25.4</f>
        <v>15.239999999999998</v>
      </c>
      <c r="M6640" s="9">
        <v>2</v>
      </c>
      <c r="N6640" s="9">
        <v>0.6</v>
      </c>
      <c r="O6640" s="7"/>
      <c r="P6640" s="9">
        <v>1</v>
      </c>
      <c r="Q6640" s="9">
        <v>0</v>
      </c>
      <c r="R6640" s="9">
        <v>0</v>
      </c>
      <c r="S6640" s="8"/>
      <c r="T6640" s="15">
        <v>0.2</v>
      </c>
      <c r="U6640" s="9">
        <v>0</v>
      </c>
      <c r="V6640" s="9">
        <v>2.2000000000000002</v>
      </c>
      <c r="W6640" s="9">
        <v>0</v>
      </c>
      <c r="X6640" s="9">
        <v>0</v>
      </c>
      <c r="Y6640" s="9">
        <v>0</v>
      </c>
      <c r="Z6640" s="9"/>
      <c r="AA6640" s="9">
        <v>0</v>
      </c>
      <c r="AC6640" s="38">
        <v>0</v>
      </c>
    </row>
    <row r="6641" spans="1:29" x14ac:dyDescent="0.25">
      <c r="A6641" s="22">
        <v>44992</v>
      </c>
      <c r="B6641" s="9">
        <v>0</v>
      </c>
      <c r="C6641" s="9">
        <v>0</v>
      </c>
      <c r="D6641" s="7">
        <v>0</v>
      </c>
      <c r="E6641" s="7"/>
      <c r="F6641" s="9">
        <v>0</v>
      </c>
      <c r="G6641" s="9">
        <v>0</v>
      </c>
      <c r="H6641" s="9">
        <v>0</v>
      </c>
      <c r="I6641" s="9">
        <v>2.8</v>
      </c>
      <c r="J6641" s="9">
        <v>0</v>
      </c>
      <c r="K6641" s="9">
        <v>0</v>
      </c>
      <c r="L6641" s="9">
        <v>0</v>
      </c>
      <c r="M6641" s="9">
        <v>0</v>
      </c>
      <c r="N6641" s="9">
        <v>0.4</v>
      </c>
      <c r="O6641" s="7"/>
      <c r="P6641" s="9">
        <v>0</v>
      </c>
      <c r="Q6641" s="9">
        <v>0</v>
      </c>
      <c r="R6641" s="9">
        <v>0</v>
      </c>
      <c r="S6641" s="8"/>
      <c r="T6641" s="15">
        <v>0</v>
      </c>
      <c r="U6641" s="9">
        <v>0</v>
      </c>
      <c r="V6641" s="9">
        <v>0</v>
      </c>
      <c r="W6641" s="9">
        <v>0</v>
      </c>
      <c r="X6641" s="9">
        <v>0</v>
      </c>
      <c r="Y6641" s="9">
        <v>0</v>
      </c>
      <c r="Z6641" s="9"/>
      <c r="AA6641" s="9">
        <v>0</v>
      </c>
      <c r="AC6641" s="38">
        <v>0</v>
      </c>
    </row>
    <row r="6642" spans="1:29" x14ac:dyDescent="0.25">
      <c r="A6642" s="22">
        <v>44993</v>
      </c>
      <c r="B6642" s="9">
        <v>0</v>
      </c>
      <c r="C6642" s="9">
        <v>0.4</v>
      </c>
      <c r="D6642" s="7">
        <v>0</v>
      </c>
      <c r="E6642" s="7"/>
      <c r="F6642" s="9">
        <v>0</v>
      </c>
      <c r="G6642" s="9">
        <v>0</v>
      </c>
      <c r="H6642" s="9">
        <v>0</v>
      </c>
      <c r="I6642" s="9">
        <v>0</v>
      </c>
      <c r="J6642" s="9">
        <v>0</v>
      </c>
      <c r="K6642" s="9">
        <v>0</v>
      </c>
      <c r="L6642" s="9">
        <v>0</v>
      </c>
      <c r="M6642" s="9">
        <v>0</v>
      </c>
      <c r="N6642" s="9">
        <v>2.6</v>
      </c>
      <c r="O6642" s="7"/>
      <c r="P6642" s="9">
        <v>0</v>
      </c>
      <c r="Q6642" s="9">
        <v>0</v>
      </c>
      <c r="R6642" s="9">
        <v>0</v>
      </c>
      <c r="S6642" s="8"/>
      <c r="T6642" s="15">
        <v>0</v>
      </c>
      <c r="U6642" s="9">
        <v>0</v>
      </c>
      <c r="V6642" s="9">
        <v>0</v>
      </c>
      <c r="W6642" s="9">
        <v>0</v>
      </c>
      <c r="X6642" s="9">
        <v>0</v>
      </c>
      <c r="Y6642" s="9">
        <v>0</v>
      </c>
      <c r="Z6642" s="9"/>
      <c r="AA6642" s="9">
        <v>0</v>
      </c>
      <c r="AC6642" s="38">
        <v>0</v>
      </c>
    </row>
    <row r="6643" spans="1:29" x14ac:dyDescent="0.25">
      <c r="A6643" s="22">
        <v>44994</v>
      </c>
      <c r="B6643" s="9">
        <v>0</v>
      </c>
      <c r="C6643" s="9">
        <v>3.6</v>
      </c>
      <c r="D6643" s="7">
        <v>5.2</v>
      </c>
      <c r="E6643" s="7"/>
      <c r="F6643" s="9">
        <v>0</v>
      </c>
      <c r="G6643" s="9">
        <v>0</v>
      </c>
      <c r="H6643" s="9">
        <v>0</v>
      </c>
      <c r="I6643" s="9">
        <v>0</v>
      </c>
      <c r="J6643" s="9">
        <v>0</v>
      </c>
      <c r="K6643" s="9">
        <v>0</v>
      </c>
      <c r="L6643" s="9">
        <v>0</v>
      </c>
      <c r="M6643" s="9">
        <v>0</v>
      </c>
      <c r="N6643" s="9">
        <v>0.4</v>
      </c>
      <c r="O6643" s="7"/>
      <c r="P6643" s="9">
        <v>0</v>
      </c>
      <c r="Q6643" s="9">
        <v>0</v>
      </c>
      <c r="R6643" s="9">
        <v>0</v>
      </c>
      <c r="S6643" s="8"/>
      <c r="T6643" s="15">
        <v>0</v>
      </c>
      <c r="U6643" s="9">
        <v>0</v>
      </c>
      <c r="V6643" s="9">
        <v>0</v>
      </c>
      <c r="W6643" s="9">
        <v>0</v>
      </c>
      <c r="X6643" s="9">
        <v>0</v>
      </c>
      <c r="Y6643" s="9">
        <v>0</v>
      </c>
      <c r="Z6643" s="9"/>
      <c r="AA6643" s="9">
        <v>0</v>
      </c>
      <c r="AC6643" s="38">
        <v>0</v>
      </c>
    </row>
    <row r="6644" spans="1:29" x14ac:dyDescent="0.25">
      <c r="A6644" s="22">
        <v>44995</v>
      </c>
      <c r="B6644" s="9">
        <v>0</v>
      </c>
      <c r="C6644" s="9">
        <v>0</v>
      </c>
      <c r="D6644" s="7">
        <v>0</v>
      </c>
      <c r="E6644" s="7"/>
      <c r="F6644" s="9">
        <v>0</v>
      </c>
      <c r="G6644" s="9">
        <v>0</v>
      </c>
      <c r="H6644" s="9">
        <v>0</v>
      </c>
      <c r="I6644" s="9">
        <v>0</v>
      </c>
      <c r="J6644" s="9">
        <v>0</v>
      </c>
      <c r="K6644" s="9">
        <v>1</v>
      </c>
      <c r="L6644" s="9">
        <v>0</v>
      </c>
      <c r="M6644" s="9">
        <v>0</v>
      </c>
      <c r="N6644" s="9">
        <v>0.2</v>
      </c>
      <c r="O6644" s="7"/>
      <c r="P6644" s="9">
        <v>0</v>
      </c>
      <c r="Q6644" s="9">
        <v>20.100000000000001</v>
      </c>
      <c r="R6644" s="9">
        <v>26</v>
      </c>
      <c r="S6644" s="8"/>
      <c r="T6644" s="15">
        <v>0</v>
      </c>
      <c r="U6644" s="9">
        <v>0</v>
      </c>
      <c r="V6644" s="9">
        <v>0</v>
      </c>
      <c r="W6644" s="9">
        <v>0</v>
      </c>
      <c r="X6644" s="9">
        <v>0</v>
      </c>
      <c r="Y6644" s="9">
        <v>0</v>
      </c>
      <c r="Z6644" s="9"/>
      <c r="AA6644" s="9">
        <v>0</v>
      </c>
      <c r="AC6644" s="38">
        <v>0</v>
      </c>
    </row>
    <row r="6645" spans="1:29" x14ac:dyDescent="0.25">
      <c r="A6645" s="22">
        <v>44996</v>
      </c>
      <c r="B6645" s="9">
        <v>41</v>
      </c>
      <c r="C6645" s="9">
        <v>5.2</v>
      </c>
      <c r="D6645" s="7">
        <v>10.199999999999999</v>
      </c>
      <c r="E6645" s="7"/>
      <c r="F6645" s="9">
        <v>28.3</v>
      </c>
      <c r="G6645" s="9">
        <v>41.5</v>
      </c>
      <c r="H6645" s="9">
        <v>31</v>
      </c>
      <c r="I6645" s="9">
        <v>22</v>
      </c>
      <c r="J6645" s="9">
        <v>20</v>
      </c>
      <c r="K6645" s="9">
        <v>0</v>
      </c>
      <c r="L6645" s="9">
        <f>0.81*25.4</f>
        <v>20.574000000000002</v>
      </c>
      <c r="M6645" s="9">
        <v>2.6</v>
      </c>
      <c r="N6645" s="9">
        <v>7.6</v>
      </c>
      <c r="O6645" s="7"/>
      <c r="P6645" s="9">
        <v>44</v>
      </c>
      <c r="Q6645" s="9">
        <v>1</v>
      </c>
      <c r="R6645" s="9">
        <v>0</v>
      </c>
      <c r="S6645" s="8"/>
      <c r="T6645" s="15">
        <v>16.8</v>
      </c>
      <c r="U6645" s="9">
        <v>9</v>
      </c>
      <c r="V6645" s="9">
        <v>10.4</v>
      </c>
      <c r="W6645" s="9">
        <v>20.2</v>
      </c>
      <c r="X6645" s="9">
        <v>10.5</v>
      </c>
      <c r="Y6645" s="9">
        <v>14</v>
      </c>
      <c r="Z6645" s="9"/>
      <c r="AA6645" s="9">
        <v>24</v>
      </c>
      <c r="AC6645" s="38">
        <v>2</v>
      </c>
    </row>
    <row r="6646" spans="1:29" x14ac:dyDescent="0.25">
      <c r="A6646" s="22">
        <v>44997</v>
      </c>
      <c r="B6646" s="9">
        <v>0</v>
      </c>
      <c r="C6646" s="9">
        <v>0</v>
      </c>
      <c r="D6646" s="7">
        <v>0</v>
      </c>
      <c r="E6646" s="7"/>
      <c r="F6646" s="9">
        <v>0</v>
      </c>
      <c r="G6646" s="9">
        <v>0</v>
      </c>
      <c r="H6646" s="9">
        <v>0</v>
      </c>
      <c r="I6646" s="9">
        <v>3.9</v>
      </c>
      <c r="J6646" s="9">
        <v>0</v>
      </c>
      <c r="K6646" s="9">
        <v>0</v>
      </c>
      <c r="L6646" s="9">
        <v>0</v>
      </c>
      <c r="M6646" s="9">
        <v>8</v>
      </c>
      <c r="N6646" s="9">
        <v>0.4</v>
      </c>
      <c r="O6646" s="7"/>
      <c r="P6646" s="9">
        <v>1</v>
      </c>
      <c r="Q6646" s="9">
        <v>0</v>
      </c>
      <c r="R6646" s="9">
        <v>0</v>
      </c>
      <c r="S6646" s="8"/>
      <c r="T6646" s="15">
        <v>6.2</v>
      </c>
      <c r="U6646" s="9">
        <v>0</v>
      </c>
      <c r="V6646" s="9">
        <v>0.3</v>
      </c>
      <c r="W6646" s="9">
        <v>0</v>
      </c>
      <c r="X6646" s="9">
        <v>0</v>
      </c>
      <c r="Y6646" s="9">
        <v>0</v>
      </c>
      <c r="Z6646" s="9"/>
      <c r="AA6646" s="9">
        <v>0</v>
      </c>
      <c r="AC6646" s="38">
        <v>0</v>
      </c>
    </row>
    <row r="6647" spans="1:29" x14ac:dyDescent="0.25">
      <c r="A6647" s="22">
        <v>44998</v>
      </c>
      <c r="B6647" s="9">
        <v>0</v>
      </c>
      <c r="C6647" s="9">
        <v>0</v>
      </c>
      <c r="D6647" s="7">
        <v>0</v>
      </c>
      <c r="E6647" s="7"/>
      <c r="F6647" s="9">
        <v>0</v>
      </c>
      <c r="G6647" s="9">
        <v>0</v>
      </c>
      <c r="H6647" s="9">
        <v>0</v>
      </c>
      <c r="I6647" s="9">
        <v>0</v>
      </c>
      <c r="J6647" s="9">
        <v>0</v>
      </c>
      <c r="K6647" s="9">
        <v>0</v>
      </c>
      <c r="L6647" s="9">
        <f>0.02*25.4</f>
        <v>0.50800000000000001</v>
      </c>
      <c r="M6647" s="9">
        <v>3</v>
      </c>
      <c r="N6647" s="9">
        <v>0.2</v>
      </c>
      <c r="O6647" s="7"/>
      <c r="P6647" s="9">
        <v>0</v>
      </c>
      <c r="Q6647" s="9">
        <v>0</v>
      </c>
      <c r="R6647" s="9">
        <v>0</v>
      </c>
      <c r="S6647" s="10"/>
      <c r="T6647" s="15">
        <v>0</v>
      </c>
      <c r="U6647" s="9">
        <v>0</v>
      </c>
      <c r="V6647" s="9">
        <v>0</v>
      </c>
      <c r="W6647" s="9">
        <v>0</v>
      </c>
      <c r="X6647" s="9">
        <v>0</v>
      </c>
      <c r="Y6647" s="9">
        <v>0</v>
      </c>
      <c r="Z6647" s="9"/>
      <c r="AA6647" s="9">
        <v>0</v>
      </c>
      <c r="AC6647" s="38">
        <v>0</v>
      </c>
    </row>
    <row r="6648" spans="1:29" x14ac:dyDescent="0.25">
      <c r="A6648" s="22">
        <v>44999</v>
      </c>
      <c r="B6648" s="9">
        <v>0</v>
      </c>
      <c r="C6648" s="9">
        <v>0</v>
      </c>
      <c r="D6648" s="7">
        <v>0</v>
      </c>
      <c r="E6648" s="7"/>
      <c r="F6648" s="9">
        <v>0</v>
      </c>
      <c r="G6648" s="9">
        <v>0.5</v>
      </c>
      <c r="H6648" s="9">
        <v>0</v>
      </c>
      <c r="I6648" s="9">
        <v>0</v>
      </c>
      <c r="J6648" s="9">
        <v>0</v>
      </c>
      <c r="K6648" s="9">
        <v>0</v>
      </c>
      <c r="L6648" s="9">
        <v>0</v>
      </c>
      <c r="M6648" s="9">
        <v>0</v>
      </c>
      <c r="N6648" s="9">
        <v>0.4</v>
      </c>
      <c r="O6648" s="7"/>
      <c r="P6648" s="9">
        <v>0</v>
      </c>
      <c r="Q6648" s="9">
        <v>0</v>
      </c>
      <c r="R6648" s="9">
        <v>0</v>
      </c>
      <c r="S6648" s="10"/>
      <c r="T6648" s="15">
        <v>0</v>
      </c>
      <c r="U6648" s="9">
        <v>0</v>
      </c>
      <c r="V6648" s="9">
        <v>0</v>
      </c>
      <c r="W6648" s="9">
        <v>0</v>
      </c>
      <c r="X6648" s="9">
        <v>0</v>
      </c>
      <c r="Y6648" s="9">
        <v>0</v>
      </c>
      <c r="Z6648" s="9"/>
      <c r="AA6648" s="9">
        <v>0</v>
      </c>
      <c r="AC6648" s="38">
        <v>0</v>
      </c>
    </row>
    <row r="6649" spans="1:29" x14ac:dyDescent="0.25">
      <c r="A6649" s="22">
        <v>45000</v>
      </c>
      <c r="B6649" s="9">
        <v>0</v>
      </c>
      <c r="C6649" s="9">
        <v>0</v>
      </c>
      <c r="D6649" s="7">
        <v>0</v>
      </c>
      <c r="E6649" s="7"/>
      <c r="F6649" s="9">
        <v>0</v>
      </c>
      <c r="G6649" s="9">
        <v>0</v>
      </c>
      <c r="H6649" s="9">
        <v>0</v>
      </c>
      <c r="I6649" s="9">
        <v>0</v>
      </c>
      <c r="J6649" s="9">
        <v>0</v>
      </c>
      <c r="K6649" s="9">
        <v>0</v>
      </c>
      <c r="L6649" s="9">
        <v>0</v>
      </c>
      <c r="M6649" s="9">
        <v>0</v>
      </c>
      <c r="N6649" s="9">
        <v>0.2</v>
      </c>
      <c r="O6649" s="7"/>
      <c r="P6649" s="9">
        <v>0</v>
      </c>
      <c r="Q6649" s="9">
        <v>0</v>
      </c>
      <c r="R6649" s="9">
        <v>0</v>
      </c>
      <c r="S6649" s="10"/>
      <c r="T6649" s="15">
        <v>0</v>
      </c>
      <c r="U6649" s="9">
        <v>0</v>
      </c>
      <c r="V6649" s="9">
        <v>0</v>
      </c>
      <c r="W6649" s="9">
        <v>0</v>
      </c>
      <c r="X6649" s="9">
        <v>0</v>
      </c>
      <c r="Y6649" s="9">
        <v>0</v>
      </c>
      <c r="Z6649" s="9"/>
      <c r="AA6649" s="9">
        <v>0</v>
      </c>
      <c r="AC6649" s="38">
        <v>0</v>
      </c>
    </row>
    <row r="6650" spans="1:29" x14ac:dyDescent="0.25">
      <c r="A6650" s="22">
        <v>45001</v>
      </c>
      <c r="B6650" s="9">
        <v>0</v>
      </c>
      <c r="C6650" s="9">
        <v>0</v>
      </c>
      <c r="D6650" s="7">
        <v>0</v>
      </c>
      <c r="E6650" s="7"/>
      <c r="F6650" s="9">
        <v>0</v>
      </c>
      <c r="G6650" s="9">
        <v>0</v>
      </c>
      <c r="H6650" s="9">
        <v>0</v>
      </c>
      <c r="I6650" s="9">
        <v>0</v>
      </c>
      <c r="J6650" s="9">
        <v>0</v>
      </c>
      <c r="K6650" s="9">
        <v>0</v>
      </c>
      <c r="L6650" s="9">
        <v>0</v>
      </c>
      <c r="M6650" s="9">
        <v>0</v>
      </c>
      <c r="N6650" s="9">
        <v>0.2</v>
      </c>
      <c r="O6650" s="7"/>
      <c r="P6650" s="9">
        <v>0</v>
      </c>
      <c r="Q6650" s="9">
        <v>0</v>
      </c>
      <c r="R6650" s="9">
        <v>0</v>
      </c>
      <c r="S6650" s="10"/>
      <c r="T6650" s="15">
        <v>0</v>
      </c>
      <c r="U6650" s="9">
        <v>0</v>
      </c>
      <c r="V6650" s="9">
        <v>0</v>
      </c>
      <c r="W6650" s="9">
        <v>0</v>
      </c>
      <c r="X6650" s="9">
        <v>0</v>
      </c>
      <c r="Y6650" s="9">
        <v>0</v>
      </c>
      <c r="Z6650" s="9"/>
      <c r="AA6650" s="9">
        <v>0</v>
      </c>
      <c r="AC6650" s="38">
        <v>0</v>
      </c>
    </row>
    <row r="6651" spans="1:29" x14ac:dyDescent="0.25">
      <c r="A6651" s="22">
        <v>45002</v>
      </c>
      <c r="B6651" s="9">
        <v>0</v>
      </c>
      <c r="C6651" s="9">
        <v>0</v>
      </c>
      <c r="D6651" s="7">
        <v>0</v>
      </c>
      <c r="E6651" s="7"/>
      <c r="F6651" s="9">
        <v>0</v>
      </c>
      <c r="G6651" s="9">
        <v>0</v>
      </c>
      <c r="H6651" s="9">
        <v>0</v>
      </c>
      <c r="I6651" s="9">
        <v>0</v>
      </c>
      <c r="J6651" s="9">
        <v>0</v>
      </c>
      <c r="K6651" s="9">
        <v>0</v>
      </c>
      <c r="L6651" s="9">
        <v>0</v>
      </c>
      <c r="M6651" s="9">
        <v>0</v>
      </c>
      <c r="N6651" s="9">
        <v>0.4</v>
      </c>
      <c r="O6651" s="7"/>
      <c r="P6651" s="9">
        <v>0</v>
      </c>
      <c r="Q6651" s="9">
        <v>0</v>
      </c>
      <c r="R6651" s="9">
        <v>0</v>
      </c>
      <c r="S6651" s="10"/>
      <c r="T6651" s="15">
        <v>0</v>
      </c>
      <c r="U6651" s="9">
        <v>0</v>
      </c>
      <c r="V6651" s="9">
        <v>0</v>
      </c>
      <c r="W6651" s="9">
        <v>0</v>
      </c>
      <c r="X6651" s="9">
        <v>0</v>
      </c>
      <c r="Y6651" s="9">
        <v>0</v>
      </c>
      <c r="Z6651" s="9"/>
      <c r="AA6651" s="9">
        <v>0</v>
      </c>
      <c r="AC6651" s="38">
        <v>0</v>
      </c>
    </row>
    <row r="6652" spans="1:29" x14ac:dyDescent="0.25">
      <c r="A6652" s="22">
        <v>45003</v>
      </c>
      <c r="B6652" s="9">
        <v>0</v>
      </c>
      <c r="C6652" s="9">
        <v>0</v>
      </c>
      <c r="D6652" s="7">
        <v>0</v>
      </c>
      <c r="E6652" s="7"/>
      <c r="F6652" s="9">
        <v>0</v>
      </c>
      <c r="G6652" s="9">
        <v>0</v>
      </c>
      <c r="H6652" s="9">
        <v>0</v>
      </c>
      <c r="I6652" s="9">
        <v>0</v>
      </c>
      <c r="J6652" s="9">
        <v>0</v>
      </c>
      <c r="K6652" s="9">
        <v>0.5</v>
      </c>
      <c r="L6652" s="9">
        <v>0</v>
      </c>
      <c r="M6652" s="9">
        <v>0</v>
      </c>
      <c r="N6652" s="9">
        <v>0.2</v>
      </c>
      <c r="O6652" s="7"/>
      <c r="P6652" s="9">
        <v>0</v>
      </c>
      <c r="Q6652" s="9">
        <v>0</v>
      </c>
      <c r="R6652" s="9">
        <v>0</v>
      </c>
      <c r="S6652" s="10"/>
      <c r="T6652" s="15">
        <v>0</v>
      </c>
      <c r="U6652" s="9">
        <v>0</v>
      </c>
      <c r="V6652" s="9">
        <v>0</v>
      </c>
      <c r="W6652" s="9">
        <v>0</v>
      </c>
      <c r="X6652" s="9">
        <v>0</v>
      </c>
      <c r="Y6652" s="9">
        <v>0</v>
      </c>
      <c r="Z6652" s="9"/>
      <c r="AA6652" s="9">
        <v>0</v>
      </c>
      <c r="AC6652" s="38">
        <v>0</v>
      </c>
    </row>
    <row r="6653" spans="1:29" x14ac:dyDescent="0.25">
      <c r="A6653" s="22">
        <v>45004</v>
      </c>
      <c r="B6653" s="9">
        <v>0</v>
      </c>
      <c r="C6653" s="9">
        <v>0</v>
      </c>
      <c r="D6653" s="7">
        <v>0</v>
      </c>
      <c r="E6653" s="7"/>
      <c r="F6653" s="9">
        <v>0</v>
      </c>
      <c r="G6653" s="9">
        <v>0</v>
      </c>
      <c r="H6653" s="9">
        <v>0</v>
      </c>
      <c r="I6653" s="9">
        <v>0</v>
      </c>
      <c r="J6653" s="9">
        <v>0</v>
      </c>
      <c r="K6653" s="9">
        <v>0.5</v>
      </c>
      <c r="L6653" s="9">
        <v>0</v>
      </c>
      <c r="M6653" s="9">
        <v>0</v>
      </c>
      <c r="N6653" s="9">
        <v>0.2</v>
      </c>
      <c r="O6653" s="7"/>
      <c r="P6653" s="9">
        <v>0</v>
      </c>
      <c r="Q6653" s="9">
        <v>2.1</v>
      </c>
      <c r="R6653" s="9">
        <v>1.9</v>
      </c>
      <c r="S6653" s="10"/>
      <c r="T6653" s="15">
        <v>0</v>
      </c>
      <c r="U6653" s="9">
        <v>0</v>
      </c>
      <c r="V6653" s="9">
        <v>0</v>
      </c>
      <c r="W6653" s="9">
        <v>0</v>
      </c>
      <c r="X6653" s="9">
        <v>0</v>
      </c>
      <c r="Y6653" s="9">
        <v>0</v>
      </c>
      <c r="Z6653" s="9"/>
      <c r="AA6653" s="9">
        <v>0</v>
      </c>
      <c r="AC6653" s="38">
        <v>0</v>
      </c>
    </row>
    <row r="6654" spans="1:29" x14ac:dyDescent="0.25">
      <c r="A6654" s="22">
        <v>45005</v>
      </c>
      <c r="B6654" s="9">
        <v>2</v>
      </c>
      <c r="C6654" s="9">
        <v>8</v>
      </c>
      <c r="D6654" s="7">
        <v>0</v>
      </c>
      <c r="E6654" s="7"/>
      <c r="F6654" s="9">
        <v>0</v>
      </c>
      <c r="G6654" s="9">
        <v>5.5</v>
      </c>
      <c r="H6654" s="9">
        <v>2.2000000000000002</v>
      </c>
      <c r="I6654" s="9">
        <v>1.8</v>
      </c>
      <c r="J6654" s="9">
        <v>0</v>
      </c>
      <c r="K6654" s="9">
        <v>3</v>
      </c>
      <c r="L6654" s="9">
        <v>0</v>
      </c>
      <c r="M6654" s="9">
        <v>3</v>
      </c>
      <c r="N6654" s="9">
        <v>0.2</v>
      </c>
      <c r="O6654" s="7"/>
      <c r="P6654" s="9">
        <v>0</v>
      </c>
      <c r="Q6654" s="9">
        <v>2.4</v>
      </c>
      <c r="R6654" s="9">
        <v>3.1</v>
      </c>
      <c r="S6654" s="10"/>
      <c r="T6654" s="15">
        <v>0.6</v>
      </c>
      <c r="U6654" s="9">
        <v>2</v>
      </c>
      <c r="V6654" s="9">
        <v>5.2</v>
      </c>
      <c r="W6654" s="9">
        <v>2.1</v>
      </c>
      <c r="X6654" s="9">
        <v>0</v>
      </c>
      <c r="Y6654" s="9">
        <v>2</v>
      </c>
      <c r="Z6654" s="9"/>
      <c r="AA6654" s="9">
        <v>0</v>
      </c>
      <c r="AC6654" s="38">
        <v>1</v>
      </c>
    </row>
    <row r="6655" spans="1:29" x14ac:dyDescent="0.25">
      <c r="A6655" s="22">
        <v>45006</v>
      </c>
      <c r="B6655" s="9">
        <v>3</v>
      </c>
      <c r="C6655" s="9">
        <v>1.6</v>
      </c>
      <c r="D6655" s="7">
        <v>2.2000000000000002</v>
      </c>
      <c r="E6655" s="7"/>
      <c r="F6655" s="9">
        <v>0</v>
      </c>
      <c r="G6655" s="9">
        <v>6.6</v>
      </c>
      <c r="H6655" s="9">
        <v>1</v>
      </c>
      <c r="I6655" s="9">
        <v>1.3</v>
      </c>
      <c r="J6655" s="9">
        <v>6.5</v>
      </c>
      <c r="K6655" s="9">
        <v>5.8</v>
      </c>
      <c r="L6655" s="9">
        <f>0.06*25.4</f>
        <v>1.5239999999999998</v>
      </c>
      <c r="M6655" s="9">
        <v>4</v>
      </c>
      <c r="N6655" s="9">
        <v>5.6</v>
      </c>
      <c r="O6655" s="7"/>
      <c r="P6655" s="9">
        <v>4</v>
      </c>
      <c r="Q6655" s="9">
        <v>0</v>
      </c>
      <c r="R6655" s="9">
        <v>1.1000000000000001</v>
      </c>
      <c r="S6655" s="10"/>
      <c r="T6655" s="15">
        <v>8.1999999999999993</v>
      </c>
      <c r="U6655" s="9">
        <v>0</v>
      </c>
      <c r="V6655" s="9">
        <v>6.2</v>
      </c>
      <c r="W6655" s="9">
        <v>8.1999999999999993</v>
      </c>
      <c r="X6655" s="9">
        <v>0</v>
      </c>
      <c r="Y6655" s="9">
        <v>0</v>
      </c>
      <c r="Z6655" s="9"/>
      <c r="AA6655" s="9">
        <v>0</v>
      </c>
      <c r="AC6655" s="38">
        <v>1</v>
      </c>
    </row>
    <row r="6656" spans="1:29" x14ac:dyDescent="0.25">
      <c r="A6656" s="22">
        <v>45007</v>
      </c>
      <c r="B6656" s="9">
        <v>0</v>
      </c>
      <c r="C6656" s="9">
        <v>5.6</v>
      </c>
      <c r="D6656" s="7">
        <v>3.2</v>
      </c>
      <c r="E6656" s="7"/>
      <c r="F6656" s="9">
        <v>0</v>
      </c>
      <c r="G6656" s="9">
        <v>3.3</v>
      </c>
      <c r="H6656" s="9">
        <v>1</v>
      </c>
      <c r="I6656" s="9">
        <v>1.6</v>
      </c>
      <c r="J6656" s="9">
        <v>8.6999999999999993</v>
      </c>
      <c r="K6656" s="9">
        <v>10.199999999999999</v>
      </c>
      <c r="L6656" s="9">
        <f>25.4*0.03</f>
        <v>0.7619999999999999</v>
      </c>
      <c r="M6656" s="9">
        <v>1.6</v>
      </c>
      <c r="N6656" s="9">
        <v>4.4000000000000004</v>
      </c>
      <c r="O6656" s="7"/>
      <c r="P6656" s="9">
        <v>0</v>
      </c>
      <c r="Q6656" s="9">
        <v>0</v>
      </c>
      <c r="R6656" s="9">
        <v>0</v>
      </c>
      <c r="S6656" s="10"/>
      <c r="T6656" s="15">
        <v>1.8</v>
      </c>
      <c r="U6656" s="9">
        <v>4</v>
      </c>
      <c r="V6656" s="9">
        <v>9.5</v>
      </c>
      <c r="W6656" s="9">
        <v>2.1</v>
      </c>
      <c r="X6656" s="9">
        <v>3</v>
      </c>
      <c r="Y6656" s="9">
        <v>2</v>
      </c>
      <c r="Z6656" s="9"/>
      <c r="AA6656" s="9">
        <v>8</v>
      </c>
      <c r="AC6656" s="38">
        <v>2</v>
      </c>
    </row>
    <row r="6657" spans="1:29" x14ac:dyDescent="0.25">
      <c r="A6657" s="22">
        <v>45008</v>
      </c>
      <c r="B6657" s="9">
        <v>4</v>
      </c>
      <c r="C6657" s="9">
        <v>0</v>
      </c>
      <c r="D6657" s="7">
        <v>0</v>
      </c>
      <c r="E6657" s="7"/>
      <c r="F6657" s="9">
        <v>2</v>
      </c>
      <c r="G6657" s="9">
        <v>0</v>
      </c>
      <c r="H6657" s="9">
        <v>0</v>
      </c>
      <c r="I6657" s="9">
        <v>0</v>
      </c>
      <c r="J6657" s="9">
        <v>0</v>
      </c>
      <c r="K6657" s="9">
        <v>0</v>
      </c>
      <c r="L6657" s="9">
        <f>25.4*0.07</f>
        <v>1.778</v>
      </c>
      <c r="M6657" s="9">
        <v>0.8</v>
      </c>
      <c r="N6657" s="9">
        <v>0.2</v>
      </c>
      <c r="O6657" s="7"/>
      <c r="P6657" s="9">
        <v>0</v>
      </c>
      <c r="Q6657" s="9">
        <v>0.8</v>
      </c>
      <c r="R6657" s="9">
        <v>0</v>
      </c>
      <c r="S6657" s="8"/>
      <c r="T6657" s="15">
        <v>1.6</v>
      </c>
      <c r="U6657" s="9">
        <v>0</v>
      </c>
      <c r="V6657" s="9">
        <v>0</v>
      </c>
      <c r="W6657" s="9">
        <v>0</v>
      </c>
      <c r="X6657" s="9">
        <v>0</v>
      </c>
      <c r="Y6657" s="9">
        <v>0</v>
      </c>
      <c r="Z6657" s="9"/>
      <c r="AA6657" s="9">
        <v>0</v>
      </c>
      <c r="AC6657" s="38">
        <v>0</v>
      </c>
    </row>
    <row r="6658" spans="1:29" x14ac:dyDescent="0.25">
      <c r="A6658" s="22">
        <v>45009</v>
      </c>
      <c r="B6658" s="9">
        <v>0</v>
      </c>
      <c r="C6658" s="9">
        <v>0</v>
      </c>
      <c r="D6658" s="7">
        <v>0.6</v>
      </c>
      <c r="E6658" s="7"/>
      <c r="F6658" s="9">
        <v>0</v>
      </c>
      <c r="G6658" s="9">
        <v>2.2000000000000002</v>
      </c>
      <c r="H6658" s="9">
        <v>2</v>
      </c>
      <c r="I6658" s="9">
        <v>2.6</v>
      </c>
      <c r="J6658" s="9">
        <v>6.6</v>
      </c>
      <c r="K6658" s="9">
        <v>7.6</v>
      </c>
      <c r="L6658" s="9">
        <v>0</v>
      </c>
      <c r="M6658" s="9">
        <v>0.2</v>
      </c>
      <c r="N6658" s="9">
        <v>8.1999999999999993</v>
      </c>
      <c r="O6658" s="7"/>
      <c r="P6658" s="9">
        <v>1</v>
      </c>
      <c r="Q6658" s="9">
        <v>0.4</v>
      </c>
      <c r="R6658" s="9">
        <v>1.2</v>
      </c>
      <c r="S6658" s="8"/>
      <c r="T6658" s="15">
        <v>1</v>
      </c>
      <c r="U6658" s="9">
        <v>2</v>
      </c>
      <c r="V6658" s="9">
        <v>5.2</v>
      </c>
      <c r="W6658" s="9">
        <v>4.0999999999999996</v>
      </c>
      <c r="X6658" s="9">
        <v>3</v>
      </c>
      <c r="Y6658" s="9">
        <v>0</v>
      </c>
      <c r="Z6658" s="9"/>
      <c r="AA6658" s="9">
        <v>6</v>
      </c>
      <c r="AC6658" s="38">
        <v>0</v>
      </c>
    </row>
    <row r="6659" spans="1:29" x14ac:dyDescent="0.25">
      <c r="A6659" s="22">
        <v>45010</v>
      </c>
      <c r="B6659" s="9">
        <v>5</v>
      </c>
      <c r="C6659" s="9">
        <v>0</v>
      </c>
      <c r="D6659" s="7">
        <v>1.2</v>
      </c>
      <c r="E6659" s="7"/>
      <c r="F6659" s="9">
        <v>2</v>
      </c>
      <c r="G6659" s="9">
        <v>0</v>
      </c>
      <c r="H6659" s="9">
        <v>1.4</v>
      </c>
      <c r="I6659" s="9">
        <v>2.8</v>
      </c>
      <c r="J6659" s="9">
        <v>2.2000000000000002</v>
      </c>
      <c r="K6659" s="9">
        <v>1.4</v>
      </c>
      <c r="L6659" s="9">
        <f>0.14*25.4</f>
        <v>3.556</v>
      </c>
      <c r="M6659" s="9">
        <v>0</v>
      </c>
      <c r="N6659" s="9">
        <v>1.8</v>
      </c>
      <c r="O6659" s="7"/>
      <c r="P6659" s="9">
        <v>3</v>
      </c>
      <c r="Q6659" s="9">
        <v>0</v>
      </c>
      <c r="R6659" s="9">
        <v>2.2000000000000002</v>
      </c>
      <c r="S6659" s="8"/>
      <c r="T6659" s="15">
        <v>0</v>
      </c>
      <c r="U6659" s="9">
        <v>0</v>
      </c>
      <c r="V6659" s="9">
        <v>0</v>
      </c>
      <c r="W6659" s="9">
        <v>0</v>
      </c>
      <c r="X6659" s="9">
        <v>0</v>
      </c>
      <c r="Y6659" s="9">
        <v>0</v>
      </c>
      <c r="Z6659" s="9"/>
      <c r="AA6659" s="9">
        <v>0</v>
      </c>
      <c r="AC6659" s="38">
        <v>0</v>
      </c>
    </row>
    <row r="6660" spans="1:29" x14ac:dyDescent="0.25">
      <c r="A6660" s="22">
        <v>45011</v>
      </c>
      <c r="B6660" s="9">
        <v>5</v>
      </c>
      <c r="C6660" s="9">
        <v>0</v>
      </c>
      <c r="D6660" s="7">
        <v>2.2000000000000002</v>
      </c>
      <c r="E6660" s="7"/>
      <c r="F6660" s="9">
        <v>2.2999999999999998</v>
      </c>
      <c r="G6660" s="9">
        <v>3.5</v>
      </c>
      <c r="H6660" s="9">
        <v>6.2</v>
      </c>
      <c r="I6660" s="9">
        <v>2.8</v>
      </c>
      <c r="J6660" s="9">
        <v>2.8</v>
      </c>
      <c r="K6660" s="9">
        <v>0</v>
      </c>
      <c r="L6660" s="9">
        <v>0</v>
      </c>
      <c r="M6660" s="9">
        <v>7.6</v>
      </c>
      <c r="N6660" s="9">
        <v>0.8</v>
      </c>
      <c r="O6660" s="7"/>
      <c r="P6660" s="9">
        <v>0</v>
      </c>
      <c r="Q6660" s="9">
        <v>3.7</v>
      </c>
      <c r="R6660" s="9">
        <v>2.2000000000000002</v>
      </c>
      <c r="S6660" s="8"/>
      <c r="T6660" s="15">
        <v>0</v>
      </c>
      <c r="U6660" s="9">
        <v>0</v>
      </c>
      <c r="V6660" s="9">
        <v>3.1</v>
      </c>
      <c r="W6660" s="9">
        <v>2.4</v>
      </c>
      <c r="X6660" s="9">
        <v>0</v>
      </c>
      <c r="Y6660" s="9">
        <v>0</v>
      </c>
      <c r="Z6660" s="9"/>
      <c r="AA6660" s="9">
        <v>0</v>
      </c>
      <c r="AC6660" s="38">
        <v>0</v>
      </c>
    </row>
    <row r="6661" spans="1:29" x14ac:dyDescent="0.25">
      <c r="A6661" s="22">
        <v>45012</v>
      </c>
      <c r="B6661" s="9">
        <v>0</v>
      </c>
      <c r="C6661" s="9">
        <v>3.6</v>
      </c>
      <c r="D6661" s="7">
        <v>1.4</v>
      </c>
      <c r="E6661" s="7"/>
      <c r="F6661" s="9">
        <v>5.4</v>
      </c>
      <c r="G6661" s="9">
        <v>5.9</v>
      </c>
      <c r="H6661" s="9">
        <v>2.1</v>
      </c>
      <c r="I6661" s="9">
        <v>1</v>
      </c>
      <c r="J6661" s="9">
        <v>3</v>
      </c>
      <c r="K6661" s="9">
        <v>0</v>
      </c>
      <c r="L6661" s="9">
        <f>25.4*0.05</f>
        <v>1.27</v>
      </c>
      <c r="M6661" s="9">
        <v>4</v>
      </c>
      <c r="N6661" s="9">
        <v>3.6</v>
      </c>
      <c r="O6661" s="7"/>
      <c r="P6661" s="9">
        <v>2</v>
      </c>
      <c r="Q6661" s="9">
        <v>3</v>
      </c>
      <c r="R6661" s="9">
        <v>3.2</v>
      </c>
      <c r="S6661" s="8"/>
      <c r="T6661" s="15">
        <v>0</v>
      </c>
      <c r="U6661" s="9">
        <v>8</v>
      </c>
      <c r="V6661" s="9">
        <v>5.2</v>
      </c>
      <c r="W6661" s="9">
        <v>0.2</v>
      </c>
      <c r="X6661" s="9">
        <v>4</v>
      </c>
      <c r="Y6661" s="9">
        <v>4</v>
      </c>
      <c r="Z6661" s="9"/>
      <c r="AA6661" s="9">
        <v>6</v>
      </c>
      <c r="AC6661" s="38">
        <v>1</v>
      </c>
    </row>
    <row r="6662" spans="1:29" x14ac:dyDescent="0.25">
      <c r="A6662" s="22">
        <v>45013</v>
      </c>
      <c r="B6662" s="9">
        <v>6</v>
      </c>
      <c r="C6662" s="9">
        <v>5.2</v>
      </c>
      <c r="D6662" s="7">
        <v>5</v>
      </c>
      <c r="E6662" s="7"/>
      <c r="F6662" s="9">
        <v>0</v>
      </c>
      <c r="G6662" s="9">
        <v>11</v>
      </c>
      <c r="H6662" s="9">
        <v>5.8</v>
      </c>
      <c r="I6662" s="9">
        <v>10.199999999999999</v>
      </c>
      <c r="J6662" s="9">
        <v>10.5</v>
      </c>
      <c r="K6662" s="9">
        <v>11</v>
      </c>
      <c r="L6662" s="9">
        <f>0.28*25.4</f>
        <v>7.1120000000000001</v>
      </c>
      <c r="M6662" s="9">
        <v>6</v>
      </c>
      <c r="N6662" s="9">
        <v>6.4</v>
      </c>
      <c r="O6662" s="7"/>
      <c r="P6662" s="9">
        <v>3.5</v>
      </c>
      <c r="Q6662" s="9">
        <v>0</v>
      </c>
      <c r="R6662" s="9">
        <v>0</v>
      </c>
      <c r="S6662" s="8"/>
      <c r="T6662" s="15">
        <v>0</v>
      </c>
      <c r="U6662" s="9">
        <v>4</v>
      </c>
      <c r="V6662" s="9">
        <v>5.2</v>
      </c>
      <c r="W6662" s="9">
        <v>0.2</v>
      </c>
      <c r="X6662" s="9">
        <v>4</v>
      </c>
      <c r="Y6662" s="9">
        <v>2</v>
      </c>
      <c r="Z6662" s="9"/>
      <c r="AA6662" s="9">
        <v>4</v>
      </c>
      <c r="AC6662" s="38">
        <v>0</v>
      </c>
    </row>
    <row r="6663" spans="1:29" x14ac:dyDescent="0.25">
      <c r="A6663" s="22">
        <v>45014</v>
      </c>
      <c r="B6663" s="7">
        <v>0</v>
      </c>
      <c r="C6663" s="7">
        <v>4.4000000000000004</v>
      </c>
      <c r="D6663" s="7">
        <v>1</v>
      </c>
      <c r="E6663" s="7"/>
      <c r="F6663" s="9">
        <v>0</v>
      </c>
      <c r="G6663" s="7">
        <v>0.2</v>
      </c>
      <c r="H6663" s="7">
        <v>0</v>
      </c>
      <c r="I6663" s="7">
        <v>0.5</v>
      </c>
      <c r="J6663" s="7">
        <v>2.2000000000000002</v>
      </c>
      <c r="K6663" s="7">
        <v>11</v>
      </c>
      <c r="L6663" s="7">
        <f>25.4*0.09</f>
        <v>2.2859999999999996</v>
      </c>
      <c r="M6663" s="7">
        <v>0.4</v>
      </c>
      <c r="N6663" s="10">
        <v>0.6</v>
      </c>
      <c r="O6663" s="7"/>
      <c r="P6663" s="7">
        <v>0</v>
      </c>
      <c r="Q6663" s="7">
        <v>0.5</v>
      </c>
      <c r="R6663" s="7">
        <v>0</v>
      </c>
      <c r="S6663" s="10"/>
      <c r="T6663" s="15">
        <v>0.2</v>
      </c>
      <c r="U6663" s="7">
        <v>0</v>
      </c>
      <c r="V6663" s="7">
        <v>5.2</v>
      </c>
      <c r="W6663" s="7">
        <v>0</v>
      </c>
      <c r="X6663" s="7">
        <v>0</v>
      </c>
      <c r="Y6663" s="7">
        <v>0</v>
      </c>
      <c r="Z6663" s="7"/>
      <c r="AA6663" s="7">
        <v>0</v>
      </c>
      <c r="AC6663" s="38">
        <v>0</v>
      </c>
    </row>
    <row r="6664" spans="1:29" x14ac:dyDescent="0.25">
      <c r="A6664" s="22">
        <v>45015</v>
      </c>
      <c r="B6664" s="7">
        <v>4</v>
      </c>
      <c r="C6664" s="7">
        <v>0.8</v>
      </c>
      <c r="D6664" s="7">
        <v>0.2</v>
      </c>
      <c r="E6664" s="7"/>
      <c r="F6664" s="9">
        <v>1.3</v>
      </c>
      <c r="G6664" s="7">
        <v>0.5</v>
      </c>
      <c r="H6664" s="7">
        <v>0</v>
      </c>
      <c r="I6664" s="7">
        <v>0.2</v>
      </c>
      <c r="J6664" s="7">
        <v>0.4</v>
      </c>
      <c r="K6664" s="7">
        <v>3</v>
      </c>
      <c r="L6664" s="7">
        <v>0</v>
      </c>
      <c r="M6664" s="7">
        <v>1</v>
      </c>
      <c r="N6664" s="10">
        <v>2.8</v>
      </c>
      <c r="O6664" s="7"/>
      <c r="P6664" s="7">
        <v>0</v>
      </c>
      <c r="Q6664" s="7">
        <v>0</v>
      </c>
      <c r="R6664" s="7">
        <v>0</v>
      </c>
      <c r="S6664" s="10"/>
      <c r="T6664" s="15">
        <v>0</v>
      </c>
      <c r="U6664" s="7">
        <v>3</v>
      </c>
      <c r="V6664" s="7">
        <v>0</v>
      </c>
      <c r="W6664" s="7">
        <v>0</v>
      </c>
      <c r="X6664" s="7">
        <v>4</v>
      </c>
      <c r="Y6664" s="7">
        <v>0</v>
      </c>
      <c r="Z6664" s="7"/>
      <c r="AA6664" s="7">
        <v>0</v>
      </c>
      <c r="AC6664" s="38">
        <v>0</v>
      </c>
    </row>
    <row r="6665" spans="1:29" x14ac:dyDescent="0.25">
      <c r="A6665" s="22">
        <v>45016</v>
      </c>
      <c r="B6665" s="7">
        <v>0</v>
      </c>
      <c r="C6665" s="7">
        <v>2</v>
      </c>
      <c r="D6665" s="7">
        <v>0</v>
      </c>
      <c r="E6665" s="7"/>
      <c r="F6665" s="9">
        <v>0</v>
      </c>
      <c r="G6665" s="7">
        <v>0</v>
      </c>
      <c r="H6665" s="7">
        <v>0</v>
      </c>
      <c r="I6665" s="7">
        <v>0</v>
      </c>
      <c r="J6665" s="7">
        <v>0</v>
      </c>
      <c r="K6665" s="7">
        <v>0</v>
      </c>
      <c r="L6665" s="7">
        <v>0</v>
      </c>
      <c r="M6665" s="7">
        <v>0</v>
      </c>
      <c r="N6665" s="10">
        <v>0</v>
      </c>
      <c r="O6665" s="7"/>
      <c r="P6665" s="7">
        <v>0</v>
      </c>
      <c r="Q6665" s="7">
        <v>1.5</v>
      </c>
      <c r="R6665" s="7">
        <v>2.2000000000000002</v>
      </c>
      <c r="S6665" s="10"/>
      <c r="T6665" s="15">
        <v>0</v>
      </c>
      <c r="U6665" s="7">
        <v>0</v>
      </c>
      <c r="V6665" s="7">
        <v>0</v>
      </c>
      <c r="W6665" s="7">
        <v>0</v>
      </c>
      <c r="X6665" s="7">
        <v>0</v>
      </c>
      <c r="Y6665" s="7">
        <v>0</v>
      </c>
      <c r="Z6665" s="7"/>
      <c r="AA6665" s="7">
        <v>0</v>
      </c>
      <c r="AC6665" s="38">
        <v>0</v>
      </c>
    </row>
    <row r="6666" spans="1:29" x14ac:dyDescent="0.25">
      <c r="A6666" s="22">
        <v>45017</v>
      </c>
      <c r="B6666" s="9">
        <v>0</v>
      </c>
      <c r="C6666" s="9">
        <v>0</v>
      </c>
      <c r="D6666" s="9">
        <v>1.4</v>
      </c>
      <c r="E6666" s="7"/>
      <c r="F6666" s="9">
        <v>2.6</v>
      </c>
      <c r="G6666" s="9">
        <v>2</v>
      </c>
      <c r="H6666" s="9">
        <v>1.4</v>
      </c>
      <c r="I6666" s="9">
        <v>0.1</v>
      </c>
      <c r="J6666" s="9">
        <v>4.2</v>
      </c>
      <c r="K6666" s="9">
        <v>2</v>
      </c>
      <c r="L6666" s="9">
        <v>0</v>
      </c>
      <c r="M6666" s="9">
        <v>3</v>
      </c>
      <c r="N6666" s="9">
        <v>4</v>
      </c>
      <c r="O6666" s="7"/>
      <c r="P6666" s="9">
        <v>0</v>
      </c>
      <c r="Q6666" s="9">
        <v>1.5</v>
      </c>
      <c r="R6666" s="9">
        <v>2.2000000000000002</v>
      </c>
      <c r="S6666" s="8"/>
      <c r="T6666" s="15">
        <v>0.8</v>
      </c>
      <c r="U6666" s="9">
        <v>0</v>
      </c>
      <c r="V6666" s="9">
        <v>2.2000000000000002</v>
      </c>
      <c r="W6666" s="9">
        <v>2.1</v>
      </c>
      <c r="X6666" s="9">
        <v>0</v>
      </c>
      <c r="Y6666" s="9">
        <v>3</v>
      </c>
      <c r="Z6666" s="9">
        <v>2</v>
      </c>
      <c r="AA6666" s="9">
        <v>2</v>
      </c>
      <c r="AC6666" s="38">
        <v>2</v>
      </c>
    </row>
    <row r="6667" spans="1:29" x14ac:dyDescent="0.25">
      <c r="A6667" s="22">
        <v>45018</v>
      </c>
      <c r="B6667" s="9">
        <v>3</v>
      </c>
      <c r="C6667" s="9">
        <v>0</v>
      </c>
      <c r="D6667" s="9">
        <v>6.8</v>
      </c>
      <c r="E6667" s="7"/>
      <c r="F6667" s="9">
        <v>0.8</v>
      </c>
      <c r="G6667" s="9">
        <v>3.1</v>
      </c>
      <c r="H6667" s="9">
        <v>1.5</v>
      </c>
      <c r="I6667" s="9">
        <v>3.3</v>
      </c>
      <c r="J6667" s="9">
        <v>4.8</v>
      </c>
      <c r="K6667" s="9">
        <v>4</v>
      </c>
      <c r="L6667" s="9">
        <v>5.6</v>
      </c>
      <c r="M6667" s="9">
        <v>0</v>
      </c>
      <c r="N6667" s="9">
        <v>1.6</v>
      </c>
      <c r="O6667" s="7"/>
      <c r="P6667" s="9">
        <v>1</v>
      </c>
      <c r="Q6667" s="9">
        <v>2</v>
      </c>
      <c r="R6667" s="9">
        <v>1.2</v>
      </c>
      <c r="S6667" s="8"/>
      <c r="T6667" s="15">
        <v>8</v>
      </c>
      <c r="U6667" s="9">
        <v>3</v>
      </c>
      <c r="V6667" s="9">
        <v>0</v>
      </c>
      <c r="W6667" s="9">
        <v>0</v>
      </c>
      <c r="X6667" s="9">
        <v>0</v>
      </c>
      <c r="Y6667" s="9">
        <v>0</v>
      </c>
      <c r="Z6667" s="9">
        <v>0</v>
      </c>
      <c r="AA6667" s="9">
        <v>0</v>
      </c>
      <c r="AC6667" s="38">
        <v>0</v>
      </c>
    </row>
    <row r="6668" spans="1:29" x14ac:dyDescent="0.25">
      <c r="A6668" s="22">
        <v>45019</v>
      </c>
      <c r="B6668" s="9">
        <v>0</v>
      </c>
      <c r="C6668" s="9">
        <v>0</v>
      </c>
      <c r="D6668" s="9">
        <v>0</v>
      </c>
      <c r="E6668" s="7"/>
      <c r="F6668" s="9">
        <v>0</v>
      </c>
      <c r="G6668" s="9">
        <v>0</v>
      </c>
      <c r="H6668" s="9">
        <v>1</v>
      </c>
      <c r="I6668" s="9">
        <v>1.5</v>
      </c>
      <c r="J6668" s="9">
        <v>0.4</v>
      </c>
      <c r="K6668" s="9">
        <v>1</v>
      </c>
      <c r="L6668" s="9">
        <v>0</v>
      </c>
      <c r="M6668" s="9">
        <v>0</v>
      </c>
      <c r="N6668" s="9">
        <v>0.2</v>
      </c>
      <c r="O6668" s="7"/>
      <c r="P6668" s="9">
        <v>0</v>
      </c>
      <c r="Q6668" s="9">
        <v>0</v>
      </c>
      <c r="R6668" s="9">
        <v>0</v>
      </c>
      <c r="S6668" s="8"/>
      <c r="T6668" s="15">
        <v>0.4</v>
      </c>
      <c r="U6668" s="9">
        <v>0</v>
      </c>
      <c r="V6668" s="9">
        <v>10</v>
      </c>
      <c r="W6668" s="9">
        <v>0</v>
      </c>
      <c r="X6668" s="9">
        <v>0</v>
      </c>
      <c r="Y6668" s="9">
        <v>0</v>
      </c>
      <c r="Z6668" s="9">
        <v>0</v>
      </c>
      <c r="AA6668" s="9">
        <v>0</v>
      </c>
      <c r="AC6668" s="38">
        <v>0</v>
      </c>
    </row>
    <row r="6669" spans="1:29" x14ac:dyDescent="0.25">
      <c r="A6669" s="22">
        <v>45020</v>
      </c>
      <c r="B6669" s="9">
        <v>6</v>
      </c>
      <c r="C6669" s="9">
        <v>0</v>
      </c>
      <c r="D6669" s="7">
        <v>3.2</v>
      </c>
      <c r="E6669" s="7"/>
      <c r="F6669" s="9">
        <v>1.4</v>
      </c>
      <c r="G6669" s="9">
        <v>6.5</v>
      </c>
      <c r="H6669" s="9">
        <v>1</v>
      </c>
      <c r="I6669" s="9">
        <v>2.2000000000000002</v>
      </c>
      <c r="J6669" s="9">
        <v>0.2</v>
      </c>
      <c r="K6669" s="9">
        <v>2</v>
      </c>
      <c r="L6669" s="9">
        <v>3.3</v>
      </c>
      <c r="M6669" s="9">
        <v>0</v>
      </c>
      <c r="N6669" s="9">
        <v>2.4</v>
      </c>
      <c r="O6669" s="7"/>
      <c r="P6669" s="9">
        <v>2</v>
      </c>
      <c r="Q6669" s="9">
        <v>3.4</v>
      </c>
      <c r="R6669" s="9">
        <v>1.2</v>
      </c>
      <c r="S6669" s="8"/>
      <c r="T6669" s="15">
        <v>0.4</v>
      </c>
      <c r="U6669" s="9">
        <v>5</v>
      </c>
      <c r="V6669" s="9">
        <v>10</v>
      </c>
      <c r="W6669" s="9">
        <v>0</v>
      </c>
      <c r="X6669" s="9">
        <v>0</v>
      </c>
      <c r="Y6669" s="9">
        <v>0</v>
      </c>
      <c r="Z6669" s="9">
        <v>0</v>
      </c>
      <c r="AA6669" s="9">
        <v>4</v>
      </c>
      <c r="AC6669" s="38">
        <v>1</v>
      </c>
    </row>
    <row r="6670" spans="1:29" x14ac:dyDescent="0.25">
      <c r="A6670" s="22">
        <v>45021</v>
      </c>
      <c r="B6670" s="9">
        <v>0</v>
      </c>
      <c r="C6670" s="9">
        <v>0</v>
      </c>
      <c r="D6670" s="7">
        <v>0</v>
      </c>
      <c r="E6670" s="7"/>
      <c r="F6670" s="9">
        <v>0</v>
      </c>
      <c r="G6670" s="9">
        <v>2.5</v>
      </c>
      <c r="H6670" s="9">
        <v>0</v>
      </c>
      <c r="I6670" s="9">
        <v>0</v>
      </c>
      <c r="J6670" s="9">
        <v>2</v>
      </c>
      <c r="K6670" s="9">
        <v>0.6</v>
      </c>
      <c r="L6670" s="9">
        <v>0</v>
      </c>
      <c r="M6670" s="9">
        <v>4</v>
      </c>
      <c r="N6670" s="9">
        <v>0</v>
      </c>
      <c r="O6670" s="7"/>
      <c r="P6670" s="9">
        <v>2</v>
      </c>
      <c r="Q6670" s="9">
        <v>1</v>
      </c>
      <c r="R6670" s="9">
        <v>0</v>
      </c>
      <c r="S6670" s="8"/>
      <c r="T6670" s="15">
        <v>0</v>
      </c>
      <c r="U6670" s="9">
        <v>0</v>
      </c>
      <c r="V6670" s="9">
        <v>0</v>
      </c>
      <c r="W6670" s="9">
        <v>0</v>
      </c>
      <c r="X6670" s="9">
        <v>0</v>
      </c>
      <c r="Y6670" s="9">
        <v>0</v>
      </c>
      <c r="Z6670" s="9">
        <v>0</v>
      </c>
      <c r="AA6670" s="9">
        <v>0</v>
      </c>
      <c r="AC6670" s="38">
        <v>0</v>
      </c>
    </row>
    <row r="6671" spans="1:29" x14ac:dyDescent="0.25">
      <c r="A6671" s="22">
        <v>45022</v>
      </c>
      <c r="B6671" s="9">
        <v>0</v>
      </c>
      <c r="C6671" s="9">
        <v>0</v>
      </c>
      <c r="D6671" s="7">
        <v>0</v>
      </c>
      <c r="E6671" s="7"/>
      <c r="F6671" s="9">
        <v>0</v>
      </c>
      <c r="G6671" s="9">
        <v>0</v>
      </c>
      <c r="H6671" s="9">
        <v>0</v>
      </c>
      <c r="I6671" s="9">
        <v>0</v>
      </c>
      <c r="J6671" s="9">
        <v>0</v>
      </c>
      <c r="K6671" s="9">
        <v>0</v>
      </c>
      <c r="L6671" s="9">
        <v>0</v>
      </c>
      <c r="M6671" s="9">
        <v>0</v>
      </c>
      <c r="N6671" s="9">
        <v>0</v>
      </c>
      <c r="O6671" s="7"/>
      <c r="P6671" s="9">
        <v>0</v>
      </c>
      <c r="Q6671" s="9">
        <v>1</v>
      </c>
      <c r="R6671" s="9">
        <v>1.1000000000000001</v>
      </c>
      <c r="S6671" s="8"/>
      <c r="T6671" s="15">
        <v>0</v>
      </c>
      <c r="U6671" s="9">
        <v>0</v>
      </c>
      <c r="V6671" s="9">
        <v>0</v>
      </c>
      <c r="W6671" s="9">
        <v>0</v>
      </c>
      <c r="X6671" s="9">
        <v>0</v>
      </c>
      <c r="Y6671" s="9">
        <v>0</v>
      </c>
      <c r="Z6671" s="9">
        <v>0</v>
      </c>
      <c r="AA6671" s="9">
        <v>0</v>
      </c>
      <c r="AC6671" s="38">
        <v>0</v>
      </c>
    </row>
    <row r="6672" spans="1:29" x14ac:dyDescent="0.25">
      <c r="A6672" s="22">
        <v>45023</v>
      </c>
      <c r="B6672" s="9">
        <v>0</v>
      </c>
      <c r="C6672" s="9">
        <v>0</v>
      </c>
      <c r="D6672" s="7">
        <v>0</v>
      </c>
      <c r="E6672" s="7"/>
      <c r="F6672" s="9">
        <v>0</v>
      </c>
      <c r="G6672" s="9">
        <v>0</v>
      </c>
      <c r="H6672" s="9">
        <v>0</v>
      </c>
      <c r="I6672" s="9">
        <v>0</v>
      </c>
      <c r="J6672" s="9">
        <v>0</v>
      </c>
      <c r="K6672" s="9">
        <v>0</v>
      </c>
      <c r="L6672" s="9">
        <v>0</v>
      </c>
      <c r="M6672" s="9">
        <v>0</v>
      </c>
      <c r="N6672" s="9">
        <v>0</v>
      </c>
      <c r="O6672" s="7"/>
      <c r="P6672" s="9">
        <v>0</v>
      </c>
      <c r="Q6672" s="9">
        <v>0</v>
      </c>
      <c r="R6672" s="9">
        <v>0</v>
      </c>
      <c r="S6672" s="8"/>
      <c r="T6672" s="15">
        <v>0</v>
      </c>
      <c r="U6672" s="9">
        <v>0</v>
      </c>
      <c r="V6672" s="9">
        <v>0</v>
      </c>
      <c r="W6672" s="9">
        <v>0</v>
      </c>
      <c r="X6672" s="9">
        <v>0</v>
      </c>
      <c r="Y6672" s="9">
        <v>0</v>
      </c>
      <c r="Z6672" s="9">
        <v>0</v>
      </c>
      <c r="AA6672" s="9">
        <v>0</v>
      </c>
      <c r="AC6672" s="38">
        <v>0</v>
      </c>
    </row>
    <row r="6673" spans="1:29" x14ac:dyDescent="0.25">
      <c r="A6673" s="22">
        <v>45024</v>
      </c>
      <c r="B6673" s="9">
        <v>0</v>
      </c>
      <c r="C6673" s="9">
        <v>0</v>
      </c>
      <c r="D6673" s="7">
        <v>0</v>
      </c>
      <c r="E6673" s="7"/>
      <c r="F6673" s="9">
        <v>1</v>
      </c>
      <c r="G6673" s="9">
        <v>0</v>
      </c>
      <c r="H6673" s="9">
        <v>0</v>
      </c>
      <c r="I6673" s="9">
        <v>0</v>
      </c>
      <c r="J6673" s="9">
        <v>0</v>
      </c>
      <c r="K6673" s="9">
        <v>0</v>
      </c>
      <c r="L6673" s="9">
        <v>0</v>
      </c>
      <c r="M6673" s="9">
        <v>0</v>
      </c>
      <c r="N6673" s="9">
        <v>0</v>
      </c>
      <c r="O6673" s="7"/>
      <c r="P6673" s="9">
        <v>0</v>
      </c>
      <c r="Q6673" s="9">
        <v>0</v>
      </c>
      <c r="R6673" s="9">
        <v>0</v>
      </c>
      <c r="S6673" s="8"/>
      <c r="T6673" s="15">
        <v>0.6</v>
      </c>
      <c r="U6673" s="9">
        <v>0</v>
      </c>
      <c r="V6673" s="9">
        <v>0</v>
      </c>
      <c r="W6673" s="9">
        <v>0</v>
      </c>
      <c r="X6673" s="9">
        <v>0</v>
      </c>
      <c r="Y6673" s="9">
        <v>0</v>
      </c>
      <c r="Z6673" s="9">
        <v>0</v>
      </c>
      <c r="AA6673" s="9">
        <v>0</v>
      </c>
      <c r="AC6673" s="38">
        <v>0</v>
      </c>
    </row>
    <row r="6674" spans="1:29" x14ac:dyDescent="0.25">
      <c r="A6674" s="22">
        <v>45025</v>
      </c>
      <c r="B6674" s="9">
        <v>4.5</v>
      </c>
      <c r="C6674" s="9">
        <v>1.8</v>
      </c>
      <c r="D6674" s="7">
        <v>3.1</v>
      </c>
      <c r="E6674" s="7"/>
      <c r="F6674" s="9">
        <v>0.4</v>
      </c>
      <c r="G6674" s="9">
        <v>3</v>
      </c>
      <c r="H6674" s="9">
        <v>3.6</v>
      </c>
      <c r="I6674" s="9">
        <v>1.5</v>
      </c>
      <c r="J6674" s="9">
        <v>3</v>
      </c>
      <c r="K6674" s="9">
        <v>6.1</v>
      </c>
      <c r="L6674" s="9">
        <v>0</v>
      </c>
      <c r="M6674" s="9">
        <v>8.6</v>
      </c>
      <c r="N6674" s="9">
        <v>6.6</v>
      </c>
      <c r="O6674" s="7"/>
      <c r="P6674" s="9">
        <v>2</v>
      </c>
      <c r="Q6674" s="9">
        <v>0</v>
      </c>
      <c r="R6674" s="9">
        <v>0</v>
      </c>
      <c r="S6674" s="8"/>
      <c r="T6674" s="15">
        <v>0.4</v>
      </c>
      <c r="U6674" s="9">
        <v>3</v>
      </c>
      <c r="V6674" s="9">
        <v>0</v>
      </c>
      <c r="W6674" s="9">
        <v>0</v>
      </c>
      <c r="X6674" s="9">
        <v>2</v>
      </c>
      <c r="Y6674" s="9">
        <v>0</v>
      </c>
      <c r="Z6674" s="9">
        <v>0</v>
      </c>
      <c r="AA6674" s="9">
        <v>0</v>
      </c>
      <c r="AC6674" s="38">
        <v>0</v>
      </c>
    </row>
    <row r="6675" spans="1:29" x14ac:dyDescent="0.25">
      <c r="A6675" s="22">
        <v>45026</v>
      </c>
      <c r="B6675" s="9">
        <v>0</v>
      </c>
      <c r="C6675" s="9">
        <v>0</v>
      </c>
      <c r="D6675" s="7">
        <v>1.4</v>
      </c>
      <c r="E6675" s="7"/>
      <c r="F6675" s="9">
        <v>0</v>
      </c>
      <c r="G6675" s="9">
        <v>3.2</v>
      </c>
      <c r="H6675" s="9">
        <v>0</v>
      </c>
      <c r="I6675" s="9">
        <v>1</v>
      </c>
      <c r="J6675" s="9">
        <v>1.2</v>
      </c>
      <c r="K6675" s="9">
        <v>0.3</v>
      </c>
      <c r="L6675" s="9">
        <v>3.81</v>
      </c>
      <c r="M6675" s="9">
        <v>0</v>
      </c>
      <c r="N6675" s="9">
        <v>1.4</v>
      </c>
      <c r="O6675" s="7"/>
      <c r="P6675" s="9">
        <v>3</v>
      </c>
      <c r="Q6675" s="9">
        <v>0</v>
      </c>
      <c r="R6675" s="9">
        <v>0</v>
      </c>
      <c r="S6675" s="8"/>
      <c r="T6675" s="15">
        <v>0.2</v>
      </c>
      <c r="U6675" s="9">
        <v>0</v>
      </c>
      <c r="V6675" s="9">
        <v>0</v>
      </c>
      <c r="W6675" s="9">
        <v>0</v>
      </c>
      <c r="X6675" s="9">
        <v>0</v>
      </c>
      <c r="Y6675" s="9">
        <v>0</v>
      </c>
      <c r="Z6675" s="9">
        <v>0</v>
      </c>
      <c r="AA6675" s="9">
        <v>0</v>
      </c>
      <c r="AC6675" s="38">
        <v>0</v>
      </c>
    </row>
    <row r="6676" spans="1:29" x14ac:dyDescent="0.25">
      <c r="A6676" s="22">
        <v>45027</v>
      </c>
      <c r="B6676" s="9">
        <v>0</v>
      </c>
      <c r="C6676" s="9">
        <v>0</v>
      </c>
      <c r="D6676" s="7">
        <v>0</v>
      </c>
      <c r="E6676" s="7"/>
      <c r="F6676" s="9">
        <v>0</v>
      </c>
      <c r="G6676" s="9">
        <v>2.2999999999999998</v>
      </c>
      <c r="H6676" s="9">
        <v>0</v>
      </c>
      <c r="I6676" s="9">
        <v>0.9</v>
      </c>
      <c r="J6676" s="9">
        <v>2.2000000000000002</v>
      </c>
      <c r="K6676" s="9">
        <v>0.2</v>
      </c>
      <c r="L6676" s="9">
        <v>0</v>
      </c>
      <c r="M6676" s="9">
        <v>0</v>
      </c>
      <c r="N6676" s="9">
        <v>0.2</v>
      </c>
      <c r="O6676" s="7"/>
      <c r="P6676" s="9">
        <v>0</v>
      </c>
      <c r="Q6676" s="9">
        <v>0</v>
      </c>
      <c r="R6676" s="9">
        <v>0</v>
      </c>
      <c r="S6676" s="8"/>
      <c r="T6676" s="15">
        <v>0</v>
      </c>
      <c r="U6676" s="9">
        <v>0</v>
      </c>
      <c r="V6676" s="9">
        <v>10.1</v>
      </c>
      <c r="W6676" s="9">
        <v>10</v>
      </c>
      <c r="X6676" s="9">
        <v>0</v>
      </c>
      <c r="Y6676" s="9">
        <v>0</v>
      </c>
      <c r="Z6676" s="9">
        <v>0</v>
      </c>
      <c r="AA6676" s="9">
        <v>4</v>
      </c>
      <c r="AC6676" s="38">
        <v>0</v>
      </c>
    </row>
    <row r="6677" spans="1:29" x14ac:dyDescent="0.25">
      <c r="A6677" s="22">
        <v>45028</v>
      </c>
      <c r="B6677" s="9">
        <v>0</v>
      </c>
      <c r="C6677" s="9">
        <v>0</v>
      </c>
      <c r="D6677" s="7">
        <v>1.3</v>
      </c>
      <c r="E6677" s="7"/>
      <c r="F6677" s="9">
        <v>0.2</v>
      </c>
      <c r="G6677" s="9">
        <v>0</v>
      </c>
      <c r="H6677" s="9">
        <v>0</v>
      </c>
      <c r="I6677" s="9">
        <v>0</v>
      </c>
      <c r="J6677" s="9">
        <v>0</v>
      </c>
      <c r="K6677" s="9">
        <v>0</v>
      </c>
      <c r="L6677" s="9">
        <v>0</v>
      </c>
      <c r="M6677" s="9">
        <v>0</v>
      </c>
      <c r="N6677" s="9">
        <v>0</v>
      </c>
      <c r="O6677" s="7"/>
      <c r="P6677" s="9">
        <v>0</v>
      </c>
      <c r="Q6677" s="9">
        <v>0</v>
      </c>
      <c r="R6677" s="9">
        <v>0</v>
      </c>
      <c r="S6677" s="8"/>
      <c r="T6677" s="15">
        <v>0</v>
      </c>
      <c r="U6677" s="9">
        <v>0</v>
      </c>
      <c r="V6677" s="9">
        <v>0</v>
      </c>
      <c r="W6677" s="9">
        <v>0</v>
      </c>
      <c r="X6677" s="9">
        <v>0</v>
      </c>
      <c r="Y6677" s="9">
        <v>0</v>
      </c>
      <c r="Z6677" s="9">
        <v>0</v>
      </c>
      <c r="AA6677" s="9">
        <v>0</v>
      </c>
      <c r="AC6677" s="38">
        <v>0</v>
      </c>
    </row>
    <row r="6678" spans="1:29" x14ac:dyDescent="0.25">
      <c r="A6678" s="22">
        <v>45029</v>
      </c>
      <c r="B6678" s="9">
        <v>0</v>
      </c>
      <c r="C6678" s="9">
        <v>0</v>
      </c>
      <c r="D6678" s="7">
        <v>0</v>
      </c>
      <c r="E6678" s="7"/>
      <c r="F6678" s="9">
        <v>0.2</v>
      </c>
      <c r="G6678" s="9">
        <v>0</v>
      </c>
      <c r="H6678" s="9">
        <v>0</v>
      </c>
      <c r="I6678" s="9">
        <v>0</v>
      </c>
      <c r="J6678" s="9">
        <v>0</v>
      </c>
      <c r="K6678" s="9">
        <v>0</v>
      </c>
      <c r="L6678" s="9">
        <v>0</v>
      </c>
      <c r="M6678" s="9">
        <v>0</v>
      </c>
      <c r="N6678" s="9">
        <v>0</v>
      </c>
      <c r="O6678" s="7"/>
      <c r="P6678" s="9">
        <v>0</v>
      </c>
      <c r="Q6678" s="9">
        <v>0</v>
      </c>
      <c r="R6678" s="9">
        <v>0</v>
      </c>
      <c r="S6678" s="10"/>
      <c r="T6678" s="15">
        <v>0</v>
      </c>
      <c r="U6678" s="9">
        <v>0</v>
      </c>
      <c r="V6678" s="9">
        <v>0</v>
      </c>
      <c r="W6678" s="9">
        <v>0</v>
      </c>
      <c r="X6678" s="9">
        <v>4</v>
      </c>
      <c r="Y6678" s="9">
        <v>0</v>
      </c>
      <c r="Z6678" s="9">
        <v>0</v>
      </c>
      <c r="AA6678" s="9">
        <v>0</v>
      </c>
      <c r="AC6678" s="38">
        <v>0</v>
      </c>
    </row>
    <row r="6679" spans="1:29" x14ac:dyDescent="0.25">
      <c r="A6679" s="22">
        <v>45030</v>
      </c>
      <c r="B6679" s="9">
        <v>0</v>
      </c>
      <c r="C6679" s="9">
        <v>2</v>
      </c>
      <c r="D6679" s="7">
        <v>1</v>
      </c>
      <c r="E6679" s="7"/>
      <c r="F6679" s="9">
        <v>0</v>
      </c>
      <c r="G6679" s="9">
        <v>2.2999999999999998</v>
      </c>
      <c r="H6679" s="9">
        <v>0</v>
      </c>
      <c r="I6679" s="9">
        <v>1</v>
      </c>
      <c r="J6679" s="9">
        <v>1.4</v>
      </c>
      <c r="K6679" s="9">
        <v>0.2</v>
      </c>
      <c r="L6679" s="9">
        <v>0</v>
      </c>
      <c r="M6679" s="9">
        <v>0</v>
      </c>
      <c r="N6679" s="9">
        <v>3.6</v>
      </c>
      <c r="O6679" s="7"/>
      <c r="P6679" s="9">
        <v>0</v>
      </c>
      <c r="Q6679" s="9">
        <v>0</v>
      </c>
      <c r="R6679" s="9">
        <v>0</v>
      </c>
      <c r="S6679" s="10"/>
      <c r="T6679" s="15">
        <v>0</v>
      </c>
      <c r="U6679" s="9">
        <v>0</v>
      </c>
      <c r="V6679" s="9">
        <v>5</v>
      </c>
      <c r="W6679" s="9">
        <v>2</v>
      </c>
      <c r="X6679" s="9">
        <v>0</v>
      </c>
      <c r="Y6679" s="9">
        <v>0</v>
      </c>
      <c r="Z6679" s="9">
        <v>0</v>
      </c>
      <c r="AA6679" s="9">
        <v>0</v>
      </c>
      <c r="AC6679" s="38">
        <v>0</v>
      </c>
    </row>
    <row r="6680" spans="1:29" x14ac:dyDescent="0.25">
      <c r="A6680" s="22">
        <v>45031</v>
      </c>
      <c r="B6680" s="9">
        <v>0</v>
      </c>
      <c r="C6680" s="9">
        <v>0</v>
      </c>
      <c r="D6680" s="7">
        <v>0</v>
      </c>
      <c r="E6680" s="7"/>
      <c r="F6680" s="9">
        <v>0</v>
      </c>
      <c r="G6680" s="9">
        <v>1</v>
      </c>
      <c r="H6680" s="9">
        <v>0</v>
      </c>
      <c r="I6680" s="9">
        <v>0.6</v>
      </c>
      <c r="J6680" s="9">
        <v>2.2999999999999998</v>
      </c>
      <c r="K6680" s="9">
        <v>0</v>
      </c>
      <c r="L6680" s="9">
        <v>0</v>
      </c>
      <c r="M6680" s="9">
        <v>0</v>
      </c>
      <c r="N6680" s="9">
        <v>0.8</v>
      </c>
      <c r="O6680" s="7"/>
      <c r="P6680" s="9">
        <v>2</v>
      </c>
      <c r="Q6680" s="9">
        <v>2</v>
      </c>
      <c r="R6680" s="9">
        <v>0</v>
      </c>
      <c r="S6680" s="10"/>
      <c r="T6680" s="15">
        <v>0</v>
      </c>
      <c r="U6680" s="9">
        <v>0</v>
      </c>
      <c r="V6680" s="9">
        <v>0</v>
      </c>
      <c r="W6680" s="9">
        <v>0</v>
      </c>
      <c r="X6680" s="9">
        <v>0</v>
      </c>
      <c r="Y6680" s="9">
        <v>0</v>
      </c>
      <c r="Z6680" s="9">
        <v>0</v>
      </c>
      <c r="AA6680" s="9">
        <v>0</v>
      </c>
      <c r="AC6680" s="38">
        <v>0</v>
      </c>
    </row>
    <row r="6681" spans="1:29" x14ac:dyDescent="0.25">
      <c r="A6681" s="22">
        <v>45032</v>
      </c>
      <c r="B6681" s="9">
        <v>0</v>
      </c>
      <c r="C6681" s="9">
        <v>0</v>
      </c>
      <c r="D6681" s="7">
        <v>0</v>
      </c>
      <c r="E6681" s="7"/>
      <c r="F6681" s="9">
        <v>0</v>
      </c>
      <c r="G6681" s="9">
        <v>2.2999999999999998</v>
      </c>
      <c r="H6681" s="9">
        <v>0</v>
      </c>
      <c r="I6681" s="9">
        <v>3.1</v>
      </c>
      <c r="J6681" s="9">
        <v>1.3</v>
      </c>
      <c r="K6681" s="9">
        <v>0</v>
      </c>
      <c r="L6681" s="9">
        <v>2.6</v>
      </c>
      <c r="M6681" s="9">
        <v>0</v>
      </c>
      <c r="N6681" s="9">
        <v>0</v>
      </c>
      <c r="O6681" s="7"/>
      <c r="P6681" s="9">
        <v>0</v>
      </c>
      <c r="Q6681" s="9">
        <v>3.5</v>
      </c>
      <c r="R6681" s="9">
        <v>0</v>
      </c>
      <c r="S6681" s="10"/>
      <c r="T6681" s="15">
        <v>0</v>
      </c>
      <c r="U6681" s="9">
        <v>0</v>
      </c>
      <c r="V6681" s="9">
        <v>0</v>
      </c>
      <c r="W6681" s="9">
        <v>0</v>
      </c>
      <c r="X6681" s="9">
        <v>2</v>
      </c>
      <c r="Y6681" s="9">
        <v>0</v>
      </c>
      <c r="Z6681" s="9">
        <v>0</v>
      </c>
      <c r="AA6681" s="9">
        <v>0</v>
      </c>
      <c r="AC6681" s="38">
        <v>0</v>
      </c>
    </row>
    <row r="6682" spans="1:29" x14ac:dyDescent="0.25">
      <c r="A6682" s="22">
        <v>45033</v>
      </c>
      <c r="B6682" s="9">
        <v>0</v>
      </c>
      <c r="C6682" s="9">
        <v>0.8</v>
      </c>
      <c r="D6682" s="7">
        <v>2.1</v>
      </c>
      <c r="E6682" s="7"/>
      <c r="F6682" s="9">
        <v>0.4</v>
      </c>
      <c r="G6682" s="9">
        <v>0</v>
      </c>
      <c r="H6682" s="9">
        <v>0</v>
      </c>
      <c r="I6682" s="9">
        <v>0.1</v>
      </c>
      <c r="J6682" s="9">
        <v>0</v>
      </c>
      <c r="K6682" s="9">
        <v>0.7</v>
      </c>
      <c r="L6682" s="9">
        <v>0</v>
      </c>
      <c r="M6682" s="9">
        <v>0</v>
      </c>
      <c r="N6682" s="9">
        <v>0.2</v>
      </c>
      <c r="O6682" s="7"/>
      <c r="P6682" s="9">
        <v>1</v>
      </c>
      <c r="Q6682" s="9">
        <v>0</v>
      </c>
      <c r="R6682" s="9">
        <v>0</v>
      </c>
      <c r="S6682" s="10"/>
      <c r="T6682" s="15">
        <v>0</v>
      </c>
      <c r="U6682" s="9">
        <v>0</v>
      </c>
      <c r="V6682" s="9">
        <v>0</v>
      </c>
      <c r="W6682" s="9">
        <v>0</v>
      </c>
      <c r="X6682" s="9">
        <v>0</v>
      </c>
      <c r="Y6682" s="9">
        <v>0</v>
      </c>
      <c r="Z6682" s="9">
        <v>0</v>
      </c>
      <c r="AA6682" s="9">
        <v>0</v>
      </c>
      <c r="AC6682" s="38">
        <v>0</v>
      </c>
    </row>
    <row r="6683" spans="1:29" x14ac:dyDescent="0.25">
      <c r="A6683" s="22">
        <v>45034</v>
      </c>
      <c r="B6683" s="9">
        <v>0</v>
      </c>
      <c r="C6683" s="9">
        <v>0</v>
      </c>
      <c r="D6683" s="7">
        <v>0</v>
      </c>
      <c r="E6683" s="7"/>
      <c r="F6683" s="9">
        <v>0</v>
      </c>
      <c r="G6683" s="9">
        <v>0</v>
      </c>
      <c r="H6683" s="9">
        <v>0</v>
      </c>
      <c r="I6683" s="9">
        <v>2.2000000000000002</v>
      </c>
      <c r="J6683" s="9">
        <v>0</v>
      </c>
      <c r="K6683" s="9">
        <v>0</v>
      </c>
      <c r="L6683" s="9">
        <v>0</v>
      </c>
      <c r="M6683" s="9">
        <v>0</v>
      </c>
      <c r="N6683" s="9">
        <v>0</v>
      </c>
      <c r="O6683" s="7"/>
      <c r="P6683" s="9">
        <v>0</v>
      </c>
      <c r="Q6683" s="9">
        <v>0</v>
      </c>
      <c r="R6683" s="9">
        <v>0</v>
      </c>
      <c r="S6683" s="10"/>
      <c r="T6683" s="15">
        <v>0</v>
      </c>
      <c r="U6683" s="9">
        <v>0</v>
      </c>
      <c r="V6683" s="9">
        <v>0</v>
      </c>
      <c r="W6683" s="9">
        <v>0</v>
      </c>
      <c r="X6683" s="9">
        <v>1</v>
      </c>
      <c r="Y6683" s="9">
        <v>0</v>
      </c>
      <c r="Z6683" s="9">
        <v>0</v>
      </c>
      <c r="AA6683" s="9">
        <v>0</v>
      </c>
      <c r="AC6683" s="38">
        <v>0</v>
      </c>
    </row>
    <row r="6684" spans="1:29" x14ac:dyDescent="0.25">
      <c r="A6684" s="22">
        <v>45035</v>
      </c>
      <c r="B6684" s="9">
        <v>17.5</v>
      </c>
      <c r="C6684" s="9">
        <v>0</v>
      </c>
      <c r="D6684" s="7">
        <v>2.4</v>
      </c>
      <c r="E6684" s="7"/>
      <c r="F6684" s="9">
        <v>0.2</v>
      </c>
      <c r="G6684" s="9">
        <v>2</v>
      </c>
      <c r="H6684" s="9">
        <v>2</v>
      </c>
      <c r="I6684" s="9">
        <v>2</v>
      </c>
      <c r="J6684" s="9">
        <v>0.4</v>
      </c>
      <c r="K6684" s="9">
        <v>2.2000000000000002</v>
      </c>
      <c r="L6684" s="9">
        <v>5.3</v>
      </c>
      <c r="M6684" s="9">
        <v>0</v>
      </c>
      <c r="N6684" s="9">
        <v>1.8</v>
      </c>
      <c r="O6684" s="7"/>
      <c r="P6684" s="9">
        <v>2</v>
      </c>
      <c r="Q6684" s="9">
        <v>0</v>
      </c>
      <c r="R6684" s="9">
        <v>0</v>
      </c>
      <c r="S6684" s="10"/>
      <c r="T6684" s="15">
        <v>3.4</v>
      </c>
      <c r="U6684" s="9">
        <v>3</v>
      </c>
      <c r="V6684" s="9">
        <v>0.2</v>
      </c>
      <c r="W6684" s="9">
        <v>0.2</v>
      </c>
      <c r="X6684" s="9">
        <v>0</v>
      </c>
      <c r="Y6684" s="9">
        <v>0</v>
      </c>
      <c r="Z6684" s="9">
        <v>0</v>
      </c>
      <c r="AA6684" s="9">
        <v>0</v>
      </c>
      <c r="AC6684" s="38">
        <v>0</v>
      </c>
    </row>
    <row r="6685" spans="1:29" x14ac:dyDescent="0.25">
      <c r="A6685" s="22">
        <v>45036</v>
      </c>
      <c r="B6685" s="9">
        <v>0</v>
      </c>
      <c r="C6685" s="9">
        <v>1.4</v>
      </c>
      <c r="D6685" s="7">
        <v>2.8</v>
      </c>
      <c r="E6685" s="7"/>
      <c r="F6685" s="9">
        <v>0.2</v>
      </c>
      <c r="G6685" s="9">
        <v>2.5</v>
      </c>
      <c r="H6685" s="9">
        <v>0</v>
      </c>
      <c r="I6685" s="9">
        <v>2</v>
      </c>
      <c r="J6685" s="9">
        <v>2</v>
      </c>
      <c r="K6685" s="9">
        <v>4</v>
      </c>
      <c r="L6685" s="9">
        <v>0</v>
      </c>
      <c r="M6685" s="9">
        <v>0</v>
      </c>
      <c r="N6685" s="9">
        <v>3.8</v>
      </c>
      <c r="O6685" s="7"/>
      <c r="P6685" s="9">
        <v>0</v>
      </c>
      <c r="Q6685" s="9">
        <v>0</v>
      </c>
      <c r="R6685" s="9">
        <v>0</v>
      </c>
      <c r="S6685" s="10"/>
      <c r="T6685" s="15">
        <v>0</v>
      </c>
      <c r="U6685" s="9">
        <v>0</v>
      </c>
      <c r="V6685" s="9">
        <v>0</v>
      </c>
      <c r="W6685" s="9">
        <v>0</v>
      </c>
      <c r="X6685" s="9">
        <v>0</v>
      </c>
      <c r="Y6685" s="9">
        <v>0</v>
      </c>
      <c r="Z6685" s="9">
        <v>0</v>
      </c>
      <c r="AA6685" s="9"/>
      <c r="AC6685" s="38">
        <v>7</v>
      </c>
    </row>
    <row r="6686" spans="1:29" x14ac:dyDescent="0.25">
      <c r="A6686" s="22">
        <v>45037</v>
      </c>
      <c r="B6686" s="9">
        <v>6</v>
      </c>
      <c r="C6686" s="9">
        <v>5.2</v>
      </c>
      <c r="D6686" s="7">
        <v>17.600000000000001</v>
      </c>
      <c r="E6686" s="7"/>
      <c r="F6686" s="9">
        <v>0</v>
      </c>
      <c r="G6686" s="9">
        <v>2</v>
      </c>
      <c r="H6686" s="9">
        <v>1.9</v>
      </c>
      <c r="I6686" s="9">
        <v>7.1</v>
      </c>
      <c r="J6686" s="9">
        <v>8</v>
      </c>
      <c r="K6686" s="9">
        <v>9.1999999999999993</v>
      </c>
      <c r="L6686" s="9">
        <v>0</v>
      </c>
      <c r="M6686" s="9">
        <v>6.6</v>
      </c>
      <c r="N6686" s="9">
        <v>0.2</v>
      </c>
      <c r="O6686" s="7"/>
      <c r="P6686" s="9">
        <v>0</v>
      </c>
      <c r="Q6686" s="9">
        <v>6.5</v>
      </c>
      <c r="R6686" s="9">
        <v>0</v>
      </c>
      <c r="S6686" s="10"/>
      <c r="T6686" s="15">
        <v>0</v>
      </c>
      <c r="U6686" s="9">
        <v>0</v>
      </c>
      <c r="V6686" s="9">
        <v>5</v>
      </c>
      <c r="W6686" s="9">
        <v>6.1</v>
      </c>
      <c r="X6686" s="9">
        <v>0</v>
      </c>
      <c r="Y6686" s="9">
        <v>0</v>
      </c>
      <c r="Z6686" s="9">
        <v>0</v>
      </c>
      <c r="AA6686" s="9">
        <v>0</v>
      </c>
      <c r="AC6686" s="38">
        <v>0</v>
      </c>
    </row>
    <row r="6687" spans="1:29" x14ac:dyDescent="0.25">
      <c r="A6687" s="22">
        <v>45038</v>
      </c>
      <c r="B6687" s="9">
        <v>0</v>
      </c>
      <c r="C6687" s="9">
        <v>0</v>
      </c>
      <c r="D6687" s="7">
        <v>0</v>
      </c>
      <c r="E6687" s="7"/>
      <c r="F6687" s="9">
        <v>0</v>
      </c>
      <c r="G6687" s="9">
        <v>0</v>
      </c>
      <c r="H6687" s="9">
        <v>0</v>
      </c>
      <c r="I6687" s="9">
        <v>0.1</v>
      </c>
      <c r="J6687" s="9">
        <v>0</v>
      </c>
      <c r="K6687" s="9">
        <v>0</v>
      </c>
      <c r="L6687" s="9">
        <v>0</v>
      </c>
      <c r="M6687" s="9">
        <v>0</v>
      </c>
      <c r="N6687" s="9">
        <v>0</v>
      </c>
      <c r="O6687" s="7"/>
      <c r="P6687" s="9">
        <v>0</v>
      </c>
      <c r="Q6687" s="9">
        <v>0</v>
      </c>
      <c r="R6687" s="9">
        <v>0</v>
      </c>
      <c r="S6687" s="10"/>
      <c r="T6687" s="15">
        <v>0</v>
      </c>
      <c r="U6687" s="9">
        <v>0</v>
      </c>
      <c r="V6687" s="9">
        <v>0</v>
      </c>
      <c r="W6687" s="9">
        <v>0</v>
      </c>
      <c r="X6687" s="9">
        <v>0</v>
      </c>
      <c r="Y6687" s="9">
        <v>0</v>
      </c>
      <c r="Z6687" s="9">
        <v>0</v>
      </c>
      <c r="AA6687" s="9">
        <v>2</v>
      </c>
      <c r="AC6687" s="38">
        <v>0</v>
      </c>
    </row>
    <row r="6688" spans="1:29" x14ac:dyDescent="0.25">
      <c r="A6688" s="22">
        <v>45039</v>
      </c>
      <c r="B6688" s="9">
        <v>2</v>
      </c>
      <c r="C6688" s="9">
        <v>0</v>
      </c>
      <c r="D6688" s="7">
        <v>0</v>
      </c>
      <c r="E6688" s="7"/>
      <c r="F6688" s="9">
        <v>0</v>
      </c>
      <c r="G6688" s="9">
        <v>0</v>
      </c>
      <c r="H6688" s="9">
        <v>0</v>
      </c>
      <c r="I6688" s="9">
        <v>0</v>
      </c>
      <c r="J6688" s="9">
        <v>0</v>
      </c>
      <c r="K6688" s="9">
        <v>0</v>
      </c>
      <c r="L6688" s="9">
        <v>6.4</v>
      </c>
      <c r="M6688" s="9">
        <v>0</v>
      </c>
      <c r="N6688" s="9">
        <v>4</v>
      </c>
      <c r="O6688" s="7"/>
      <c r="P6688" s="9">
        <v>14</v>
      </c>
      <c r="Q6688" s="9">
        <v>4</v>
      </c>
      <c r="R6688" s="9">
        <v>1</v>
      </c>
      <c r="S6688" s="8"/>
      <c r="T6688" s="15">
        <v>1</v>
      </c>
      <c r="U6688" s="9">
        <v>54</v>
      </c>
      <c r="V6688" s="9">
        <v>0</v>
      </c>
      <c r="W6688" s="9">
        <v>0</v>
      </c>
      <c r="X6688" s="9">
        <v>2</v>
      </c>
      <c r="Y6688" s="9">
        <v>0</v>
      </c>
      <c r="Z6688" s="9">
        <v>0</v>
      </c>
      <c r="AA6688" s="9">
        <v>0</v>
      </c>
      <c r="AC6688" s="38">
        <v>0</v>
      </c>
    </row>
    <row r="6689" spans="1:29" x14ac:dyDescent="0.25">
      <c r="A6689" s="22">
        <v>45040</v>
      </c>
      <c r="B6689" s="9">
        <v>45</v>
      </c>
      <c r="C6689" s="9">
        <v>1.2</v>
      </c>
      <c r="D6689" s="7">
        <v>3.8</v>
      </c>
      <c r="E6689" s="7"/>
      <c r="F6689" s="9">
        <v>11.8</v>
      </c>
      <c r="G6689" s="9">
        <v>9</v>
      </c>
      <c r="H6689" s="9">
        <v>7.2</v>
      </c>
      <c r="I6689" s="9">
        <v>2</v>
      </c>
      <c r="J6689" s="9">
        <v>4.2</v>
      </c>
      <c r="K6689" s="9">
        <v>8.6</v>
      </c>
      <c r="L6689" s="9">
        <v>97</v>
      </c>
      <c r="M6689" s="9">
        <v>0</v>
      </c>
      <c r="N6689" s="9">
        <v>27.6</v>
      </c>
      <c r="O6689" s="7"/>
      <c r="P6689" s="9">
        <v>72</v>
      </c>
      <c r="Q6689" s="9">
        <v>43</v>
      </c>
      <c r="R6689" s="9">
        <v>21.2</v>
      </c>
      <c r="S6689" s="8"/>
      <c r="T6689" s="15">
        <v>0</v>
      </c>
      <c r="U6689" s="9">
        <v>8</v>
      </c>
      <c r="V6689" s="9">
        <v>0</v>
      </c>
      <c r="W6689" s="9">
        <v>0</v>
      </c>
      <c r="X6689" s="9">
        <v>24</v>
      </c>
      <c r="Y6689" s="9">
        <v>9</v>
      </c>
      <c r="Z6689" s="9">
        <v>12</v>
      </c>
      <c r="AA6689" s="9">
        <v>14</v>
      </c>
      <c r="AC6689" s="38">
        <v>0</v>
      </c>
    </row>
    <row r="6690" spans="1:29" x14ac:dyDescent="0.25">
      <c r="A6690" s="22">
        <v>45041</v>
      </c>
      <c r="B6690" s="9">
        <v>95</v>
      </c>
      <c r="C6690" s="9">
        <v>19.2</v>
      </c>
      <c r="D6690" s="7">
        <v>51.2</v>
      </c>
      <c r="E6690" s="7"/>
      <c r="F6690" s="9">
        <v>50.6</v>
      </c>
      <c r="G6690" s="9">
        <v>15.5</v>
      </c>
      <c r="H6690" s="9">
        <v>18.3</v>
      </c>
      <c r="I6690" s="9">
        <v>13.4</v>
      </c>
      <c r="J6690" s="9">
        <v>36.6</v>
      </c>
      <c r="K6690" s="9">
        <v>40.1</v>
      </c>
      <c r="L6690" s="9">
        <v>43.2</v>
      </c>
      <c r="M6690" s="9">
        <v>6.4</v>
      </c>
      <c r="N6690" s="9">
        <v>21.2</v>
      </c>
      <c r="O6690" s="7"/>
      <c r="P6690" s="9">
        <v>44</v>
      </c>
      <c r="Q6690" s="9">
        <v>42</v>
      </c>
      <c r="R6690" s="9">
        <v>43.9</v>
      </c>
      <c r="S6690" s="8"/>
      <c r="T6690" s="15">
        <v>0.2</v>
      </c>
      <c r="U6690" s="9">
        <v>56</v>
      </c>
      <c r="V6690" s="9">
        <v>30.2</v>
      </c>
      <c r="W6690" s="9">
        <v>2.85</v>
      </c>
      <c r="X6690" s="9">
        <v>69</v>
      </c>
      <c r="Y6690" s="9">
        <v>50</v>
      </c>
      <c r="Z6690" s="9">
        <v>0</v>
      </c>
      <c r="AA6690" s="9">
        <v>108</v>
      </c>
      <c r="AC6690" s="38">
        <v>2</v>
      </c>
    </row>
    <row r="6691" spans="1:29" x14ac:dyDescent="0.25">
      <c r="A6691" s="22">
        <v>45042</v>
      </c>
      <c r="B6691" s="9">
        <v>0</v>
      </c>
      <c r="C6691" s="9"/>
      <c r="D6691" s="7">
        <v>1.2</v>
      </c>
      <c r="E6691" s="7"/>
      <c r="F6691" s="9">
        <v>2.6</v>
      </c>
      <c r="G6691" s="9">
        <v>1</v>
      </c>
      <c r="H6691" s="9">
        <v>3.5</v>
      </c>
      <c r="I6691" s="9">
        <v>2.5</v>
      </c>
      <c r="J6691" s="9">
        <v>0.2</v>
      </c>
      <c r="K6691" s="9">
        <v>0</v>
      </c>
      <c r="L6691" s="9">
        <v>1.5</v>
      </c>
      <c r="M6691" s="9">
        <v>8.1999999999999993</v>
      </c>
      <c r="N6691" s="9">
        <v>18.600000000000001</v>
      </c>
      <c r="O6691" s="7"/>
      <c r="P6691" s="9">
        <v>1</v>
      </c>
      <c r="Q6691" s="9">
        <v>4.7</v>
      </c>
      <c r="R6691" s="9">
        <v>1.2</v>
      </c>
      <c r="S6691" s="8"/>
      <c r="T6691" s="15">
        <v>27.2</v>
      </c>
      <c r="U6691" s="9">
        <v>4</v>
      </c>
      <c r="V6691" s="9">
        <v>0.2</v>
      </c>
      <c r="W6691" s="9">
        <v>0.3</v>
      </c>
      <c r="X6691" s="9">
        <v>4</v>
      </c>
      <c r="Y6691" s="9">
        <v>3</v>
      </c>
      <c r="Z6691" s="9">
        <v>2</v>
      </c>
      <c r="AA6691" s="9">
        <v>2</v>
      </c>
      <c r="AC6691" s="38">
        <v>28</v>
      </c>
    </row>
    <row r="6692" spans="1:29" x14ac:dyDescent="0.25">
      <c r="A6692" s="22">
        <v>45043</v>
      </c>
      <c r="B6692" s="9">
        <v>20</v>
      </c>
      <c r="C6692" s="9">
        <v>10.4</v>
      </c>
      <c r="D6692" s="7">
        <v>15.2</v>
      </c>
      <c r="E6692" s="7"/>
      <c r="F6692" s="9">
        <v>4.5999999999999996</v>
      </c>
      <c r="G6692" s="9">
        <v>35.5</v>
      </c>
      <c r="H6692" s="9">
        <v>14.8</v>
      </c>
      <c r="I6692" s="9">
        <v>38</v>
      </c>
      <c r="J6692" s="9">
        <v>35.799999999999997</v>
      </c>
      <c r="K6692" s="9">
        <v>26.8</v>
      </c>
      <c r="L6692" s="9">
        <v>12.9</v>
      </c>
      <c r="M6692" s="9">
        <v>4.8</v>
      </c>
      <c r="N6692" s="9">
        <v>8.1999999999999993</v>
      </c>
      <c r="O6692" s="7"/>
      <c r="P6692" s="9">
        <v>23</v>
      </c>
      <c r="Q6692" s="9">
        <v>15</v>
      </c>
      <c r="R6692" s="9">
        <v>10</v>
      </c>
      <c r="S6692" s="8"/>
      <c r="T6692" s="15">
        <v>0.6</v>
      </c>
      <c r="U6692" s="9">
        <v>20</v>
      </c>
      <c r="V6692" s="9">
        <v>45.5</v>
      </c>
      <c r="W6692" s="9">
        <v>34.4</v>
      </c>
      <c r="X6692" s="9">
        <v>6</v>
      </c>
      <c r="Y6692" s="9">
        <v>10</v>
      </c>
      <c r="Z6692" s="9">
        <v>0</v>
      </c>
      <c r="AA6692" s="9">
        <v>16</v>
      </c>
      <c r="AC6692" s="38">
        <v>11</v>
      </c>
    </row>
    <row r="6693" spans="1:29" x14ac:dyDescent="0.25">
      <c r="A6693" s="22">
        <v>45044</v>
      </c>
      <c r="B6693" s="9">
        <v>0</v>
      </c>
      <c r="C6693" s="9">
        <v>0</v>
      </c>
      <c r="D6693" s="7">
        <v>0</v>
      </c>
      <c r="E6693" s="7"/>
      <c r="F6693" s="9">
        <v>0.6</v>
      </c>
      <c r="G6693" s="9">
        <v>2</v>
      </c>
      <c r="H6693" s="9">
        <v>0</v>
      </c>
      <c r="I6693" s="9">
        <v>4.8</v>
      </c>
      <c r="J6693" s="9">
        <v>1.6</v>
      </c>
      <c r="K6693" s="9">
        <v>2</v>
      </c>
      <c r="L6693" s="9">
        <v>0</v>
      </c>
      <c r="M6693" s="9">
        <v>2.6</v>
      </c>
      <c r="N6693" s="9">
        <v>0.2</v>
      </c>
      <c r="O6693" s="7"/>
      <c r="P6693" s="9">
        <v>0</v>
      </c>
      <c r="Q6693" s="9">
        <v>0.3</v>
      </c>
      <c r="R6693" s="9">
        <v>0</v>
      </c>
      <c r="S6693" s="8"/>
      <c r="T6693" s="15">
        <v>0</v>
      </c>
      <c r="U6693" s="9">
        <v>0</v>
      </c>
      <c r="V6693" s="9">
        <v>5</v>
      </c>
      <c r="W6693" s="9">
        <v>4.2</v>
      </c>
      <c r="X6693" s="9">
        <v>0</v>
      </c>
      <c r="Y6693" s="9">
        <v>0</v>
      </c>
      <c r="Z6693" s="9">
        <v>0</v>
      </c>
      <c r="AA6693" s="9">
        <v>0</v>
      </c>
      <c r="AC6693" s="38">
        <v>0</v>
      </c>
    </row>
    <row r="6694" spans="1:29" x14ac:dyDescent="0.25">
      <c r="A6694" s="22">
        <v>45045</v>
      </c>
      <c r="B6694" s="7">
        <v>0</v>
      </c>
      <c r="C6694" s="7">
        <v>0</v>
      </c>
      <c r="D6694" s="7">
        <v>0</v>
      </c>
      <c r="E6694" s="7"/>
      <c r="F6694" s="9">
        <v>0.4</v>
      </c>
      <c r="G6694" s="7">
        <v>1.5</v>
      </c>
      <c r="H6694" s="7">
        <v>0</v>
      </c>
      <c r="I6694" s="7">
        <v>1</v>
      </c>
      <c r="J6694" s="7">
        <v>0</v>
      </c>
      <c r="K6694" s="7">
        <v>2</v>
      </c>
      <c r="L6694" s="7">
        <v>0</v>
      </c>
      <c r="M6694" s="7">
        <v>2.4</v>
      </c>
      <c r="N6694" s="10">
        <v>0</v>
      </c>
      <c r="O6694" s="7"/>
      <c r="P6694" s="7">
        <v>0</v>
      </c>
      <c r="Q6694" s="7">
        <v>1.97</v>
      </c>
      <c r="R6694" s="7">
        <v>0</v>
      </c>
      <c r="S6694" s="10"/>
      <c r="T6694" s="15">
        <v>0</v>
      </c>
      <c r="U6694" s="7">
        <v>0</v>
      </c>
      <c r="V6694" s="7">
        <v>0</v>
      </c>
      <c r="W6694" s="7">
        <v>0</v>
      </c>
      <c r="X6694" s="7">
        <v>0</v>
      </c>
      <c r="Y6694" s="7">
        <v>0</v>
      </c>
      <c r="Z6694" s="7">
        <v>0</v>
      </c>
      <c r="AA6694" s="7">
        <v>0</v>
      </c>
      <c r="AC6694" s="38">
        <v>0</v>
      </c>
    </row>
    <row r="6695" spans="1:29" x14ac:dyDescent="0.25">
      <c r="A6695" s="22">
        <v>45046</v>
      </c>
      <c r="B6695" s="7">
        <v>0</v>
      </c>
      <c r="C6695" s="7">
        <v>0</v>
      </c>
      <c r="D6695" s="7">
        <v>0</v>
      </c>
      <c r="E6695" s="7"/>
      <c r="F6695" s="9">
        <v>0.2</v>
      </c>
      <c r="G6695" s="7">
        <v>0</v>
      </c>
      <c r="H6695" s="7">
        <v>0</v>
      </c>
      <c r="I6695" s="7">
        <v>0</v>
      </c>
      <c r="J6695" s="7">
        <v>0</v>
      </c>
      <c r="K6695" s="7">
        <v>2</v>
      </c>
      <c r="L6695" s="7">
        <v>0</v>
      </c>
      <c r="M6695" s="7">
        <v>0</v>
      </c>
      <c r="N6695" s="10">
        <v>0</v>
      </c>
      <c r="O6695" s="7"/>
      <c r="P6695" s="7">
        <v>0</v>
      </c>
      <c r="Q6695" s="7">
        <v>0</v>
      </c>
      <c r="R6695" s="7">
        <v>0</v>
      </c>
      <c r="S6695" s="10"/>
      <c r="T6695" s="15">
        <v>0</v>
      </c>
      <c r="U6695" s="7">
        <v>0</v>
      </c>
      <c r="V6695" s="7">
        <v>0</v>
      </c>
      <c r="W6695" s="7">
        <v>0</v>
      </c>
      <c r="X6695" s="7">
        <v>0</v>
      </c>
      <c r="Y6695" s="7">
        <v>0</v>
      </c>
      <c r="Z6695" s="7">
        <v>0</v>
      </c>
      <c r="AA6695" s="7">
        <v>0</v>
      </c>
      <c r="AC6695" s="38">
        <v>0</v>
      </c>
    </row>
    <row r="6696" spans="1:29" x14ac:dyDescent="0.25">
      <c r="A6696" s="22">
        <v>45047</v>
      </c>
      <c r="B6696" s="9">
        <v>0</v>
      </c>
      <c r="C6696" s="9">
        <v>0</v>
      </c>
      <c r="D6696" s="9">
        <v>0</v>
      </c>
      <c r="E6696" s="7">
        <v>0</v>
      </c>
      <c r="F6696" s="9">
        <v>0</v>
      </c>
      <c r="G6696" s="9">
        <v>0</v>
      </c>
      <c r="H6696" s="9">
        <v>0</v>
      </c>
      <c r="I6696" s="9">
        <v>0</v>
      </c>
      <c r="J6696" s="9">
        <v>0</v>
      </c>
      <c r="K6696" s="9">
        <v>2</v>
      </c>
      <c r="L6696" s="7">
        <v>0</v>
      </c>
      <c r="M6696" s="9">
        <v>0</v>
      </c>
      <c r="N6696" s="9">
        <v>0</v>
      </c>
      <c r="O6696" s="7"/>
      <c r="P6696" s="9">
        <v>0</v>
      </c>
      <c r="Q6696" s="9">
        <v>0</v>
      </c>
      <c r="R6696" s="9">
        <v>0</v>
      </c>
      <c r="S6696" s="8"/>
      <c r="T6696" s="15">
        <v>0</v>
      </c>
      <c r="U6696" s="9">
        <v>0</v>
      </c>
      <c r="V6696" s="9">
        <v>0</v>
      </c>
      <c r="W6696" s="9">
        <v>0</v>
      </c>
      <c r="X6696" s="9">
        <v>0</v>
      </c>
      <c r="Y6696" s="9">
        <v>0</v>
      </c>
      <c r="Z6696" s="9">
        <v>0</v>
      </c>
      <c r="AA6696" s="9">
        <v>0</v>
      </c>
      <c r="AC6696" s="38">
        <v>0</v>
      </c>
    </row>
    <row r="6697" spans="1:29" x14ac:dyDescent="0.25">
      <c r="A6697" s="22">
        <v>45048</v>
      </c>
      <c r="B6697" s="9">
        <v>0</v>
      </c>
      <c r="C6697" s="9">
        <v>0</v>
      </c>
      <c r="D6697" s="9">
        <v>0</v>
      </c>
      <c r="E6697" s="7">
        <v>0.8</v>
      </c>
      <c r="F6697" s="9">
        <v>0</v>
      </c>
      <c r="G6697" s="9">
        <v>0</v>
      </c>
      <c r="H6697" s="9">
        <v>0</v>
      </c>
      <c r="I6697" s="9">
        <v>0</v>
      </c>
      <c r="J6697" s="9">
        <v>0</v>
      </c>
      <c r="K6697" s="9">
        <v>0</v>
      </c>
      <c r="L6697" s="7">
        <v>0.7619999999999999</v>
      </c>
      <c r="M6697" s="9">
        <v>0</v>
      </c>
      <c r="N6697" s="9">
        <v>0</v>
      </c>
      <c r="O6697" s="7"/>
      <c r="P6697" s="9">
        <v>0</v>
      </c>
      <c r="Q6697" s="9">
        <v>0</v>
      </c>
      <c r="R6697" s="9">
        <v>0</v>
      </c>
      <c r="S6697" s="8"/>
      <c r="T6697" s="15">
        <v>0</v>
      </c>
      <c r="U6697" s="9">
        <v>0</v>
      </c>
      <c r="V6697" s="9">
        <v>0</v>
      </c>
      <c r="W6697" s="9">
        <v>0</v>
      </c>
      <c r="X6697" s="9">
        <v>0</v>
      </c>
      <c r="Y6697" s="9">
        <v>0</v>
      </c>
      <c r="Z6697" s="9">
        <v>0</v>
      </c>
      <c r="AA6697" s="9">
        <v>0</v>
      </c>
      <c r="AC6697" s="38">
        <v>0</v>
      </c>
    </row>
    <row r="6698" spans="1:29" x14ac:dyDescent="0.25">
      <c r="A6698" s="22">
        <v>45049</v>
      </c>
      <c r="B6698" s="9">
        <v>0</v>
      </c>
      <c r="C6698" s="9">
        <v>0</v>
      </c>
      <c r="D6698" s="9">
        <v>0</v>
      </c>
      <c r="E6698" s="7">
        <v>0.4</v>
      </c>
      <c r="F6698" s="9">
        <v>2.6</v>
      </c>
      <c r="G6698" s="9">
        <v>0</v>
      </c>
      <c r="H6698" s="9">
        <v>0</v>
      </c>
      <c r="I6698" s="9">
        <v>0</v>
      </c>
      <c r="J6698" s="9">
        <v>0.5</v>
      </c>
      <c r="K6698" s="9">
        <v>1</v>
      </c>
      <c r="L6698" s="7">
        <v>0</v>
      </c>
      <c r="M6698" s="9">
        <v>0</v>
      </c>
      <c r="N6698" s="9">
        <v>0</v>
      </c>
      <c r="O6698" s="7"/>
      <c r="P6698" s="9">
        <v>0</v>
      </c>
      <c r="Q6698" s="9">
        <v>3</v>
      </c>
      <c r="R6698" s="9">
        <v>0</v>
      </c>
      <c r="S6698" s="8"/>
      <c r="T6698" s="15">
        <v>0</v>
      </c>
      <c r="U6698" s="9">
        <v>0</v>
      </c>
      <c r="V6698" s="9">
        <v>0</v>
      </c>
      <c r="W6698" s="9">
        <v>0</v>
      </c>
      <c r="X6698" s="9">
        <v>0</v>
      </c>
      <c r="Y6698" s="9">
        <v>0</v>
      </c>
      <c r="Z6698" s="9">
        <v>0</v>
      </c>
      <c r="AA6698" s="9">
        <v>0</v>
      </c>
      <c r="AC6698" s="38">
        <v>0</v>
      </c>
    </row>
    <row r="6699" spans="1:29" x14ac:dyDescent="0.25">
      <c r="A6699" s="22">
        <v>45050</v>
      </c>
      <c r="B6699" s="9">
        <v>4</v>
      </c>
      <c r="C6699" s="9">
        <v>5.2</v>
      </c>
      <c r="D6699" s="7">
        <v>10.199999999999999</v>
      </c>
      <c r="E6699" s="7">
        <v>2.4</v>
      </c>
      <c r="F6699" s="9">
        <v>3.2</v>
      </c>
      <c r="G6699" s="9">
        <v>6</v>
      </c>
      <c r="H6699" s="9">
        <v>4</v>
      </c>
      <c r="I6699" s="9">
        <v>1.1000000000000001</v>
      </c>
      <c r="J6699" s="9">
        <v>8.9</v>
      </c>
      <c r="K6699" s="9">
        <v>6</v>
      </c>
      <c r="L6699" s="7">
        <v>1.5239999999999998</v>
      </c>
      <c r="M6699" s="9">
        <v>6</v>
      </c>
      <c r="N6699" s="9">
        <v>6.8</v>
      </c>
      <c r="O6699" s="7"/>
      <c r="P6699" s="9">
        <v>2</v>
      </c>
      <c r="Q6699" s="9">
        <v>0</v>
      </c>
      <c r="R6699" s="9">
        <v>3.9</v>
      </c>
      <c r="S6699" s="8"/>
      <c r="T6699" s="15">
        <v>0</v>
      </c>
      <c r="U6699" s="9">
        <v>12</v>
      </c>
      <c r="V6699" s="9">
        <v>2.1</v>
      </c>
      <c r="W6699" s="9">
        <v>0</v>
      </c>
      <c r="X6699" s="9">
        <v>4</v>
      </c>
      <c r="Y6699" s="9">
        <v>0</v>
      </c>
      <c r="Z6699" s="9">
        <v>0</v>
      </c>
      <c r="AA6699" s="9">
        <v>0</v>
      </c>
      <c r="AC6699" s="38">
        <v>1</v>
      </c>
    </row>
    <row r="6700" spans="1:29" x14ac:dyDescent="0.25">
      <c r="A6700" s="22">
        <v>45051</v>
      </c>
      <c r="B6700" s="9">
        <v>0</v>
      </c>
      <c r="C6700" s="9">
        <v>0</v>
      </c>
      <c r="D6700" s="7">
        <v>0</v>
      </c>
      <c r="E6700" s="7">
        <v>0</v>
      </c>
      <c r="F6700" s="9">
        <v>0</v>
      </c>
      <c r="G6700" s="9">
        <v>0</v>
      </c>
      <c r="H6700" s="9">
        <v>0</v>
      </c>
      <c r="I6700" s="9">
        <v>0</v>
      </c>
      <c r="J6700" s="9">
        <v>0</v>
      </c>
      <c r="K6700" s="9">
        <v>0</v>
      </c>
      <c r="L6700" s="7">
        <v>0</v>
      </c>
      <c r="M6700" s="9">
        <v>0</v>
      </c>
      <c r="N6700" s="9">
        <v>0</v>
      </c>
      <c r="O6700" s="7"/>
      <c r="P6700" s="9">
        <v>0</v>
      </c>
      <c r="Q6700" s="9">
        <v>0</v>
      </c>
      <c r="R6700" s="9">
        <v>0</v>
      </c>
      <c r="S6700" s="8"/>
      <c r="T6700" s="15">
        <v>0</v>
      </c>
      <c r="U6700" s="9">
        <v>0</v>
      </c>
      <c r="V6700" s="9">
        <v>0</v>
      </c>
      <c r="W6700" s="9">
        <v>0</v>
      </c>
      <c r="X6700" s="9">
        <v>0</v>
      </c>
      <c r="Y6700" s="9">
        <v>0</v>
      </c>
      <c r="Z6700" s="9">
        <v>0</v>
      </c>
      <c r="AA6700" s="9">
        <v>0</v>
      </c>
      <c r="AC6700" s="38">
        <v>0</v>
      </c>
    </row>
    <row r="6701" spans="1:29" x14ac:dyDescent="0.25">
      <c r="A6701" s="22">
        <v>45052</v>
      </c>
      <c r="B6701" s="9">
        <v>0</v>
      </c>
      <c r="C6701" s="9">
        <v>0</v>
      </c>
      <c r="D6701" s="7">
        <v>0</v>
      </c>
      <c r="E6701" s="7">
        <v>0</v>
      </c>
      <c r="F6701" s="9">
        <v>0</v>
      </c>
      <c r="G6701" s="9">
        <v>0</v>
      </c>
      <c r="H6701" s="9">
        <v>0</v>
      </c>
      <c r="I6701" s="9">
        <v>0.1</v>
      </c>
      <c r="J6701" s="9">
        <v>0</v>
      </c>
      <c r="K6701" s="9">
        <v>0</v>
      </c>
      <c r="L6701" s="7">
        <v>0</v>
      </c>
      <c r="M6701" s="9">
        <v>0</v>
      </c>
      <c r="N6701" s="9">
        <v>0</v>
      </c>
      <c r="O6701" s="7"/>
      <c r="P6701" s="9">
        <v>0</v>
      </c>
      <c r="Q6701" s="9">
        <v>0</v>
      </c>
      <c r="R6701" s="9">
        <v>0</v>
      </c>
      <c r="S6701" s="8"/>
      <c r="T6701" s="15">
        <v>0</v>
      </c>
      <c r="U6701" s="9">
        <v>0</v>
      </c>
      <c r="V6701" s="9">
        <v>0</v>
      </c>
      <c r="W6701" s="9">
        <v>0</v>
      </c>
      <c r="X6701" s="9">
        <v>2</v>
      </c>
      <c r="Y6701" s="9">
        <v>0</v>
      </c>
      <c r="Z6701" s="9">
        <v>0</v>
      </c>
      <c r="AA6701" s="9">
        <v>0</v>
      </c>
      <c r="AC6701" s="38">
        <v>0</v>
      </c>
    </row>
    <row r="6702" spans="1:29" x14ac:dyDescent="0.25">
      <c r="A6702" s="22">
        <v>45053</v>
      </c>
      <c r="B6702" s="9">
        <v>0</v>
      </c>
      <c r="C6702" s="9">
        <v>0</v>
      </c>
      <c r="D6702" s="7">
        <v>0</v>
      </c>
      <c r="E6702" s="7">
        <v>0</v>
      </c>
      <c r="F6702" s="9">
        <v>0</v>
      </c>
      <c r="G6702" s="9">
        <v>0</v>
      </c>
      <c r="H6702" s="9">
        <v>0</v>
      </c>
      <c r="I6702" s="9">
        <v>0</v>
      </c>
      <c r="J6702" s="9">
        <v>0</v>
      </c>
      <c r="K6702" s="9">
        <v>0</v>
      </c>
      <c r="L6702" s="7">
        <v>0</v>
      </c>
      <c r="M6702" s="9">
        <v>0</v>
      </c>
      <c r="N6702" s="9">
        <v>0</v>
      </c>
      <c r="O6702" s="7"/>
      <c r="P6702" s="9">
        <v>0</v>
      </c>
      <c r="Q6702" s="9">
        <v>0</v>
      </c>
      <c r="R6702" s="9">
        <v>0</v>
      </c>
      <c r="S6702" s="8"/>
      <c r="T6702" s="15">
        <v>0</v>
      </c>
      <c r="U6702" s="9">
        <v>0</v>
      </c>
      <c r="V6702" s="9">
        <v>0</v>
      </c>
      <c r="W6702" s="9">
        <v>0</v>
      </c>
      <c r="X6702" s="9">
        <v>0</v>
      </c>
      <c r="Y6702" s="9">
        <v>0</v>
      </c>
      <c r="Z6702" s="9">
        <v>0</v>
      </c>
      <c r="AA6702" s="9">
        <v>0</v>
      </c>
      <c r="AC6702" s="38">
        <v>0</v>
      </c>
    </row>
    <row r="6703" spans="1:29" x14ac:dyDescent="0.25">
      <c r="A6703" s="22">
        <v>45054</v>
      </c>
      <c r="B6703" s="9">
        <v>0</v>
      </c>
      <c r="C6703" s="9">
        <v>0</v>
      </c>
      <c r="D6703" s="7">
        <v>0</v>
      </c>
      <c r="E6703" s="7">
        <v>0</v>
      </c>
      <c r="F6703" s="9">
        <v>0</v>
      </c>
      <c r="G6703" s="9">
        <v>0</v>
      </c>
      <c r="H6703" s="9">
        <v>0</v>
      </c>
      <c r="I6703" s="9">
        <v>0</v>
      </c>
      <c r="J6703" s="9">
        <v>0</v>
      </c>
      <c r="K6703" s="9">
        <v>0</v>
      </c>
      <c r="L6703" s="7">
        <v>0</v>
      </c>
      <c r="M6703" s="9">
        <v>0</v>
      </c>
      <c r="N6703" s="9">
        <v>0</v>
      </c>
      <c r="O6703" s="7"/>
      <c r="P6703" s="9">
        <v>0</v>
      </c>
      <c r="Q6703" s="9">
        <v>0</v>
      </c>
      <c r="R6703" s="9">
        <v>0</v>
      </c>
      <c r="S6703" s="8"/>
      <c r="T6703" s="15">
        <v>0</v>
      </c>
      <c r="U6703" s="9">
        <v>0</v>
      </c>
      <c r="V6703" s="9">
        <v>0</v>
      </c>
      <c r="W6703" s="9">
        <v>0</v>
      </c>
      <c r="X6703" s="9">
        <v>0</v>
      </c>
      <c r="Y6703" s="9">
        <v>0</v>
      </c>
      <c r="Z6703" s="9">
        <v>0</v>
      </c>
      <c r="AA6703" s="9">
        <v>0</v>
      </c>
      <c r="AC6703" s="38">
        <v>0</v>
      </c>
    </row>
    <row r="6704" spans="1:29" x14ac:dyDescent="0.25">
      <c r="A6704" s="22">
        <v>45055</v>
      </c>
      <c r="B6704" s="9">
        <v>0</v>
      </c>
      <c r="C6704" s="9">
        <v>0</v>
      </c>
      <c r="D6704" s="7">
        <v>0</v>
      </c>
      <c r="E6704" s="7">
        <v>0</v>
      </c>
      <c r="F6704" s="9">
        <v>0</v>
      </c>
      <c r="G6704" s="9">
        <v>0</v>
      </c>
      <c r="H6704" s="9">
        <v>0</v>
      </c>
      <c r="I6704" s="9">
        <v>0</v>
      </c>
      <c r="J6704" s="9">
        <v>0.5</v>
      </c>
      <c r="K6704" s="9">
        <v>0</v>
      </c>
      <c r="L6704" s="7">
        <v>0</v>
      </c>
      <c r="M6704" s="9">
        <v>0</v>
      </c>
      <c r="N6704" s="9">
        <v>0</v>
      </c>
      <c r="O6704" s="7"/>
      <c r="P6704" s="9">
        <v>0</v>
      </c>
      <c r="Q6704" s="9">
        <v>0</v>
      </c>
      <c r="R6704" s="9">
        <v>1.5</v>
      </c>
      <c r="S6704" s="8"/>
      <c r="T6704" s="15">
        <v>0.8</v>
      </c>
      <c r="U6704" s="9">
        <v>0</v>
      </c>
      <c r="V6704" s="9">
        <v>0</v>
      </c>
      <c r="W6704" s="9">
        <v>0</v>
      </c>
      <c r="X6704" s="9">
        <v>0</v>
      </c>
      <c r="Y6704" s="9">
        <v>0</v>
      </c>
      <c r="Z6704" s="9">
        <v>0</v>
      </c>
      <c r="AA6704" s="9">
        <v>0</v>
      </c>
      <c r="AC6704" s="38">
        <v>0</v>
      </c>
    </row>
    <row r="6705" spans="1:29" x14ac:dyDescent="0.25">
      <c r="A6705" s="22">
        <v>45056</v>
      </c>
      <c r="B6705" s="9">
        <v>2</v>
      </c>
      <c r="C6705" s="9">
        <v>0.8</v>
      </c>
      <c r="D6705" s="7">
        <v>0</v>
      </c>
      <c r="E6705" s="7">
        <v>0.2</v>
      </c>
      <c r="F6705" s="9">
        <v>0</v>
      </c>
      <c r="G6705" s="9">
        <v>0</v>
      </c>
      <c r="H6705" s="9">
        <v>0</v>
      </c>
      <c r="I6705" s="9">
        <v>0</v>
      </c>
      <c r="J6705" s="9">
        <v>0</v>
      </c>
      <c r="K6705" s="9">
        <v>0</v>
      </c>
      <c r="L6705" s="7">
        <v>1.5239999999999998</v>
      </c>
      <c r="M6705" s="9">
        <v>0</v>
      </c>
      <c r="N6705" s="9">
        <v>0</v>
      </c>
      <c r="O6705" s="7"/>
      <c r="P6705" s="9">
        <v>2</v>
      </c>
      <c r="Q6705" s="9">
        <v>0</v>
      </c>
      <c r="R6705" s="9">
        <v>0</v>
      </c>
      <c r="S6705" s="8"/>
      <c r="T6705" s="15">
        <v>0</v>
      </c>
      <c r="U6705" s="9">
        <v>0</v>
      </c>
      <c r="V6705" s="9">
        <v>0</v>
      </c>
      <c r="W6705" s="9">
        <v>0</v>
      </c>
      <c r="X6705" s="9">
        <v>0</v>
      </c>
      <c r="Y6705" s="9">
        <v>0</v>
      </c>
      <c r="Z6705" s="9">
        <v>0</v>
      </c>
      <c r="AA6705" s="9">
        <v>0</v>
      </c>
      <c r="AC6705" s="38">
        <v>0</v>
      </c>
    </row>
    <row r="6706" spans="1:29" x14ac:dyDescent="0.25">
      <c r="A6706" s="22">
        <v>45057</v>
      </c>
      <c r="B6706" s="9">
        <v>0</v>
      </c>
      <c r="C6706" s="9">
        <v>0</v>
      </c>
      <c r="D6706" s="7">
        <v>0</v>
      </c>
      <c r="E6706" s="7">
        <v>2.6</v>
      </c>
      <c r="F6706" s="9">
        <v>0</v>
      </c>
      <c r="G6706" s="9">
        <v>0.9</v>
      </c>
      <c r="H6706" s="9">
        <v>0</v>
      </c>
      <c r="I6706" s="6">
        <v>3</v>
      </c>
      <c r="J6706" s="9">
        <v>1.2</v>
      </c>
      <c r="K6706" s="9">
        <v>0.8</v>
      </c>
      <c r="L6706" s="7">
        <v>0.7619999999999999</v>
      </c>
      <c r="M6706" s="9">
        <v>0.4</v>
      </c>
      <c r="N6706" s="9">
        <v>0</v>
      </c>
      <c r="O6706" s="7"/>
      <c r="P6706" s="7">
        <v>0</v>
      </c>
      <c r="Q6706" s="9">
        <v>0</v>
      </c>
      <c r="R6706" s="9">
        <v>0</v>
      </c>
      <c r="S6706" s="8"/>
      <c r="T6706" s="15">
        <v>0</v>
      </c>
      <c r="U6706" s="9">
        <v>0</v>
      </c>
      <c r="V6706" s="9">
        <v>0</v>
      </c>
      <c r="W6706" s="9">
        <v>2.4</v>
      </c>
      <c r="X6706" s="9">
        <v>0</v>
      </c>
      <c r="Y6706" s="9">
        <v>0</v>
      </c>
      <c r="Z6706" s="9">
        <v>0</v>
      </c>
      <c r="AA6706" s="9">
        <v>0</v>
      </c>
      <c r="AC6706" s="38">
        <v>0</v>
      </c>
    </row>
    <row r="6707" spans="1:29" x14ac:dyDescent="0.25">
      <c r="A6707" s="22">
        <v>45058</v>
      </c>
      <c r="B6707" s="9">
        <v>2</v>
      </c>
      <c r="C6707" s="9">
        <v>1</v>
      </c>
      <c r="D6707" s="7">
        <v>0</v>
      </c>
      <c r="E6707" s="7">
        <v>0</v>
      </c>
      <c r="F6707" s="9">
        <v>0</v>
      </c>
      <c r="G6707" s="9">
        <v>0</v>
      </c>
      <c r="H6707" s="9">
        <v>0</v>
      </c>
      <c r="I6707" s="6">
        <v>1.1000000000000001</v>
      </c>
      <c r="J6707" s="9">
        <v>1.2</v>
      </c>
      <c r="K6707" s="9">
        <v>1.1000000000000001</v>
      </c>
      <c r="L6707" s="7">
        <v>3.302</v>
      </c>
      <c r="M6707" s="9">
        <v>1.2</v>
      </c>
      <c r="N6707" s="9">
        <v>0</v>
      </c>
      <c r="O6707" s="7"/>
      <c r="P6707" s="7">
        <v>3</v>
      </c>
      <c r="Q6707" s="9">
        <v>0</v>
      </c>
      <c r="R6707" s="9">
        <v>0</v>
      </c>
      <c r="S6707" s="8"/>
      <c r="T6707" s="15">
        <v>0</v>
      </c>
      <c r="U6707" s="9">
        <v>0</v>
      </c>
      <c r="V6707" s="9">
        <v>0</v>
      </c>
      <c r="W6707" s="9">
        <v>0</v>
      </c>
      <c r="X6707" s="9">
        <v>0</v>
      </c>
      <c r="Y6707" s="9">
        <v>0</v>
      </c>
      <c r="Z6707" s="9">
        <v>0</v>
      </c>
      <c r="AA6707" s="9">
        <v>0</v>
      </c>
      <c r="AC6707" s="38">
        <v>0</v>
      </c>
    </row>
    <row r="6708" spans="1:29" x14ac:dyDescent="0.25">
      <c r="A6708" s="22">
        <v>45059</v>
      </c>
      <c r="B6708" s="9">
        <v>0</v>
      </c>
      <c r="C6708" s="9">
        <v>0</v>
      </c>
      <c r="D6708" s="7">
        <v>0</v>
      </c>
      <c r="E6708" s="7">
        <v>0</v>
      </c>
      <c r="F6708" s="9">
        <v>0</v>
      </c>
      <c r="G6708" s="9">
        <v>0</v>
      </c>
      <c r="H6708" s="9">
        <v>0</v>
      </c>
      <c r="I6708" s="6">
        <v>0.1</v>
      </c>
      <c r="J6708" s="9">
        <v>0.2</v>
      </c>
      <c r="K6708" s="9">
        <v>0</v>
      </c>
      <c r="L6708" s="7">
        <v>0</v>
      </c>
      <c r="M6708" s="9">
        <v>0</v>
      </c>
      <c r="N6708" s="9">
        <v>0</v>
      </c>
      <c r="O6708" s="7"/>
      <c r="P6708" s="7">
        <v>0</v>
      </c>
      <c r="Q6708" s="9">
        <v>0</v>
      </c>
      <c r="R6708" s="9">
        <v>0</v>
      </c>
      <c r="S6708" s="10"/>
      <c r="T6708" s="15">
        <v>0</v>
      </c>
      <c r="U6708" s="9">
        <v>0</v>
      </c>
      <c r="V6708" s="9">
        <v>0</v>
      </c>
      <c r="W6708" s="9">
        <v>0</v>
      </c>
      <c r="X6708" s="9">
        <v>0</v>
      </c>
      <c r="Y6708" s="9">
        <v>0</v>
      </c>
      <c r="Z6708" s="9">
        <v>0</v>
      </c>
      <c r="AA6708" s="9">
        <v>0</v>
      </c>
      <c r="AC6708" s="38">
        <v>0</v>
      </c>
    </row>
    <row r="6709" spans="1:29" x14ac:dyDescent="0.25">
      <c r="A6709" s="22">
        <v>45060</v>
      </c>
      <c r="B6709" s="9">
        <v>0</v>
      </c>
      <c r="C6709" s="9">
        <v>0</v>
      </c>
      <c r="D6709" s="7">
        <v>0.8</v>
      </c>
      <c r="E6709" s="7">
        <v>0</v>
      </c>
      <c r="F6709" s="9">
        <v>0</v>
      </c>
      <c r="G6709" s="9">
        <v>0</v>
      </c>
      <c r="H6709" s="9">
        <v>0</v>
      </c>
      <c r="I6709" s="6">
        <v>0</v>
      </c>
      <c r="J6709" s="9">
        <v>0</v>
      </c>
      <c r="K6709" s="9">
        <v>0</v>
      </c>
      <c r="L6709" s="7">
        <v>0</v>
      </c>
      <c r="M6709" s="9">
        <v>0</v>
      </c>
      <c r="N6709" s="9">
        <v>0</v>
      </c>
      <c r="O6709" s="7"/>
      <c r="P6709" s="7">
        <v>0</v>
      </c>
      <c r="Q6709" s="9">
        <v>0</v>
      </c>
      <c r="R6709" s="9">
        <v>0</v>
      </c>
      <c r="S6709" s="10"/>
      <c r="T6709" s="15">
        <v>0</v>
      </c>
      <c r="U6709" s="9">
        <v>0</v>
      </c>
      <c r="V6709" s="9">
        <v>0</v>
      </c>
      <c r="W6709" s="9">
        <v>0</v>
      </c>
      <c r="X6709" s="9">
        <v>0</v>
      </c>
      <c r="Y6709" s="9">
        <v>0</v>
      </c>
      <c r="Z6709" s="9">
        <v>0</v>
      </c>
      <c r="AA6709" s="9">
        <v>0</v>
      </c>
      <c r="AC6709" s="38">
        <v>0</v>
      </c>
    </row>
    <row r="6710" spans="1:29" x14ac:dyDescent="0.25">
      <c r="A6710" s="22">
        <v>45061</v>
      </c>
      <c r="B6710" s="9">
        <v>0</v>
      </c>
      <c r="C6710" s="9">
        <v>0</v>
      </c>
      <c r="D6710" s="7">
        <v>0</v>
      </c>
      <c r="E6710" s="7">
        <v>0</v>
      </c>
      <c r="F6710" s="9">
        <v>0</v>
      </c>
      <c r="G6710" s="9">
        <v>0</v>
      </c>
      <c r="H6710" s="9">
        <v>0</v>
      </c>
      <c r="I6710" s="6">
        <v>0</v>
      </c>
      <c r="J6710" s="9">
        <v>0</v>
      </c>
      <c r="K6710" s="9">
        <v>0</v>
      </c>
      <c r="L6710" s="7">
        <v>0</v>
      </c>
      <c r="M6710" s="9">
        <v>0.4</v>
      </c>
      <c r="N6710" s="9">
        <v>0</v>
      </c>
      <c r="O6710" s="7"/>
      <c r="P6710" s="7">
        <v>0</v>
      </c>
      <c r="Q6710" s="9">
        <v>0</v>
      </c>
      <c r="R6710" s="9">
        <v>0</v>
      </c>
      <c r="S6710" s="10"/>
      <c r="T6710" s="15">
        <v>0.4</v>
      </c>
      <c r="U6710" s="9">
        <v>0</v>
      </c>
      <c r="V6710" s="9">
        <v>0.3</v>
      </c>
      <c r="W6710" s="9">
        <v>0</v>
      </c>
      <c r="X6710" s="9">
        <v>0</v>
      </c>
      <c r="Y6710" s="9">
        <v>0</v>
      </c>
      <c r="Z6710" s="9">
        <v>0</v>
      </c>
      <c r="AA6710" s="9">
        <v>0</v>
      </c>
      <c r="AC6710" s="38">
        <v>0</v>
      </c>
    </row>
    <row r="6711" spans="1:29" x14ac:dyDescent="0.25">
      <c r="A6711" s="22">
        <v>45062</v>
      </c>
      <c r="B6711" s="9">
        <v>0</v>
      </c>
      <c r="C6711" s="9">
        <v>0</v>
      </c>
      <c r="D6711" s="7">
        <v>0</v>
      </c>
      <c r="E6711" s="7">
        <v>0</v>
      </c>
      <c r="F6711" s="9">
        <v>0</v>
      </c>
      <c r="G6711" s="9">
        <v>0</v>
      </c>
      <c r="H6711" s="9">
        <v>0</v>
      </c>
      <c r="I6711" s="6">
        <v>1</v>
      </c>
      <c r="J6711" s="9">
        <v>0.5</v>
      </c>
      <c r="K6711" s="9">
        <v>1</v>
      </c>
      <c r="L6711" s="7">
        <v>0</v>
      </c>
      <c r="M6711" s="9">
        <v>0</v>
      </c>
      <c r="N6711" s="9">
        <v>0</v>
      </c>
      <c r="O6711" s="7"/>
      <c r="P6711" s="7">
        <v>0</v>
      </c>
      <c r="Q6711" s="9">
        <v>0.4</v>
      </c>
      <c r="R6711" s="9">
        <v>0</v>
      </c>
      <c r="S6711" s="10"/>
      <c r="T6711" s="15">
        <v>0</v>
      </c>
      <c r="U6711" s="9">
        <v>0</v>
      </c>
      <c r="V6711" s="9">
        <v>0</v>
      </c>
      <c r="W6711" s="9">
        <v>0</v>
      </c>
      <c r="X6711" s="9">
        <v>0</v>
      </c>
      <c r="Y6711" s="9">
        <v>0</v>
      </c>
      <c r="Z6711" s="9">
        <v>0</v>
      </c>
      <c r="AA6711" s="9">
        <v>0</v>
      </c>
      <c r="AC6711" s="38">
        <v>0</v>
      </c>
    </row>
    <row r="6712" spans="1:29" x14ac:dyDescent="0.25">
      <c r="A6712" s="22">
        <v>45063</v>
      </c>
      <c r="B6712" s="9">
        <v>0</v>
      </c>
      <c r="C6712" s="9">
        <v>0</v>
      </c>
      <c r="D6712" s="7">
        <v>0</v>
      </c>
      <c r="E6712" s="7">
        <v>15</v>
      </c>
      <c r="F6712" s="9">
        <v>0</v>
      </c>
      <c r="G6712" s="9">
        <v>0</v>
      </c>
      <c r="H6712" s="9">
        <v>0</v>
      </c>
      <c r="I6712" s="6">
        <v>0</v>
      </c>
      <c r="J6712" s="9">
        <v>0</v>
      </c>
      <c r="K6712" s="9">
        <v>2</v>
      </c>
      <c r="L6712" s="7">
        <v>2.2859999999999996</v>
      </c>
      <c r="M6712" s="9">
        <v>0</v>
      </c>
      <c r="N6712" s="9">
        <v>0</v>
      </c>
      <c r="O6712" s="7"/>
      <c r="P6712" s="7">
        <v>0</v>
      </c>
      <c r="Q6712" s="9">
        <v>0</v>
      </c>
      <c r="R6712" s="9">
        <v>0</v>
      </c>
      <c r="S6712" s="10"/>
      <c r="T6712" s="15">
        <v>0.4</v>
      </c>
      <c r="U6712" s="9">
        <v>0</v>
      </c>
      <c r="V6712" s="9">
        <v>0</v>
      </c>
      <c r="W6712" s="9">
        <v>0</v>
      </c>
      <c r="X6712" s="9">
        <v>0</v>
      </c>
      <c r="Y6712" s="9">
        <v>0</v>
      </c>
      <c r="Z6712" s="9">
        <v>0</v>
      </c>
      <c r="AA6712" s="9">
        <v>0</v>
      </c>
      <c r="AC6712" s="38">
        <v>0</v>
      </c>
    </row>
    <row r="6713" spans="1:29" x14ac:dyDescent="0.25">
      <c r="A6713" s="22">
        <v>45064</v>
      </c>
      <c r="B6713" s="9">
        <v>0</v>
      </c>
      <c r="C6713" s="9">
        <v>0</v>
      </c>
      <c r="D6713" s="7">
        <v>0</v>
      </c>
      <c r="E6713" s="7">
        <v>0</v>
      </c>
      <c r="F6713" s="9">
        <v>0</v>
      </c>
      <c r="G6713" s="9">
        <v>1.1000000000000001</v>
      </c>
      <c r="H6713" s="9">
        <v>0</v>
      </c>
      <c r="I6713" s="6">
        <v>0.1</v>
      </c>
      <c r="J6713" s="9">
        <v>1.9</v>
      </c>
      <c r="K6713" s="9">
        <v>1.4</v>
      </c>
      <c r="L6713" s="7">
        <v>1.016</v>
      </c>
      <c r="M6713" s="9">
        <v>4.4000000000000004</v>
      </c>
      <c r="N6713" s="9">
        <v>0.4</v>
      </c>
      <c r="O6713" s="7"/>
      <c r="P6713" s="7">
        <v>0</v>
      </c>
      <c r="Q6713" s="9">
        <v>5.0999999999999996</v>
      </c>
      <c r="R6713" s="9">
        <v>8</v>
      </c>
      <c r="S6713" s="10"/>
      <c r="T6713" s="15">
        <v>0</v>
      </c>
      <c r="U6713" s="9">
        <v>0</v>
      </c>
      <c r="V6713" s="9">
        <v>0</v>
      </c>
      <c r="W6713" s="9">
        <v>0</v>
      </c>
      <c r="X6713" s="9">
        <v>0</v>
      </c>
      <c r="Y6713" s="9">
        <v>0</v>
      </c>
      <c r="Z6713" s="9">
        <v>0</v>
      </c>
      <c r="AA6713" s="9">
        <v>0</v>
      </c>
      <c r="AC6713" s="38">
        <v>1</v>
      </c>
    </row>
    <row r="6714" spans="1:29" x14ac:dyDescent="0.25">
      <c r="A6714" s="22">
        <v>45065</v>
      </c>
      <c r="B6714" s="9">
        <v>7.5</v>
      </c>
      <c r="C6714" s="9">
        <v>3.6</v>
      </c>
      <c r="D6714" s="7">
        <v>2.8</v>
      </c>
      <c r="E6714" s="7">
        <v>4.8</v>
      </c>
      <c r="F6714" s="9">
        <v>0</v>
      </c>
      <c r="G6714" s="9">
        <v>0.5</v>
      </c>
      <c r="H6714" s="9">
        <v>0</v>
      </c>
      <c r="I6714" s="6">
        <v>1.2</v>
      </c>
      <c r="J6714" s="9">
        <v>3.8</v>
      </c>
      <c r="K6714" s="9">
        <v>2.2000000000000002</v>
      </c>
      <c r="L6714" s="7">
        <v>1.27</v>
      </c>
      <c r="M6714" s="9">
        <v>0</v>
      </c>
      <c r="N6714" s="9">
        <v>9.4</v>
      </c>
      <c r="O6714" s="7"/>
      <c r="P6714" s="7">
        <v>2</v>
      </c>
      <c r="Q6714" s="9">
        <v>24.7</v>
      </c>
      <c r="R6714" s="9">
        <v>24</v>
      </c>
      <c r="S6714" s="10"/>
      <c r="T6714" s="15">
        <v>3.2</v>
      </c>
      <c r="U6714" s="9">
        <v>0</v>
      </c>
      <c r="V6714" s="9">
        <v>0.2</v>
      </c>
      <c r="W6714" s="9">
        <v>0</v>
      </c>
      <c r="X6714" s="9">
        <v>0</v>
      </c>
      <c r="Y6714" s="9">
        <v>0</v>
      </c>
      <c r="Z6714" s="9">
        <v>0</v>
      </c>
      <c r="AA6714" s="9">
        <v>0</v>
      </c>
      <c r="AC6714" s="38">
        <v>0</v>
      </c>
    </row>
    <row r="6715" spans="1:29" x14ac:dyDescent="0.25">
      <c r="A6715" s="22">
        <v>45066</v>
      </c>
      <c r="B6715" s="9">
        <v>25</v>
      </c>
      <c r="C6715" s="9">
        <v>20.399999999999999</v>
      </c>
      <c r="D6715" s="7">
        <v>31</v>
      </c>
      <c r="E6715" s="7">
        <v>21.8</v>
      </c>
      <c r="F6715" s="9">
        <v>44.2</v>
      </c>
      <c r="G6715" s="9">
        <v>27</v>
      </c>
      <c r="H6715" s="9">
        <v>39.700000000000003</v>
      </c>
      <c r="I6715" s="6">
        <v>16</v>
      </c>
      <c r="J6715" s="9">
        <v>26.8</v>
      </c>
      <c r="K6715" s="9">
        <v>35.200000000000003</v>
      </c>
      <c r="L6715" s="7">
        <v>13.97</v>
      </c>
      <c r="M6715" s="9">
        <v>8.8000000000000007</v>
      </c>
      <c r="N6715" s="9">
        <v>28.6</v>
      </c>
      <c r="O6715" s="7"/>
      <c r="P6715" s="7">
        <v>10</v>
      </c>
      <c r="Q6715" s="9">
        <v>26</v>
      </c>
      <c r="R6715" s="9">
        <v>11.7</v>
      </c>
      <c r="S6715" s="10"/>
      <c r="T6715" s="15">
        <v>0</v>
      </c>
      <c r="U6715" s="9">
        <v>45</v>
      </c>
      <c r="V6715" s="9">
        <v>15.2</v>
      </c>
      <c r="W6715" s="9">
        <v>20.399999999999999</v>
      </c>
      <c r="X6715" s="9">
        <v>36</v>
      </c>
      <c r="Y6715" s="9">
        <v>0</v>
      </c>
      <c r="Z6715" s="9">
        <v>0</v>
      </c>
      <c r="AA6715" s="9">
        <v>8</v>
      </c>
      <c r="AC6715" s="38">
        <v>18</v>
      </c>
    </row>
    <row r="6716" spans="1:29" x14ac:dyDescent="0.25">
      <c r="A6716" s="22">
        <v>45067</v>
      </c>
      <c r="B6716" s="9">
        <v>13.5</v>
      </c>
      <c r="C6716" s="9">
        <v>8</v>
      </c>
      <c r="D6716" s="7">
        <v>12</v>
      </c>
      <c r="E6716" s="7">
        <v>39.4</v>
      </c>
      <c r="F6716" s="9">
        <v>4.3</v>
      </c>
      <c r="G6716" s="9">
        <v>2</v>
      </c>
      <c r="H6716" s="9">
        <v>1</v>
      </c>
      <c r="I6716" s="6">
        <v>3.5</v>
      </c>
      <c r="J6716" s="9">
        <v>6.6</v>
      </c>
      <c r="K6716" s="9">
        <v>7</v>
      </c>
      <c r="L6716" s="7">
        <v>4.8259999999999996</v>
      </c>
      <c r="M6716" s="9">
        <v>16.8</v>
      </c>
      <c r="N6716" s="9">
        <v>58.5</v>
      </c>
      <c r="O6716" s="7"/>
      <c r="P6716" s="7">
        <v>16</v>
      </c>
      <c r="Q6716" s="9">
        <v>54</v>
      </c>
      <c r="R6716" s="9">
        <v>38.5</v>
      </c>
      <c r="S6716" s="10"/>
      <c r="T6716" s="15">
        <v>8</v>
      </c>
      <c r="U6716" s="9">
        <v>54</v>
      </c>
      <c r="V6716" s="9">
        <v>0</v>
      </c>
      <c r="W6716" s="9">
        <v>0</v>
      </c>
      <c r="X6716" s="9">
        <v>22</v>
      </c>
      <c r="Y6716" s="9">
        <v>44</v>
      </c>
      <c r="Z6716" s="9">
        <v>46</v>
      </c>
      <c r="AA6716" s="9">
        <v>20</v>
      </c>
      <c r="AC6716" s="38">
        <v>24</v>
      </c>
    </row>
    <row r="6717" spans="1:29" x14ac:dyDescent="0.25">
      <c r="A6717" s="22">
        <v>45068</v>
      </c>
      <c r="B6717" s="9">
        <v>58</v>
      </c>
      <c r="C6717" s="9">
        <v>54.4</v>
      </c>
      <c r="D6717" s="7">
        <v>59.4</v>
      </c>
      <c r="E6717" s="7">
        <v>20</v>
      </c>
      <c r="F6717" s="9">
        <v>54.4</v>
      </c>
      <c r="G6717" s="9">
        <v>94.5</v>
      </c>
      <c r="H6717" s="9">
        <v>81.75</v>
      </c>
      <c r="I6717" s="6">
        <v>64.900000000000006</v>
      </c>
      <c r="J6717" s="9">
        <v>54.2</v>
      </c>
      <c r="K6717" s="9">
        <v>40</v>
      </c>
      <c r="L6717" s="7">
        <v>38.607999999999997</v>
      </c>
      <c r="M6717" s="9">
        <v>92.8</v>
      </c>
      <c r="N6717" s="9">
        <v>27.8</v>
      </c>
      <c r="O6717" s="7"/>
      <c r="P6717" s="7">
        <v>28</v>
      </c>
      <c r="Q6717" s="9">
        <v>10</v>
      </c>
      <c r="R6717" s="9">
        <v>8.6999999999999993</v>
      </c>
      <c r="S6717" s="10"/>
      <c r="T6717" s="15">
        <v>46.8</v>
      </c>
      <c r="U6717" s="9">
        <v>56</v>
      </c>
      <c r="V6717" s="9">
        <v>65.3</v>
      </c>
      <c r="W6717" s="9">
        <v>60.2</v>
      </c>
      <c r="X6717" s="9">
        <v>74</v>
      </c>
      <c r="Y6717" s="9">
        <v>86</v>
      </c>
      <c r="Z6717" s="9">
        <v>0</v>
      </c>
      <c r="AA6717" s="9">
        <v>114</v>
      </c>
      <c r="AC6717" s="38">
        <v>14</v>
      </c>
    </row>
    <row r="6718" spans="1:29" x14ac:dyDescent="0.25">
      <c r="A6718" s="22">
        <v>45069</v>
      </c>
      <c r="B6718" s="9">
        <v>0</v>
      </c>
      <c r="C6718" s="9">
        <v>40</v>
      </c>
      <c r="D6718" s="7">
        <v>34.200000000000003</v>
      </c>
      <c r="E6718" s="7">
        <v>0.8</v>
      </c>
      <c r="F6718" s="9">
        <v>9.4</v>
      </c>
      <c r="G6718" s="9">
        <v>20</v>
      </c>
      <c r="H6718" s="9">
        <v>7</v>
      </c>
      <c r="I6718" s="6">
        <v>35</v>
      </c>
      <c r="J6718" s="9">
        <v>40.799999999999997</v>
      </c>
      <c r="K6718" s="9">
        <v>32</v>
      </c>
      <c r="L6718" s="7">
        <v>3.8099999999999996</v>
      </c>
      <c r="M6718" s="9">
        <v>10.4</v>
      </c>
      <c r="N6718" s="9">
        <v>1</v>
      </c>
      <c r="O6718" s="7"/>
      <c r="P6718" s="7">
        <v>4</v>
      </c>
      <c r="Q6718" s="9">
        <v>4</v>
      </c>
      <c r="R6718" s="9">
        <v>2.5</v>
      </c>
      <c r="S6718" s="8"/>
      <c r="T6718" s="15">
        <v>0.8</v>
      </c>
      <c r="U6718" s="9">
        <v>33</v>
      </c>
      <c r="V6718" s="9">
        <v>22.2</v>
      </c>
      <c r="W6718" s="9">
        <v>23.3</v>
      </c>
      <c r="X6718" s="9">
        <v>8</v>
      </c>
      <c r="Y6718" s="9">
        <v>12</v>
      </c>
      <c r="Z6718" s="9">
        <v>14</v>
      </c>
      <c r="AA6718" s="9">
        <v>18</v>
      </c>
      <c r="AC6718" s="38">
        <v>0</v>
      </c>
    </row>
    <row r="6719" spans="1:29" x14ac:dyDescent="0.25">
      <c r="A6719" s="22">
        <v>45070</v>
      </c>
      <c r="B6719" s="9">
        <v>0</v>
      </c>
      <c r="C6719" s="9">
        <v>0</v>
      </c>
      <c r="D6719" s="7">
        <v>3.2</v>
      </c>
      <c r="E6719" s="7">
        <v>0.2</v>
      </c>
      <c r="F6719" s="9">
        <v>0</v>
      </c>
      <c r="G6719" s="9">
        <v>2.9</v>
      </c>
      <c r="H6719" s="9">
        <v>0</v>
      </c>
      <c r="I6719" s="6">
        <v>2</v>
      </c>
      <c r="J6719" s="9">
        <v>2.4</v>
      </c>
      <c r="K6719" s="9">
        <v>2</v>
      </c>
      <c r="L6719" s="7">
        <v>1.5239999999999998</v>
      </c>
      <c r="M6719" s="9">
        <v>0.3</v>
      </c>
      <c r="N6719" s="9">
        <v>0.4</v>
      </c>
      <c r="O6719" s="7"/>
      <c r="P6719" s="7">
        <v>0</v>
      </c>
      <c r="Q6719" s="9">
        <v>2.8</v>
      </c>
      <c r="R6719" s="9">
        <v>1.2</v>
      </c>
      <c r="S6719" s="8"/>
      <c r="T6719" s="15">
        <v>0</v>
      </c>
      <c r="U6719" s="9">
        <v>0</v>
      </c>
      <c r="V6719" s="9">
        <v>0</v>
      </c>
      <c r="W6719" s="9">
        <v>0.3</v>
      </c>
      <c r="X6719" s="9">
        <v>1</v>
      </c>
      <c r="Y6719" s="9">
        <v>0</v>
      </c>
      <c r="Z6719" s="9">
        <v>0</v>
      </c>
      <c r="AA6719" s="9">
        <v>0</v>
      </c>
      <c r="AC6719" s="38">
        <v>0</v>
      </c>
    </row>
    <row r="6720" spans="1:29" x14ac:dyDescent="0.25">
      <c r="A6720" s="22">
        <v>45071</v>
      </c>
      <c r="B6720" s="9">
        <v>0</v>
      </c>
      <c r="C6720" s="9">
        <v>0.8</v>
      </c>
      <c r="D6720" s="7">
        <v>1</v>
      </c>
      <c r="E6720" s="7">
        <v>0.2</v>
      </c>
      <c r="F6720" s="9">
        <v>0</v>
      </c>
      <c r="G6720" s="9">
        <v>0</v>
      </c>
      <c r="H6720" s="9">
        <v>0</v>
      </c>
      <c r="I6720" s="9">
        <v>0.1</v>
      </c>
      <c r="J6720" s="9">
        <v>0</v>
      </c>
      <c r="K6720" s="9">
        <v>0</v>
      </c>
      <c r="L6720" s="7">
        <v>5.8419999999999996</v>
      </c>
      <c r="M6720" s="9">
        <v>0</v>
      </c>
      <c r="N6720" s="9">
        <v>0.2</v>
      </c>
      <c r="O6720" s="7"/>
      <c r="P6720" s="7">
        <v>2</v>
      </c>
      <c r="Q6720" s="9">
        <v>0</v>
      </c>
      <c r="R6720" s="9">
        <v>0</v>
      </c>
      <c r="S6720" s="8"/>
      <c r="T6720" s="15">
        <v>0</v>
      </c>
      <c r="U6720" s="9">
        <v>10</v>
      </c>
      <c r="V6720" s="9">
        <v>0</v>
      </c>
      <c r="W6720" s="9">
        <v>0</v>
      </c>
      <c r="X6720" s="9">
        <v>0</v>
      </c>
      <c r="Y6720" s="9">
        <v>0</v>
      </c>
      <c r="Z6720" s="9">
        <v>0</v>
      </c>
      <c r="AA6720" s="9">
        <v>0</v>
      </c>
      <c r="AC6720" s="38">
        <v>0</v>
      </c>
    </row>
    <row r="6721" spans="1:29" x14ac:dyDescent="0.25">
      <c r="A6721" s="22">
        <v>45072</v>
      </c>
      <c r="B6721" s="9">
        <v>0</v>
      </c>
      <c r="C6721" s="9">
        <v>0</v>
      </c>
      <c r="D6721" s="7">
        <v>0</v>
      </c>
      <c r="E6721" s="7">
        <v>0.6</v>
      </c>
      <c r="F6721" s="9">
        <v>0</v>
      </c>
      <c r="G6721" s="9">
        <v>0</v>
      </c>
      <c r="H6721" s="9">
        <v>0</v>
      </c>
      <c r="I6721" s="9">
        <v>0</v>
      </c>
      <c r="J6721" s="9">
        <v>0</v>
      </c>
      <c r="K6721" s="9">
        <v>0</v>
      </c>
      <c r="L6721" s="7">
        <v>0</v>
      </c>
      <c r="M6721" s="9">
        <v>0</v>
      </c>
      <c r="N6721" s="9">
        <v>0</v>
      </c>
      <c r="O6721" s="7"/>
      <c r="P6721" s="7">
        <v>0</v>
      </c>
      <c r="Q6721" s="9">
        <v>3.1</v>
      </c>
      <c r="R6721" s="9">
        <v>0</v>
      </c>
      <c r="S6721" s="8"/>
      <c r="T6721" s="15">
        <v>0</v>
      </c>
      <c r="U6721" s="9">
        <v>0</v>
      </c>
      <c r="V6721" s="9">
        <v>0</v>
      </c>
      <c r="W6721" s="9">
        <v>0</v>
      </c>
      <c r="X6721" s="9">
        <v>0</v>
      </c>
      <c r="Y6721" s="9">
        <v>0</v>
      </c>
      <c r="Z6721" s="9">
        <v>0</v>
      </c>
      <c r="AA6721" s="9">
        <v>0</v>
      </c>
      <c r="AC6721" s="38">
        <v>0</v>
      </c>
    </row>
    <row r="6722" spans="1:29" x14ac:dyDescent="0.25">
      <c r="A6722" s="22">
        <v>45073</v>
      </c>
      <c r="B6722" s="9">
        <v>23.5</v>
      </c>
      <c r="C6722" s="9">
        <v>6.8</v>
      </c>
      <c r="D6722" s="7">
        <v>7.2</v>
      </c>
      <c r="E6722" s="7">
        <v>4.2</v>
      </c>
      <c r="F6722" s="9">
        <v>0</v>
      </c>
      <c r="G6722" s="9">
        <v>7.4</v>
      </c>
      <c r="H6722" s="9">
        <v>0</v>
      </c>
      <c r="I6722" s="9">
        <v>8.9</v>
      </c>
      <c r="J6722" s="9">
        <v>8.1999999999999993</v>
      </c>
      <c r="K6722" s="9">
        <v>8</v>
      </c>
      <c r="L6722" s="7">
        <v>1.778</v>
      </c>
      <c r="M6722" s="9">
        <v>4.2</v>
      </c>
      <c r="N6722" s="9">
        <v>9.8000000000000007</v>
      </c>
      <c r="O6722" s="7"/>
      <c r="P6722" s="7">
        <v>0</v>
      </c>
      <c r="Q6722" s="9">
        <v>11.2</v>
      </c>
      <c r="R6722" s="9">
        <v>0</v>
      </c>
      <c r="S6722" s="8"/>
      <c r="T6722" s="15">
        <v>32</v>
      </c>
      <c r="U6722" s="9">
        <v>12</v>
      </c>
      <c r="V6722" s="9">
        <v>4.2</v>
      </c>
      <c r="W6722" s="9">
        <v>6.2</v>
      </c>
      <c r="X6722" s="9">
        <v>0</v>
      </c>
      <c r="Y6722" s="9">
        <v>0</v>
      </c>
      <c r="Z6722" s="9">
        <v>0</v>
      </c>
      <c r="AA6722" s="9">
        <v>0</v>
      </c>
      <c r="AC6722" s="38">
        <v>10</v>
      </c>
    </row>
    <row r="6723" spans="1:29" x14ac:dyDescent="0.25">
      <c r="A6723" s="22">
        <v>45074</v>
      </c>
      <c r="B6723" s="9">
        <v>0</v>
      </c>
      <c r="C6723" s="9">
        <v>8</v>
      </c>
      <c r="D6723" s="7">
        <v>8.8000000000000007</v>
      </c>
      <c r="E6723" s="7">
        <v>1.2</v>
      </c>
      <c r="F6723" s="9">
        <v>20.2</v>
      </c>
      <c r="G6723" s="9">
        <v>16.5</v>
      </c>
      <c r="H6723" s="9">
        <v>10</v>
      </c>
      <c r="I6723" s="9">
        <v>6.9</v>
      </c>
      <c r="J6723" s="9">
        <v>19</v>
      </c>
      <c r="K6723" s="9">
        <v>12.2</v>
      </c>
      <c r="L6723" s="7">
        <v>5.5880000000000001</v>
      </c>
      <c r="M6723" s="9">
        <v>10.4</v>
      </c>
      <c r="N6723" s="9">
        <v>13.2</v>
      </c>
      <c r="O6723" s="7"/>
      <c r="P6723" s="7">
        <v>2</v>
      </c>
      <c r="Q6723" s="9">
        <v>1</v>
      </c>
      <c r="R6723" s="9">
        <v>1</v>
      </c>
      <c r="S6723" s="8"/>
      <c r="T6723" s="15">
        <v>0</v>
      </c>
      <c r="U6723" s="9">
        <v>5</v>
      </c>
      <c r="V6723" s="9">
        <v>8.1999999999999993</v>
      </c>
      <c r="W6723" s="9">
        <v>10.199999999999999</v>
      </c>
      <c r="X6723" s="9">
        <v>2</v>
      </c>
      <c r="Y6723" s="9">
        <v>4</v>
      </c>
      <c r="Z6723" s="9">
        <v>4</v>
      </c>
      <c r="AA6723" s="9">
        <v>0</v>
      </c>
      <c r="AC6723" s="38">
        <v>4</v>
      </c>
    </row>
    <row r="6724" spans="1:29" x14ac:dyDescent="0.25">
      <c r="A6724" s="22">
        <v>45075</v>
      </c>
      <c r="B6724" s="7">
        <v>0</v>
      </c>
      <c r="C6724" s="7">
        <v>6</v>
      </c>
      <c r="D6724" s="7">
        <v>3.4</v>
      </c>
      <c r="E6724" s="7">
        <v>0.4</v>
      </c>
      <c r="F6724" s="9">
        <v>0</v>
      </c>
      <c r="G6724" s="7">
        <v>0</v>
      </c>
      <c r="H6724" s="7">
        <v>0</v>
      </c>
      <c r="I6724" s="9">
        <v>0</v>
      </c>
      <c r="J6724" s="7">
        <v>5</v>
      </c>
      <c r="K6724" s="7">
        <v>2</v>
      </c>
      <c r="L6724" s="7">
        <v>6.35</v>
      </c>
      <c r="M6724" s="7">
        <v>0</v>
      </c>
      <c r="N6724" s="10">
        <v>0</v>
      </c>
      <c r="O6724" s="7"/>
      <c r="P6724" s="7">
        <v>10</v>
      </c>
      <c r="Q6724" s="7">
        <v>0.8</v>
      </c>
      <c r="R6724" s="7">
        <v>0</v>
      </c>
      <c r="S6724" s="10"/>
      <c r="T6724" s="15">
        <v>0</v>
      </c>
      <c r="U6724" s="7">
        <v>0</v>
      </c>
      <c r="V6724" s="7">
        <v>0</v>
      </c>
      <c r="W6724" s="7">
        <v>0</v>
      </c>
      <c r="X6724" s="7">
        <v>0</v>
      </c>
      <c r="Y6724" s="7">
        <v>0</v>
      </c>
      <c r="Z6724" s="7">
        <v>0</v>
      </c>
      <c r="AA6724" s="7">
        <v>0</v>
      </c>
      <c r="AC6724" s="38">
        <v>0</v>
      </c>
    </row>
    <row r="6725" spans="1:29" x14ac:dyDescent="0.25">
      <c r="A6725" s="22">
        <v>45076</v>
      </c>
      <c r="B6725" s="7">
        <v>4</v>
      </c>
      <c r="C6725" s="7">
        <v>1.6</v>
      </c>
      <c r="D6725" s="7">
        <v>6.4</v>
      </c>
      <c r="E6725" s="7">
        <v>3.6</v>
      </c>
      <c r="F6725" s="9">
        <v>2</v>
      </c>
      <c r="G6725" s="7">
        <v>4</v>
      </c>
      <c r="H6725" s="7">
        <v>4.0999999999999996</v>
      </c>
      <c r="I6725" s="7">
        <v>3.1</v>
      </c>
      <c r="J6725" s="7">
        <v>4.8</v>
      </c>
      <c r="K6725" s="7">
        <v>12</v>
      </c>
      <c r="L6725" s="7">
        <v>1.27</v>
      </c>
      <c r="M6725" s="7">
        <v>0.5</v>
      </c>
      <c r="N6725" s="10">
        <v>24.4</v>
      </c>
      <c r="O6725" s="7"/>
      <c r="P6725" s="9">
        <v>1</v>
      </c>
      <c r="Q6725" s="7">
        <v>2.8</v>
      </c>
      <c r="R6725" s="7">
        <v>0</v>
      </c>
      <c r="S6725" s="10"/>
      <c r="T6725" s="15">
        <v>4.2</v>
      </c>
      <c r="U6725" s="7">
        <v>10</v>
      </c>
      <c r="V6725" s="7">
        <v>4.2</v>
      </c>
      <c r="W6725" s="7">
        <v>2.2999999999999998</v>
      </c>
      <c r="X6725" s="7">
        <v>4</v>
      </c>
      <c r="Y6725" s="7">
        <v>10</v>
      </c>
      <c r="Z6725" s="7">
        <v>2</v>
      </c>
      <c r="AA6725" s="7">
        <v>10</v>
      </c>
      <c r="AC6725" s="38">
        <v>15</v>
      </c>
    </row>
    <row r="6726" spans="1:29" x14ac:dyDescent="0.25">
      <c r="A6726" s="22">
        <v>45077</v>
      </c>
      <c r="B6726" s="7">
        <v>10.5</v>
      </c>
      <c r="C6726" s="7">
        <v>4.4000000000000004</v>
      </c>
      <c r="D6726" s="7">
        <v>6.2</v>
      </c>
      <c r="E6726" s="7">
        <v>16</v>
      </c>
      <c r="F6726" s="9">
        <v>0</v>
      </c>
      <c r="G6726" s="7">
        <v>11</v>
      </c>
      <c r="H6726" s="7">
        <v>0</v>
      </c>
      <c r="I6726" s="7">
        <v>0</v>
      </c>
      <c r="J6726" s="7">
        <v>8.4</v>
      </c>
      <c r="K6726" s="7">
        <v>5</v>
      </c>
      <c r="L6726" s="7">
        <v>0.50800000000000001</v>
      </c>
      <c r="M6726" s="7">
        <v>3.6</v>
      </c>
      <c r="N6726" s="10">
        <v>19.2</v>
      </c>
      <c r="O6726" s="7"/>
      <c r="P6726" s="7">
        <v>0</v>
      </c>
      <c r="Q6726" s="7">
        <v>5</v>
      </c>
      <c r="R6726" s="7">
        <v>5.2</v>
      </c>
      <c r="S6726" s="10"/>
      <c r="T6726" s="15">
        <v>14.6</v>
      </c>
      <c r="U6726" s="7">
        <v>8</v>
      </c>
      <c r="V6726" s="7">
        <v>12.1</v>
      </c>
      <c r="W6726" s="7">
        <v>12.4</v>
      </c>
      <c r="X6726" s="7">
        <v>2</v>
      </c>
      <c r="Y6726" s="7">
        <v>0</v>
      </c>
      <c r="Z6726" s="7">
        <v>0</v>
      </c>
      <c r="AA6726" s="7">
        <v>4</v>
      </c>
      <c r="AC6726" s="38">
        <v>0</v>
      </c>
    </row>
    <row r="6727" spans="1:29" x14ac:dyDescent="0.25">
      <c r="A6727" s="22">
        <v>45078</v>
      </c>
      <c r="B6727" s="9">
        <v>20.5</v>
      </c>
      <c r="C6727" s="9">
        <v>11.6</v>
      </c>
      <c r="D6727" s="9">
        <v>14.8</v>
      </c>
      <c r="E6727" s="7">
        <v>5.8</v>
      </c>
      <c r="F6727" s="9">
        <v>1.8</v>
      </c>
      <c r="G6727" s="9">
        <v>15.5</v>
      </c>
      <c r="H6727" s="9">
        <v>5.5</v>
      </c>
      <c r="I6727" s="9">
        <v>6</v>
      </c>
      <c r="J6727" s="9">
        <v>13.8</v>
      </c>
      <c r="K6727" s="9">
        <v>5.2</v>
      </c>
      <c r="L6727" s="7">
        <v>2.2859999999999996</v>
      </c>
      <c r="M6727" s="9">
        <v>10.6</v>
      </c>
      <c r="N6727" s="9">
        <v>5.8</v>
      </c>
      <c r="O6727" s="7"/>
      <c r="P6727" s="9">
        <v>40</v>
      </c>
      <c r="Q6727" s="9">
        <v>12.7</v>
      </c>
      <c r="R6727" s="9">
        <v>0</v>
      </c>
      <c r="S6727" s="8"/>
      <c r="T6727" s="15">
        <v>3.4</v>
      </c>
      <c r="U6727" s="9">
        <v>17</v>
      </c>
      <c r="V6727" s="9">
        <v>1.9</v>
      </c>
      <c r="W6727" s="9">
        <v>16.399999999999999</v>
      </c>
      <c r="X6727" s="9">
        <v>4</v>
      </c>
      <c r="Y6727" s="9">
        <v>8</v>
      </c>
      <c r="Z6727" s="9">
        <v>4</v>
      </c>
      <c r="AA6727" s="9">
        <v>6</v>
      </c>
      <c r="AC6727" s="38">
        <v>1</v>
      </c>
    </row>
    <row r="6728" spans="1:29" x14ac:dyDescent="0.25">
      <c r="A6728" s="22">
        <v>45079</v>
      </c>
      <c r="B6728" s="9">
        <v>23</v>
      </c>
      <c r="C6728" s="9">
        <v>6</v>
      </c>
      <c r="D6728" s="9">
        <v>7.6</v>
      </c>
      <c r="E6728" s="7">
        <v>18</v>
      </c>
      <c r="F6728" s="9">
        <v>2.8</v>
      </c>
      <c r="G6728" s="9">
        <v>7</v>
      </c>
      <c r="H6728" s="9">
        <v>1.7</v>
      </c>
      <c r="I6728" s="9">
        <v>4.0999999999999996</v>
      </c>
      <c r="J6728" s="9">
        <v>12.2</v>
      </c>
      <c r="K6728" s="9">
        <v>9.8000000000000007</v>
      </c>
      <c r="L6728" s="7">
        <v>10.921999999999999</v>
      </c>
      <c r="M6728" s="9">
        <v>3.8</v>
      </c>
      <c r="N6728" s="9">
        <v>9.4</v>
      </c>
      <c r="O6728" s="7"/>
      <c r="P6728" s="9">
        <v>10</v>
      </c>
      <c r="Q6728" s="9">
        <v>3.9</v>
      </c>
      <c r="R6728" s="9">
        <v>0</v>
      </c>
      <c r="S6728" s="8"/>
      <c r="T6728" s="15">
        <v>10.8</v>
      </c>
      <c r="U6728" s="9">
        <v>11</v>
      </c>
      <c r="V6728" s="9">
        <v>4.2</v>
      </c>
      <c r="W6728" s="9">
        <v>4.4000000000000004</v>
      </c>
      <c r="X6728" s="9">
        <v>8</v>
      </c>
      <c r="Y6728" s="9">
        <v>90</v>
      </c>
      <c r="Z6728" s="9">
        <v>10</v>
      </c>
      <c r="AA6728" s="9">
        <v>10</v>
      </c>
      <c r="AC6728" s="38">
        <v>5</v>
      </c>
    </row>
    <row r="6729" spans="1:29" x14ac:dyDescent="0.25">
      <c r="A6729" s="22">
        <v>45080</v>
      </c>
      <c r="B6729" s="9">
        <v>0</v>
      </c>
      <c r="C6729" s="9">
        <v>0.6</v>
      </c>
      <c r="D6729" s="9">
        <v>2.4</v>
      </c>
      <c r="E6729" s="7">
        <v>0.2</v>
      </c>
      <c r="F6729" s="9">
        <v>0.4</v>
      </c>
      <c r="G6729" s="9">
        <v>6</v>
      </c>
      <c r="H6729" s="9">
        <v>9</v>
      </c>
      <c r="I6729" s="9">
        <v>5.7</v>
      </c>
      <c r="J6729" s="9">
        <v>0.9</v>
      </c>
      <c r="K6729" s="9">
        <v>0.4</v>
      </c>
      <c r="L6729" s="7">
        <v>1.016</v>
      </c>
      <c r="M6729" s="9">
        <v>4</v>
      </c>
      <c r="N6729" s="9">
        <v>1.2</v>
      </c>
      <c r="O6729" s="7"/>
      <c r="P6729" s="9">
        <v>4</v>
      </c>
      <c r="Q6729" s="6">
        <v>1.2</v>
      </c>
      <c r="R6729" s="9">
        <v>0</v>
      </c>
      <c r="S6729" s="8"/>
      <c r="T6729" s="15">
        <v>1</v>
      </c>
      <c r="U6729" s="9">
        <v>7</v>
      </c>
      <c r="V6729" s="9">
        <v>4.3</v>
      </c>
      <c r="W6729" s="9">
        <v>6.2</v>
      </c>
      <c r="X6729" s="9">
        <v>0</v>
      </c>
      <c r="Y6729" s="9">
        <v>8</v>
      </c>
      <c r="Z6729" s="9">
        <v>6</v>
      </c>
      <c r="AA6729" s="9">
        <v>12</v>
      </c>
      <c r="AC6729" s="38">
        <v>0</v>
      </c>
    </row>
    <row r="6730" spans="1:29" x14ac:dyDescent="0.25">
      <c r="A6730" s="22">
        <v>45081</v>
      </c>
      <c r="B6730" s="9">
        <v>0</v>
      </c>
      <c r="C6730" s="9">
        <v>0</v>
      </c>
      <c r="D6730" s="7">
        <v>0</v>
      </c>
      <c r="E6730" s="7">
        <v>0</v>
      </c>
      <c r="F6730" s="9">
        <v>0</v>
      </c>
      <c r="G6730" s="9">
        <v>0</v>
      </c>
      <c r="H6730" s="9">
        <v>0</v>
      </c>
      <c r="I6730" s="9">
        <v>0.4</v>
      </c>
      <c r="J6730" s="9">
        <v>0</v>
      </c>
      <c r="K6730" s="9">
        <v>2.4</v>
      </c>
      <c r="L6730" s="7">
        <v>0</v>
      </c>
      <c r="M6730" s="9">
        <v>2.2000000000000002</v>
      </c>
      <c r="N6730" s="9">
        <v>0</v>
      </c>
      <c r="O6730" s="7"/>
      <c r="P6730" s="9">
        <v>0</v>
      </c>
      <c r="Q6730" s="6">
        <v>10</v>
      </c>
      <c r="R6730" s="9">
        <v>8.1999999999999993</v>
      </c>
      <c r="S6730" s="8"/>
      <c r="T6730" s="15">
        <v>0</v>
      </c>
      <c r="U6730" s="9">
        <v>0</v>
      </c>
      <c r="V6730" s="9">
        <v>0</v>
      </c>
      <c r="W6730" s="9">
        <v>0</v>
      </c>
      <c r="X6730" s="9">
        <v>0</v>
      </c>
      <c r="Y6730" s="9">
        <v>0</v>
      </c>
      <c r="Z6730" s="9">
        <v>0</v>
      </c>
      <c r="AA6730" s="9">
        <v>0</v>
      </c>
      <c r="AC6730" s="38">
        <v>0</v>
      </c>
    </row>
    <row r="6731" spans="1:29" x14ac:dyDescent="0.25">
      <c r="A6731" s="22">
        <v>45082</v>
      </c>
      <c r="B6731" s="9">
        <v>14.5</v>
      </c>
      <c r="C6731" s="9">
        <v>19.600000000000001</v>
      </c>
      <c r="D6731" s="7">
        <v>23</v>
      </c>
      <c r="E6731" s="7">
        <v>23</v>
      </c>
      <c r="F6731" s="9">
        <v>33.4</v>
      </c>
      <c r="G6731" s="9">
        <v>45.5</v>
      </c>
      <c r="H6731" s="9">
        <v>39.5</v>
      </c>
      <c r="I6731" s="9">
        <v>30.1</v>
      </c>
      <c r="J6731" s="9">
        <v>41</v>
      </c>
      <c r="K6731" s="9">
        <v>30.2</v>
      </c>
      <c r="L6731" s="7">
        <v>9.1439999999999984</v>
      </c>
      <c r="M6731" s="9">
        <v>41.4</v>
      </c>
      <c r="N6731" s="9">
        <v>28.8</v>
      </c>
      <c r="O6731" s="7"/>
      <c r="P6731" s="9">
        <v>4</v>
      </c>
      <c r="Q6731" s="6">
        <v>0.4</v>
      </c>
      <c r="R6731" s="9">
        <v>0</v>
      </c>
      <c r="S6731" s="8"/>
      <c r="T6731" s="15">
        <v>3.6</v>
      </c>
      <c r="U6731" s="9">
        <v>30</v>
      </c>
      <c r="V6731" s="9">
        <v>16.2</v>
      </c>
      <c r="W6731" s="9">
        <v>30.2</v>
      </c>
      <c r="X6731" s="9">
        <v>8</v>
      </c>
      <c r="Y6731" s="9">
        <v>22</v>
      </c>
      <c r="Z6731" s="9">
        <v>26</v>
      </c>
      <c r="AA6731" s="9">
        <v>8</v>
      </c>
      <c r="AC6731" s="38">
        <v>20</v>
      </c>
    </row>
    <row r="6732" spans="1:29" x14ac:dyDescent="0.25">
      <c r="A6732" s="22">
        <v>45083</v>
      </c>
      <c r="B6732" s="9">
        <v>5</v>
      </c>
      <c r="C6732" s="9">
        <v>1.6</v>
      </c>
      <c r="D6732" s="7">
        <v>2</v>
      </c>
      <c r="E6732" s="7">
        <v>0</v>
      </c>
      <c r="F6732" s="9">
        <v>0</v>
      </c>
      <c r="G6732" s="9">
        <v>2</v>
      </c>
      <c r="H6732" s="9">
        <v>0</v>
      </c>
      <c r="I6732" s="9">
        <v>3.8</v>
      </c>
      <c r="J6732" s="9">
        <v>0.8</v>
      </c>
      <c r="K6732" s="9">
        <v>2.6</v>
      </c>
      <c r="L6732" s="7">
        <v>0.7619999999999999</v>
      </c>
      <c r="M6732" s="9">
        <v>3.6</v>
      </c>
      <c r="N6732" s="9">
        <v>2</v>
      </c>
      <c r="O6732" s="7"/>
      <c r="P6732" s="9">
        <v>0</v>
      </c>
      <c r="Q6732" s="6">
        <v>0</v>
      </c>
      <c r="R6732" s="9">
        <v>0</v>
      </c>
      <c r="S6732" s="8"/>
      <c r="T6732" s="15">
        <v>1.2</v>
      </c>
      <c r="U6732" s="9">
        <v>0</v>
      </c>
      <c r="V6732" s="9">
        <v>0</v>
      </c>
      <c r="W6732" s="9">
        <v>4.2</v>
      </c>
      <c r="X6732" s="9">
        <v>0</v>
      </c>
      <c r="Y6732" s="9">
        <v>0</v>
      </c>
      <c r="Z6732" s="9">
        <v>0</v>
      </c>
      <c r="AA6732" s="9">
        <v>0</v>
      </c>
      <c r="AC6732" s="38">
        <v>0</v>
      </c>
    </row>
    <row r="6733" spans="1:29" x14ac:dyDescent="0.25">
      <c r="A6733" s="22">
        <v>45084</v>
      </c>
      <c r="B6733" s="9">
        <v>0</v>
      </c>
      <c r="C6733" s="9">
        <v>4.4000000000000004</v>
      </c>
      <c r="D6733" s="7">
        <v>12</v>
      </c>
      <c r="E6733" s="7">
        <v>6.6</v>
      </c>
      <c r="F6733" s="9">
        <v>4</v>
      </c>
      <c r="G6733" s="9">
        <v>2</v>
      </c>
      <c r="H6733" s="9">
        <v>0</v>
      </c>
      <c r="I6733" s="9">
        <v>0.1</v>
      </c>
      <c r="J6733" s="9">
        <v>0.8</v>
      </c>
      <c r="K6733" s="9">
        <v>5.4</v>
      </c>
      <c r="L6733" s="7">
        <v>1.27</v>
      </c>
      <c r="M6733" s="9">
        <v>1</v>
      </c>
      <c r="N6733" s="9">
        <v>4.4000000000000004</v>
      </c>
      <c r="O6733" s="7"/>
      <c r="P6733" s="9">
        <v>2</v>
      </c>
      <c r="Q6733" s="6">
        <v>0</v>
      </c>
      <c r="R6733" s="9">
        <v>0</v>
      </c>
      <c r="S6733" s="8"/>
      <c r="T6733" s="15">
        <v>2</v>
      </c>
      <c r="U6733" s="9">
        <v>5</v>
      </c>
      <c r="V6733" s="9">
        <v>0</v>
      </c>
      <c r="W6733" s="9">
        <v>0</v>
      </c>
      <c r="X6733" s="9">
        <v>0</v>
      </c>
      <c r="Y6733" s="9">
        <v>0</v>
      </c>
      <c r="Z6733" s="9">
        <v>0</v>
      </c>
      <c r="AA6733" s="9">
        <v>0</v>
      </c>
      <c r="AC6733" s="38">
        <v>0</v>
      </c>
    </row>
    <row r="6734" spans="1:29" x14ac:dyDescent="0.25">
      <c r="A6734" s="22">
        <v>45085</v>
      </c>
      <c r="B6734" s="9">
        <v>0</v>
      </c>
      <c r="C6734" s="9">
        <v>3.2</v>
      </c>
      <c r="D6734" s="7">
        <v>0</v>
      </c>
      <c r="E6734" s="7">
        <v>0</v>
      </c>
      <c r="F6734" s="9">
        <v>0</v>
      </c>
      <c r="G6734" s="9">
        <v>0</v>
      </c>
      <c r="H6734" s="9">
        <v>0</v>
      </c>
      <c r="I6734" s="9">
        <v>0</v>
      </c>
      <c r="J6734" s="9">
        <v>0</v>
      </c>
      <c r="K6734" s="9">
        <v>1</v>
      </c>
      <c r="L6734" s="7">
        <v>0.7619999999999999</v>
      </c>
      <c r="M6734" s="9">
        <v>0</v>
      </c>
      <c r="N6734" s="9">
        <v>0</v>
      </c>
      <c r="O6734" s="7"/>
      <c r="P6734" s="9">
        <v>0</v>
      </c>
      <c r="Q6734" s="6">
        <v>1.4</v>
      </c>
      <c r="R6734" s="9">
        <v>0</v>
      </c>
      <c r="S6734" s="8"/>
      <c r="T6734" s="15">
        <v>0</v>
      </c>
      <c r="U6734" s="9">
        <v>0</v>
      </c>
      <c r="V6734" s="9">
        <v>0</v>
      </c>
      <c r="W6734" s="9">
        <v>0</v>
      </c>
      <c r="X6734" s="9">
        <v>0</v>
      </c>
      <c r="Y6734" s="9">
        <v>6</v>
      </c>
      <c r="Z6734" s="9">
        <v>2</v>
      </c>
      <c r="AA6734" s="9">
        <v>0</v>
      </c>
      <c r="AC6734" s="38">
        <v>5</v>
      </c>
    </row>
    <row r="6735" spans="1:29" x14ac:dyDescent="0.25">
      <c r="A6735" s="22">
        <v>45086</v>
      </c>
      <c r="B6735" s="9">
        <v>6</v>
      </c>
      <c r="C6735" s="9">
        <v>6.4</v>
      </c>
      <c r="D6735" s="7">
        <v>3.2</v>
      </c>
      <c r="E6735" s="7">
        <v>6</v>
      </c>
      <c r="F6735" s="9">
        <v>1.4</v>
      </c>
      <c r="G6735" s="9">
        <v>0.1</v>
      </c>
      <c r="H6735" s="9">
        <v>0</v>
      </c>
      <c r="I6735" s="9">
        <v>3.8</v>
      </c>
      <c r="J6735" s="9">
        <v>1.6</v>
      </c>
      <c r="K6735" s="9">
        <v>2.8</v>
      </c>
      <c r="L6735" s="7">
        <v>2.794</v>
      </c>
      <c r="M6735" s="9">
        <v>0</v>
      </c>
      <c r="N6735" s="9">
        <v>3.6</v>
      </c>
      <c r="O6735" s="7"/>
      <c r="P6735" s="9">
        <v>4</v>
      </c>
      <c r="Q6735" s="6">
        <v>3.6</v>
      </c>
      <c r="R6735" s="9">
        <v>0</v>
      </c>
      <c r="S6735" s="8"/>
      <c r="T6735" s="15">
        <v>2.2000000000000002</v>
      </c>
      <c r="U6735" s="9">
        <v>10</v>
      </c>
      <c r="V6735" s="9">
        <v>0</v>
      </c>
      <c r="W6735" s="9">
        <v>0</v>
      </c>
      <c r="X6735" s="9">
        <v>4</v>
      </c>
      <c r="Y6735" s="9">
        <v>0</v>
      </c>
      <c r="Z6735" s="9">
        <v>0</v>
      </c>
      <c r="AA6735" s="9">
        <v>0</v>
      </c>
      <c r="AC6735" s="38">
        <v>6</v>
      </c>
    </row>
    <row r="6736" spans="1:29" x14ac:dyDescent="0.25">
      <c r="A6736" s="22">
        <v>45087</v>
      </c>
      <c r="B6736" s="9">
        <v>0</v>
      </c>
      <c r="C6736" s="9">
        <v>10</v>
      </c>
      <c r="D6736" s="7">
        <v>14.2</v>
      </c>
      <c r="E6736" s="7">
        <v>7</v>
      </c>
      <c r="F6736" s="9">
        <v>0.4</v>
      </c>
      <c r="G6736" s="9">
        <v>8</v>
      </c>
      <c r="H6736" s="9">
        <v>3.5</v>
      </c>
      <c r="I6736" s="9">
        <v>2.8</v>
      </c>
      <c r="J6736" s="9">
        <v>2.6</v>
      </c>
      <c r="K6736" s="9">
        <v>4.5999999999999996</v>
      </c>
      <c r="L6736" s="7">
        <v>4.8259999999999996</v>
      </c>
      <c r="M6736" s="9">
        <v>2</v>
      </c>
      <c r="N6736" s="9">
        <v>1.2</v>
      </c>
      <c r="O6736" s="7"/>
      <c r="P6736" s="9">
        <v>6</v>
      </c>
      <c r="Q6736" s="6">
        <v>0</v>
      </c>
      <c r="R6736" s="9">
        <v>0</v>
      </c>
      <c r="S6736" s="8"/>
      <c r="T6736" s="15">
        <v>5.2</v>
      </c>
      <c r="U6736" s="9">
        <v>13</v>
      </c>
      <c r="V6736" s="9">
        <v>2.2000000000000002</v>
      </c>
      <c r="W6736" s="9">
        <v>2.4</v>
      </c>
      <c r="X6736" s="9">
        <v>0</v>
      </c>
      <c r="Y6736" s="9">
        <v>4</v>
      </c>
      <c r="Z6736" s="9">
        <v>2</v>
      </c>
      <c r="AA6736" s="9">
        <v>0</v>
      </c>
      <c r="AC6736" s="38">
        <v>1</v>
      </c>
    </row>
    <row r="6737" spans="1:29" x14ac:dyDescent="0.25">
      <c r="A6737" s="22">
        <v>45088</v>
      </c>
      <c r="B6737" s="9">
        <v>0</v>
      </c>
      <c r="C6737" s="9">
        <v>10</v>
      </c>
      <c r="D6737" s="7">
        <v>0.8</v>
      </c>
      <c r="E6737" s="7">
        <v>4.5999999999999996</v>
      </c>
      <c r="F6737" s="9">
        <v>22</v>
      </c>
      <c r="G6737" s="9">
        <v>4.9000000000000004</v>
      </c>
      <c r="H6737" s="9">
        <v>14.3</v>
      </c>
      <c r="I6737" s="6">
        <v>3</v>
      </c>
      <c r="J6737" s="9">
        <v>2.2000000000000002</v>
      </c>
      <c r="K6737" s="9">
        <v>11.4</v>
      </c>
      <c r="L6737" s="7">
        <v>2.794</v>
      </c>
      <c r="M6737" s="9">
        <v>4.5999999999999996</v>
      </c>
      <c r="N6737" s="9">
        <v>9</v>
      </c>
      <c r="O6737" s="7"/>
      <c r="P6737" s="7">
        <v>0</v>
      </c>
      <c r="Q6737" s="6">
        <v>7</v>
      </c>
      <c r="R6737" s="9">
        <v>11.2</v>
      </c>
      <c r="S6737" s="8"/>
      <c r="T6737" s="15">
        <v>0</v>
      </c>
      <c r="U6737" s="9">
        <v>0</v>
      </c>
      <c r="V6737" s="9">
        <v>3.1</v>
      </c>
      <c r="W6737" s="9">
        <v>4.4000000000000004</v>
      </c>
      <c r="X6737" s="9">
        <v>0</v>
      </c>
      <c r="Y6737" s="9">
        <v>6</v>
      </c>
      <c r="Z6737" s="9">
        <v>4</v>
      </c>
      <c r="AA6737" s="9">
        <v>0</v>
      </c>
      <c r="AC6737" s="38">
        <v>11</v>
      </c>
    </row>
    <row r="6738" spans="1:29" x14ac:dyDescent="0.25">
      <c r="A6738" s="22">
        <v>45089</v>
      </c>
      <c r="B6738" s="9">
        <v>16</v>
      </c>
      <c r="C6738" s="9">
        <v>0</v>
      </c>
      <c r="D6738" s="7">
        <v>11.8</v>
      </c>
      <c r="E6738" s="7">
        <v>0.4</v>
      </c>
      <c r="F6738" s="9">
        <v>6.8</v>
      </c>
      <c r="G6738" s="9">
        <v>13.1</v>
      </c>
      <c r="H6738" s="9">
        <v>2.8</v>
      </c>
      <c r="I6738" s="6">
        <v>12.8</v>
      </c>
      <c r="J6738" s="9">
        <v>8.1999999999999993</v>
      </c>
      <c r="K6738" s="9">
        <v>18</v>
      </c>
      <c r="L6738" s="7">
        <v>3.0479999999999996</v>
      </c>
      <c r="M6738" s="9">
        <v>3.2</v>
      </c>
      <c r="N6738" s="9">
        <v>12.6</v>
      </c>
      <c r="O6738" s="7"/>
      <c r="P6738" s="7">
        <v>10</v>
      </c>
      <c r="Q6738" s="6">
        <v>5.8</v>
      </c>
      <c r="R6738" s="9">
        <v>0</v>
      </c>
      <c r="S6738" s="8"/>
      <c r="T6738" s="15">
        <v>10.199999999999999</v>
      </c>
      <c r="U6738" s="9">
        <v>8</v>
      </c>
      <c r="V6738" s="9">
        <v>3.2</v>
      </c>
      <c r="W6738" s="9">
        <v>8.4</v>
      </c>
      <c r="X6738" s="9">
        <v>7</v>
      </c>
      <c r="Y6738" s="9">
        <v>14</v>
      </c>
      <c r="Z6738" s="9">
        <v>20</v>
      </c>
      <c r="AA6738" s="9">
        <v>14</v>
      </c>
      <c r="AC6738" s="38">
        <v>20</v>
      </c>
    </row>
    <row r="6739" spans="1:29" x14ac:dyDescent="0.25">
      <c r="A6739" s="22">
        <v>45090</v>
      </c>
      <c r="B6739" s="9">
        <v>14</v>
      </c>
      <c r="C6739" s="9">
        <v>14.4</v>
      </c>
      <c r="D6739" s="7">
        <v>18.399999999999999</v>
      </c>
      <c r="E6739" s="7">
        <v>25.6</v>
      </c>
      <c r="F6739" s="9">
        <v>12</v>
      </c>
      <c r="G6739" s="9">
        <v>23.5</v>
      </c>
      <c r="H6739" s="9">
        <v>19.8</v>
      </c>
      <c r="I6739" s="6">
        <v>12.2</v>
      </c>
      <c r="J6739" s="9">
        <v>24.6</v>
      </c>
      <c r="K6739" s="9">
        <v>25.2</v>
      </c>
      <c r="L6739" s="7">
        <v>5.8419999999999996</v>
      </c>
      <c r="M6739" s="9">
        <v>20.2</v>
      </c>
      <c r="N6739" s="9">
        <v>21.2</v>
      </c>
      <c r="O6739" s="7"/>
      <c r="P6739" s="7">
        <v>12</v>
      </c>
      <c r="Q6739" s="6">
        <v>6.9</v>
      </c>
      <c r="R6739" s="9">
        <v>8.1</v>
      </c>
      <c r="S6739" s="10"/>
      <c r="T6739" s="15">
        <v>1</v>
      </c>
      <c r="U6739" s="9">
        <v>18</v>
      </c>
      <c r="V6739" s="9">
        <v>14.2</v>
      </c>
      <c r="W6739" s="9">
        <v>16.2</v>
      </c>
      <c r="X6739" s="9">
        <v>4</v>
      </c>
      <c r="Y6739" s="9">
        <v>14</v>
      </c>
      <c r="Z6739" s="9">
        <v>14</v>
      </c>
      <c r="AA6739" s="9">
        <v>16</v>
      </c>
      <c r="AC6739" s="38">
        <v>5</v>
      </c>
    </row>
    <row r="6740" spans="1:29" x14ac:dyDescent="0.25">
      <c r="A6740" s="22">
        <v>45091</v>
      </c>
      <c r="B6740" s="9">
        <v>21</v>
      </c>
      <c r="C6740" s="9">
        <v>19.8</v>
      </c>
      <c r="D6740" s="7">
        <v>8</v>
      </c>
      <c r="E6740" s="7">
        <v>28.2</v>
      </c>
      <c r="F6740" s="9">
        <v>5</v>
      </c>
      <c r="G6740" s="9">
        <v>4.5</v>
      </c>
      <c r="H6740" s="9">
        <v>2.2999999999999998</v>
      </c>
      <c r="I6740" s="6">
        <v>5.2</v>
      </c>
      <c r="J6740" s="9">
        <v>10.8</v>
      </c>
      <c r="K6740" s="9">
        <v>19.399999999999999</v>
      </c>
      <c r="L6740" s="7">
        <v>9.1439999999999984</v>
      </c>
      <c r="M6740" s="9">
        <v>8</v>
      </c>
      <c r="N6740" s="9">
        <v>11.2</v>
      </c>
      <c r="O6740" s="7"/>
      <c r="P6740" s="7">
        <v>5</v>
      </c>
      <c r="Q6740" s="6">
        <v>25</v>
      </c>
      <c r="R6740" s="9">
        <v>24.2</v>
      </c>
      <c r="S6740" s="10"/>
      <c r="T6740" s="15">
        <v>4.5999999999999996</v>
      </c>
      <c r="U6740" s="9">
        <v>15</v>
      </c>
      <c r="V6740" s="9">
        <v>3.2</v>
      </c>
      <c r="W6740" s="9">
        <v>3.3</v>
      </c>
      <c r="X6740" s="9">
        <v>4</v>
      </c>
      <c r="Y6740" s="9">
        <v>6</v>
      </c>
      <c r="Z6740" s="9">
        <v>6</v>
      </c>
      <c r="AA6740" s="9">
        <v>6</v>
      </c>
      <c r="AC6740" s="38">
        <v>4</v>
      </c>
    </row>
    <row r="6741" spans="1:29" x14ac:dyDescent="0.25">
      <c r="A6741" s="22">
        <v>45092</v>
      </c>
      <c r="B6741" s="9">
        <v>21</v>
      </c>
      <c r="C6741" s="9">
        <v>18.8</v>
      </c>
      <c r="D6741" s="7">
        <v>20.2</v>
      </c>
      <c r="E6741" s="7">
        <v>0</v>
      </c>
      <c r="F6741" s="9">
        <v>3.8</v>
      </c>
      <c r="G6741" s="9">
        <v>23.5</v>
      </c>
      <c r="H6741" s="9">
        <v>13.6</v>
      </c>
      <c r="I6741" s="6">
        <v>22.1</v>
      </c>
      <c r="J6741" s="9">
        <v>15.8</v>
      </c>
      <c r="K6741" s="9">
        <v>0.6</v>
      </c>
      <c r="L6741" s="7">
        <v>19.049999999999997</v>
      </c>
      <c r="M6741" s="9">
        <v>26.8</v>
      </c>
      <c r="N6741" s="9">
        <v>0.8</v>
      </c>
      <c r="O6741" s="7"/>
      <c r="P6741" s="7">
        <v>20</v>
      </c>
      <c r="Q6741" s="6">
        <v>4.4000000000000004</v>
      </c>
      <c r="R6741" s="9">
        <v>2</v>
      </c>
      <c r="S6741" s="10"/>
      <c r="T6741" s="15">
        <v>0</v>
      </c>
      <c r="U6741" s="9">
        <v>12</v>
      </c>
      <c r="V6741" s="9">
        <v>13.3</v>
      </c>
      <c r="W6741" s="9">
        <v>30.1</v>
      </c>
      <c r="X6741" s="9">
        <v>22</v>
      </c>
      <c r="Y6741" s="9">
        <v>10</v>
      </c>
      <c r="Z6741" s="9">
        <v>12</v>
      </c>
      <c r="AA6741" s="9">
        <v>14</v>
      </c>
      <c r="AC6741" s="38">
        <v>0</v>
      </c>
    </row>
    <row r="6742" spans="1:29" x14ac:dyDescent="0.25">
      <c r="A6742" s="22">
        <v>45093</v>
      </c>
      <c r="B6742" s="9">
        <v>9</v>
      </c>
      <c r="C6742" s="9">
        <v>0.8</v>
      </c>
      <c r="D6742" s="7">
        <v>4.5999999999999996</v>
      </c>
      <c r="E6742" s="7">
        <v>0</v>
      </c>
      <c r="F6742" s="9">
        <v>2.6</v>
      </c>
      <c r="G6742" s="9">
        <v>0.5</v>
      </c>
      <c r="H6742" s="9">
        <v>0</v>
      </c>
      <c r="I6742" s="6">
        <v>1.1000000000000001</v>
      </c>
      <c r="J6742" s="9">
        <v>0</v>
      </c>
      <c r="K6742" s="9">
        <v>0</v>
      </c>
      <c r="L6742" s="7">
        <v>0</v>
      </c>
      <c r="M6742" s="9">
        <v>3.6</v>
      </c>
      <c r="N6742" s="9">
        <v>0</v>
      </c>
      <c r="O6742" s="7"/>
      <c r="P6742" s="7">
        <v>0</v>
      </c>
      <c r="Q6742" s="6">
        <v>0.4</v>
      </c>
      <c r="R6742" s="9">
        <v>0</v>
      </c>
      <c r="S6742" s="10"/>
      <c r="T6742" s="15">
        <v>3.6</v>
      </c>
      <c r="U6742" s="9">
        <v>4</v>
      </c>
      <c r="V6742" s="9">
        <v>0</v>
      </c>
      <c r="W6742" s="9">
        <v>0</v>
      </c>
      <c r="X6742" s="9">
        <v>0</v>
      </c>
      <c r="Y6742" s="9">
        <v>0</v>
      </c>
      <c r="Z6742" s="9">
        <v>0</v>
      </c>
      <c r="AA6742" s="9">
        <v>6</v>
      </c>
      <c r="AC6742" s="38">
        <v>0</v>
      </c>
    </row>
    <row r="6743" spans="1:29" x14ac:dyDescent="0.25">
      <c r="A6743" s="22">
        <v>45094</v>
      </c>
      <c r="B6743" s="9">
        <v>0</v>
      </c>
      <c r="C6743" s="9">
        <v>15.6</v>
      </c>
      <c r="D6743" s="7">
        <v>10</v>
      </c>
      <c r="E6743" s="7">
        <v>6.4</v>
      </c>
      <c r="F6743" s="9">
        <v>10.8</v>
      </c>
      <c r="G6743" s="9">
        <v>9</v>
      </c>
      <c r="H6743" s="9">
        <v>16.2</v>
      </c>
      <c r="I6743" s="6">
        <v>3.8</v>
      </c>
      <c r="J6743" s="9">
        <v>10.4</v>
      </c>
      <c r="K6743" s="9">
        <v>20.8</v>
      </c>
      <c r="L6743" s="7">
        <v>3.302</v>
      </c>
      <c r="M6743" s="9">
        <v>12.8</v>
      </c>
      <c r="N6743" s="9">
        <v>15</v>
      </c>
      <c r="O6743" s="7"/>
      <c r="P6743" s="7">
        <v>4</v>
      </c>
      <c r="Q6743" s="6">
        <v>1.2</v>
      </c>
      <c r="R6743" s="9">
        <v>0</v>
      </c>
      <c r="S6743" s="10"/>
      <c r="T6743" s="15">
        <v>2</v>
      </c>
      <c r="U6743" s="9">
        <v>0</v>
      </c>
      <c r="V6743" s="9">
        <v>4.3</v>
      </c>
      <c r="W6743" s="9">
        <v>6.3</v>
      </c>
      <c r="X6743" s="9">
        <v>1</v>
      </c>
      <c r="Y6743" s="9">
        <v>8</v>
      </c>
      <c r="Z6743" s="9">
        <v>10</v>
      </c>
      <c r="AA6743" s="9">
        <v>8</v>
      </c>
      <c r="AC6743" s="38">
        <v>1</v>
      </c>
    </row>
    <row r="6744" spans="1:29" x14ac:dyDescent="0.25">
      <c r="A6744" s="22">
        <v>45095</v>
      </c>
      <c r="B6744" s="9">
        <v>0</v>
      </c>
      <c r="C6744" s="9">
        <v>0</v>
      </c>
      <c r="D6744" s="7">
        <v>11.2</v>
      </c>
      <c r="E6744" s="7">
        <v>0</v>
      </c>
      <c r="F6744" s="9">
        <v>0.2</v>
      </c>
      <c r="G6744" s="9">
        <v>10</v>
      </c>
      <c r="H6744" s="9">
        <v>2.1</v>
      </c>
      <c r="I6744" s="6">
        <v>11.2</v>
      </c>
      <c r="J6744" s="9">
        <v>16</v>
      </c>
      <c r="K6744" s="9">
        <v>0.6</v>
      </c>
      <c r="L6744" s="7">
        <v>0</v>
      </c>
      <c r="M6744" s="9">
        <v>4</v>
      </c>
      <c r="N6744" s="9">
        <v>1.4</v>
      </c>
      <c r="O6744" s="7"/>
      <c r="P6744" s="7">
        <v>0</v>
      </c>
      <c r="Q6744" s="6">
        <v>0</v>
      </c>
      <c r="R6744" s="9">
        <v>0</v>
      </c>
      <c r="S6744" s="10"/>
      <c r="T6744" s="15">
        <v>0</v>
      </c>
      <c r="U6744" s="9">
        <v>3</v>
      </c>
      <c r="V6744" s="9">
        <v>7.3</v>
      </c>
      <c r="W6744" s="9">
        <v>8.1999999999999993</v>
      </c>
      <c r="X6744" s="9">
        <v>0</v>
      </c>
      <c r="Y6744" s="9">
        <v>0</v>
      </c>
      <c r="Z6744" s="9">
        <v>0</v>
      </c>
      <c r="AA6744" s="9">
        <v>6</v>
      </c>
      <c r="AC6744" s="38">
        <v>0</v>
      </c>
    </row>
    <row r="6745" spans="1:29" x14ac:dyDescent="0.25">
      <c r="A6745" s="22">
        <v>45096</v>
      </c>
      <c r="B6745" s="9">
        <v>1</v>
      </c>
      <c r="C6745" s="9">
        <v>0</v>
      </c>
      <c r="D6745" s="7">
        <v>0.2</v>
      </c>
      <c r="E6745" s="7">
        <v>0</v>
      </c>
      <c r="F6745" s="9">
        <v>0</v>
      </c>
      <c r="G6745" s="9">
        <v>1</v>
      </c>
      <c r="H6745" s="9">
        <v>0</v>
      </c>
      <c r="I6745" s="6">
        <v>0.2</v>
      </c>
      <c r="J6745" s="9">
        <v>1.4</v>
      </c>
      <c r="K6745" s="9">
        <v>0</v>
      </c>
      <c r="L6745" s="7">
        <v>0</v>
      </c>
      <c r="M6745" s="9">
        <v>1.6</v>
      </c>
      <c r="N6745" s="9">
        <v>0</v>
      </c>
      <c r="O6745" s="7"/>
      <c r="P6745" s="7">
        <v>0</v>
      </c>
      <c r="Q6745" s="6">
        <v>1.1000000000000001</v>
      </c>
      <c r="R6745" s="9">
        <v>0</v>
      </c>
      <c r="S6745" s="10"/>
      <c r="T6745" s="15">
        <v>0</v>
      </c>
      <c r="U6745" s="9">
        <v>0</v>
      </c>
      <c r="V6745" s="9">
        <v>3.2</v>
      </c>
      <c r="W6745" s="9">
        <v>0.2</v>
      </c>
      <c r="X6745" s="9">
        <v>0</v>
      </c>
      <c r="Y6745" s="9">
        <v>0</v>
      </c>
      <c r="Z6745" s="9">
        <v>0</v>
      </c>
      <c r="AA6745" s="9">
        <v>0</v>
      </c>
      <c r="AC6745" s="38">
        <v>0</v>
      </c>
    </row>
    <row r="6746" spans="1:29" x14ac:dyDescent="0.25">
      <c r="A6746" s="22">
        <v>45097</v>
      </c>
      <c r="B6746" s="9">
        <v>0</v>
      </c>
      <c r="C6746" s="9">
        <v>4</v>
      </c>
      <c r="D6746" s="7">
        <v>9.4</v>
      </c>
      <c r="E6746" s="7">
        <v>0.4</v>
      </c>
      <c r="F6746" s="9">
        <v>0.8</v>
      </c>
      <c r="G6746" s="9">
        <v>1</v>
      </c>
      <c r="H6746" s="9">
        <v>0</v>
      </c>
      <c r="I6746" s="6">
        <v>3.8</v>
      </c>
      <c r="J6746" s="9">
        <v>2.8</v>
      </c>
      <c r="K6746" s="9">
        <v>6.2</v>
      </c>
      <c r="L6746" s="7">
        <v>2.2859999999999996</v>
      </c>
      <c r="M6746" s="9">
        <v>0</v>
      </c>
      <c r="N6746" s="9">
        <v>7.4</v>
      </c>
      <c r="O6746" s="7"/>
      <c r="P6746" s="7">
        <v>0</v>
      </c>
      <c r="Q6746" s="6">
        <v>5.7</v>
      </c>
      <c r="R6746" s="9">
        <v>0</v>
      </c>
      <c r="S6746" s="10"/>
      <c r="T6746" s="15">
        <v>0</v>
      </c>
      <c r="U6746" s="9">
        <v>10</v>
      </c>
      <c r="V6746" s="9">
        <v>2.2000000000000002</v>
      </c>
      <c r="W6746" s="9">
        <v>0</v>
      </c>
      <c r="X6746" s="9">
        <v>6</v>
      </c>
      <c r="Y6746" s="9">
        <v>8</v>
      </c>
      <c r="Z6746" s="9">
        <v>4</v>
      </c>
      <c r="AA6746" s="9">
        <v>0</v>
      </c>
      <c r="AC6746" s="38">
        <v>0</v>
      </c>
    </row>
    <row r="6747" spans="1:29" x14ac:dyDescent="0.25">
      <c r="A6747" s="22">
        <v>45098</v>
      </c>
      <c r="B6747" s="9">
        <v>25</v>
      </c>
      <c r="C6747" s="9">
        <v>8</v>
      </c>
      <c r="D6747" s="7">
        <v>12.6</v>
      </c>
      <c r="E6747" s="7">
        <v>15.4</v>
      </c>
      <c r="F6747" s="9">
        <v>8.4</v>
      </c>
      <c r="G6747" s="9">
        <v>2.9</v>
      </c>
      <c r="H6747" s="9">
        <v>4</v>
      </c>
      <c r="I6747" s="6">
        <v>5</v>
      </c>
      <c r="J6747" s="9">
        <v>4.8</v>
      </c>
      <c r="K6747" s="9">
        <v>7.8</v>
      </c>
      <c r="L6747" s="7">
        <v>8.636000000000001</v>
      </c>
      <c r="M6747" s="9">
        <v>2.2000000000000002</v>
      </c>
      <c r="N6747" s="9">
        <v>8</v>
      </c>
      <c r="O6747" s="7"/>
      <c r="P6747" s="7">
        <v>21</v>
      </c>
      <c r="Q6747" s="6">
        <v>6.9</v>
      </c>
      <c r="R6747" s="9">
        <v>6.2</v>
      </c>
      <c r="S6747" s="10"/>
      <c r="T6747" s="15">
        <v>14.8</v>
      </c>
      <c r="U6747" s="9">
        <v>20</v>
      </c>
      <c r="V6747" s="9">
        <v>2.2000000000000002</v>
      </c>
      <c r="W6747" s="9">
        <v>2.1</v>
      </c>
      <c r="X6747" s="9">
        <v>7</v>
      </c>
      <c r="Y6747" s="9">
        <v>5</v>
      </c>
      <c r="Z6747" s="9">
        <v>2</v>
      </c>
      <c r="AA6747" s="9">
        <v>2</v>
      </c>
      <c r="AC6747" s="38">
        <v>0</v>
      </c>
    </row>
    <row r="6748" spans="1:29" x14ac:dyDescent="0.25">
      <c r="A6748" s="22">
        <v>45099</v>
      </c>
      <c r="B6748" s="9">
        <v>71</v>
      </c>
      <c r="C6748" s="9">
        <v>5.6</v>
      </c>
      <c r="D6748" s="7">
        <v>4.2</v>
      </c>
      <c r="E6748" s="7">
        <v>5</v>
      </c>
      <c r="F6748" s="9">
        <v>0.4</v>
      </c>
      <c r="G6748" s="9">
        <v>1.6</v>
      </c>
      <c r="H6748" s="9">
        <v>4</v>
      </c>
      <c r="I6748" s="6">
        <v>1.5</v>
      </c>
      <c r="J6748" s="9">
        <v>5.8</v>
      </c>
      <c r="K6748" s="9">
        <v>1.4</v>
      </c>
      <c r="L6748" s="7">
        <v>2.794</v>
      </c>
      <c r="M6748" s="9">
        <v>3.2</v>
      </c>
      <c r="N6748" s="9">
        <v>1.4</v>
      </c>
      <c r="O6748" s="7"/>
      <c r="P6748" s="7">
        <v>4</v>
      </c>
      <c r="Q6748" s="6">
        <v>6.6</v>
      </c>
      <c r="R6748" s="9">
        <v>0</v>
      </c>
      <c r="S6748" s="10"/>
      <c r="T6748" s="15">
        <v>3.6</v>
      </c>
      <c r="U6748" s="9">
        <v>1</v>
      </c>
      <c r="V6748" s="9">
        <v>2.2000000000000002</v>
      </c>
      <c r="W6748" s="9">
        <v>0.4</v>
      </c>
      <c r="X6748" s="9">
        <v>4</v>
      </c>
      <c r="Y6748" s="9">
        <v>8</v>
      </c>
      <c r="Z6748" s="9">
        <v>6</v>
      </c>
      <c r="AA6748" s="9">
        <v>4</v>
      </c>
      <c r="AC6748" s="38">
        <v>0</v>
      </c>
    </row>
    <row r="6749" spans="1:29" x14ac:dyDescent="0.25">
      <c r="A6749" s="22">
        <v>45100</v>
      </c>
      <c r="B6749" s="9">
        <v>0</v>
      </c>
      <c r="C6749" s="9">
        <v>44.2</v>
      </c>
      <c r="D6749" s="7">
        <v>20.6</v>
      </c>
      <c r="E6749" s="7">
        <v>36.799999999999997</v>
      </c>
      <c r="F6749" s="9">
        <v>20.6</v>
      </c>
      <c r="G6749" s="9">
        <v>4.0999999999999996</v>
      </c>
      <c r="H6749" s="9">
        <v>3.1</v>
      </c>
      <c r="I6749" s="6">
        <v>5.8</v>
      </c>
      <c r="J6749" s="9">
        <v>5</v>
      </c>
      <c r="K6749" s="9">
        <v>48.4</v>
      </c>
      <c r="L6749" s="7">
        <v>33.527999999999999</v>
      </c>
      <c r="M6749" s="9">
        <v>1.4</v>
      </c>
      <c r="N6749" s="9">
        <v>41</v>
      </c>
      <c r="O6749" s="7"/>
      <c r="P6749" s="7">
        <v>46</v>
      </c>
      <c r="Q6749" s="6">
        <v>26.2</v>
      </c>
      <c r="R6749" s="9">
        <v>29.1</v>
      </c>
      <c r="S6749" s="8"/>
      <c r="T6749" s="15">
        <v>27.8</v>
      </c>
      <c r="U6749" s="9">
        <v>48</v>
      </c>
      <c r="V6749" s="9">
        <v>2.2000000000000002</v>
      </c>
      <c r="W6749" s="9">
        <v>4.0999999999999996</v>
      </c>
      <c r="X6749" s="9">
        <v>27</v>
      </c>
      <c r="Y6749" s="9">
        <v>0</v>
      </c>
      <c r="Z6749" s="9">
        <v>16</v>
      </c>
      <c r="AA6749" s="9">
        <v>2</v>
      </c>
      <c r="AC6749" s="38">
        <v>0</v>
      </c>
    </row>
    <row r="6750" spans="1:29" x14ac:dyDescent="0.25">
      <c r="A6750" s="22">
        <v>45101</v>
      </c>
      <c r="B6750" s="9">
        <v>0</v>
      </c>
      <c r="C6750" s="9">
        <v>4.8</v>
      </c>
      <c r="D6750" s="7">
        <v>42.5</v>
      </c>
      <c r="E6750" s="7">
        <v>0</v>
      </c>
      <c r="F6750" s="9">
        <v>0</v>
      </c>
      <c r="G6750" s="9">
        <v>31.2</v>
      </c>
      <c r="H6750" s="9">
        <v>20.9</v>
      </c>
      <c r="I6750" s="6">
        <v>22</v>
      </c>
      <c r="J6750" s="9">
        <v>38.700000000000003</v>
      </c>
      <c r="K6750" s="9">
        <v>0.4</v>
      </c>
      <c r="L6750" s="7">
        <v>30.479999999999997</v>
      </c>
      <c r="M6750" s="9">
        <v>8.6</v>
      </c>
      <c r="N6750" s="9">
        <v>0</v>
      </c>
      <c r="O6750" s="7"/>
      <c r="P6750" s="7">
        <v>10</v>
      </c>
      <c r="Q6750" s="6">
        <v>0</v>
      </c>
      <c r="R6750" s="9">
        <v>0</v>
      </c>
      <c r="S6750" s="8"/>
      <c r="T6750" s="15">
        <v>0</v>
      </c>
      <c r="U6750" s="9">
        <v>0</v>
      </c>
      <c r="V6750" s="9">
        <v>24.4</v>
      </c>
      <c r="W6750" s="9">
        <v>24.4</v>
      </c>
      <c r="X6750" s="9">
        <v>3</v>
      </c>
      <c r="Y6750" s="9">
        <v>20</v>
      </c>
      <c r="Z6750" s="9">
        <v>4</v>
      </c>
      <c r="AA6750" s="9">
        <v>20</v>
      </c>
      <c r="AC6750" s="38">
        <v>0</v>
      </c>
    </row>
    <row r="6751" spans="1:29" x14ac:dyDescent="0.25">
      <c r="A6751" s="22">
        <v>45102</v>
      </c>
      <c r="B6751" s="9">
        <v>0</v>
      </c>
      <c r="C6751" s="9">
        <v>0</v>
      </c>
      <c r="D6751" s="7">
        <v>0</v>
      </c>
      <c r="E6751" s="7">
        <v>0</v>
      </c>
      <c r="F6751" s="9">
        <v>0</v>
      </c>
      <c r="G6751" s="9">
        <v>0</v>
      </c>
      <c r="H6751" s="9">
        <v>0</v>
      </c>
      <c r="I6751" s="6">
        <v>0.4</v>
      </c>
      <c r="J6751" s="9">
        <v>0</v>
      </c>
      <c r="K6751" s="9">
        <v>0.2</v>
      </c>
      <c r="L6751" s="7">
        <v>8.3819999999999997</v>
      </c>
      <c r="M6751" s="9">
        <v>0</v>
      </c>
      <c r="N6751" s="9">
        <v>0</v>
      </c>
      <c r="O6751" s="7"/>
      <c r="P6751" s="7">
        <v>0</v>
      </c>
      <c r="Q6751" s="6">
        <v>7</v>
      </c>
      <c r="R6751" s="9">
        <v>6.2</v>
      </c>
      <c r="S6751" s="8"/>
      <c r="T6751" s="15">
        <v>0</v>
      </c>
      <c r="U6751" s="9">
        <v>0</v>
      </c>
      <c r="V6751" s="9">
        <v>0</v>
      </c>
      <c r="W6751" s="9">
        <v>0</v>
      </c>
      <c r="X6751" s="9">
        <v>0</v>
      </c>
      <c r="Y6751" s="9">
        <v>0</v>
      </c>
      <c r="Z6751" s="9">
        <v>0</v>
      </c>
      <c r="AA6751" s="9">
        <v>0</v>
      </c>
      <c r="AC6751" s="38">
        <v>0</v>
      </c>
    </row>
    <row r="6752" spans="1:29" x14ac:dyDescent="0.25">
      <c r="A6752" s="22">
        <v>45103</v>
      </c>
      <c r="B6752" s="9">
        <v>9</v>
      </c>
      <c r="C6752" s="9">
        <v>2</v>
      </c>
      <c r="D6752" s="7">
        <v>2.9</v>
      </c>
      <c r="E6752" s="7">
        <v>9.1999999999999993</v>
      </c>
      <c r="F6752" s="9">
        <v>7.2</v>
      </c>
      <c r="G6752" s="9">
        <v>3.5</v>
      </c>
      <c r="H6752" s="9">
        <v>4.5</v>
      </c>
      <c r="I6752" s="6">
        <v>0.4</v>
      </c>
      <c r="J6752" s="9">
        <v>2.2999999999999998</v>
      </c>
      <c r="K6752" s="9">
        <v>2.4</v>
      </c>
      <c r="L6752" s="7">
        <v>21.335999999999999</v>
      </c>
      <c r="M6752" s="9">
        <v>2.4</v>
      </c>
      <c r="N6752" s="9">
        <v>3</v>
      </c>
      <c r="O6752" s="7"/>
      <c r="P6752" s="7">
        <v>12</v>
      </c>
      <c r="Q6752" s="6">
        <v>15.4</v>
      </c>
      <c r="R6752" s="9">
        <v>18.100000000000001</v>
      </c>
      <c r="S6752" s="8"/>
      <c r="T6752" s="15">
        <v>0.8</v>
      </c>
      <c r="U6752" s="9">
        <v>5</v>
      </c>
      <c r="V6752" s="9">
        <v>2.2000000000000002</v>
      </c>
      <c r="W6752" s="9">
        <v>2.2000000000000002</v>
      </c>
      <c r="X6752" s="9">
        <v>0</v>
      </c>
      <c r="Y6752" s="9">
        <v>4.2</v>
      </c>
      <c r="Z6752" s="9">
        <v>4</v>
      </c>
      <c r="AA6752" s="9">
        <v>0</v>
      </c>
      <c r="AC6752" s="38">
        <v>0</v>
      </c>
    </row>
    <row r="6753" spans="1:29" x14ac:dyDescent="0.25">
      <c r="A6753" s="22">
        <v>45104</v>
      </c>
      <c r="B6753" s="9">
        <v>13.5</v>
      </c>
      <c r="C6753" s="9">
        <v>23.4</v>
      </c>
      <c r="D6753" s="7">
        <v>22</v>
      </c>
      <c r="E6753" s="7">
        <v>65</v>
      </c>
      <c r="F6753" s="9">
        <v>18.2</v>
      </c>
      <c r="G6753" s="9">
        <v>12.5</v>
      </c>
      <c r="H6753" s="9">
        <v>14.5</v>
      </c>
      <c r="I6753" s="6">
        <v>9.1999999999999993</v>
      </c>
      <c r="J6753" s="9">
        <v>6.7</v>
      </c>
      <c r="K6753" s="9">
        <v>25.2</v>
      </c>
      <c r="L6753" s="7">
        <v>15.747999999999999</v>
      </c>
      <c r="M6753" s="9">
        <v>22.6</v>
      </c>
      <c r="N6753" s="9">
        <v>23.2</v>
      </c>
      <c r="O6753" s="7"/>
      <c r="P6753" s="7">
        <v>28</v>
      </c>
      <c r="Q6753" s="6">
        <v>8.4</v>
      </c>
      <c r="R6753" s="9">
        <v>0</v>
      </c>
      <c r="S6753" s="8"/>
      <c r="T6753" s="15">
        <v>31.4</v>
      </c>
      <c r="U6753" s="9">
        <v>20</v>
      </c>
      <c r="V6753" s="9">
        <v>4.2</v>
      </c>
      <c r="W6753" s="9">
        <v>4.3</v>
      </c>
      <c r="X6753" s="9">
        <v>18</v>
      </c>
      <c r="Y6753" s="9">
        <v>17.399999999999999</v>
      </c>
      <c r="Z6753" s="9">
        <v>16</v>
      </c>
      <c r="AA6753" s="9">
        <v>36</v>
      </c>
      <c r="AC6753" s="38">
        <v>0</v>
      </c>
    </row>
    <row r="6754" spans="1:29" x14ac:dyDescent="0.25">
      <c r="A6754" s="22">
        <v>45105</v>
      </c>
      <c r="B6754" s="9">
        <v>9.5</v>
      </c>
      <c r="C6754" s="9">
        <v>4.8</v>
      </c>
      <c r="D6754" s="7">
        <v>3.2</v>
      </c>
      <c r="E6754" s="7">
        <v>0.4</v>
      </c>
      <c r="F6754" s="9">
        <v>1.4</v>
      </c>
      <c r="G6754" s="9">
        <v>3.5</v>
      </c>
      <c r="H6754" s="9">
        <v>2</v>
      </c>
      <c r="I6754" s="6">
        <v>6.1</v>
      </c>
      <c r="J6754" s="9">
        <v>2.2999999999999998</v>
      </c>
      <c r="K6754" s="9">
        <v>5.8</v>
      </c>
      <c r="L6754" s="7">
        <v>7.1120000000000001</v>
      </c>
      <c r="M6754" s="9">
        <v>12.2</v>
      </c>
      <c r="N6754" s="9">
        <v>0.8</v>
      </c>
      <c r="O6754" s="7"/>
      <c r="P6754" s="7">
        <v>15</v>
      </c>
      <c r="Q6754" s="6">
        <v>4.8</v>
      </c>
      <c r="R6754" s="9">
        <v>0</v>
      </c>
      <c r="S6754" s="8"/>
      <c r="T6754" s="15">
        <v>0</v>
      </c>
      <c r="U6754" s="9">
        <v>8</v>
      </c>
      <c r="V6754" s="9">
        <v>0.2</v>
      </c>
      <c r="W6754" s="9">
        <v>0.3</v>
      </c>
      <c r="X6754" s="9">
        <v>9</v>
      </c>
      <c r="Y6754" s="9">
        <v>2.4</v>
      </c>
      <c r="Z6754" s="9">
        <v>2</v>
      </c>
      <c r="AA6754" s="9">
        <v>2</v>
      </c>
      <c r="AC6754" s="38">
        <v>0</v>
      </c>
    </row>
    <row r="6755" spans="1:29" x14ac:dyDescent="0.25">
      <c r="A6755" s="22">
        <v>45106</v>
      </c>
      <c r="B6755" s="7">
        <v>12</v>
      </c>
      <c r="C6755" s="7">
        <v>19.600000000000001</v>
      </c>
      <c r="D6755" s="7">
        <v>18</v>
      </c>
      <c r="E6755" s="7">
        <v>4.4000000000000004</v>
      </c>
      <c r="F6755" s="9">
        <v>2.6</v>
      </c>
      <c r="G6755" s="7">
        <v>4.2</v>
      </c>
      <c r="H6755" s="7">
        <v>3.5</v>
      </c>
      <c r="I6755" s="9">
        <v>5.2</v>
      </c>
      <c r="J6755" s="7">
        <v>4.2</v>
      </c>
      <c r="K6755" s="7">
        <v>0.8</v>
      </c>
      <c r="L6755" s="7">
        <v>9.6519999999999992</v>
      </c>
      <c r="M6755" s="7">
        <v>8</v>
      </c>
      <c r="N6755" s="10">
        <v>8.1999999999999993</v>
      </c>
      <c r="O6755" s="7"/>
      <c r="P6755" s="7">
        <v>2</v>
      </c>
      <c r="Q6755" s="6">
        <v>0</v>
      </c>
      <c r="R6755" s="7">
        <v>0</v>
      </c>
      <c r="S6755" s="10"/>
      <c r="T6755" s="15">
        <v>4</v>
      </c>
      <c r="U6755" s="7">
        <v>7</v>
      </c>
      <c r="V6755" s="7">
        <v>2.2000000000000002</v>
      </c>
      <c r="W6755" s="7">
        <v>4.3</v>
      </c>
      <c r="X6755" s="7">
        <v>4</v>
      </c>
      <c r="Y6755" s="7">
        <v>2</v>
      </c>
      <c r="Z6755" s="7">
        <v>2</v>
      </c>
      <c r="AA6755" s="7">
        <v>6</v>
      </c>
      <c r="AC6755" s="38">
        <v>0</v>
      </c>
    </row>
    <row r="6756" spans="1:29" x14ac:dyDescent="0.25">
      <c r="A6756" s="22">
        <v>45107</v>
      </c>
      <c r="B6756" s="7">
        <v>0</v>
      </c>
      <c r="C6756" s="7">
        <v>0</v>
      </c>
      <c r="D6756" s="7">
        <v>0</v>
      </c>
      <c r="E6756" s="7">
        <v>0</v>
      </c>
      <c r="F6756" s="9">
        <v>0</v>
      </c>
      <c r="G6756" s="7">
        <v>0</v>
      </c>
      <c r="H6756" s="7">
        <v>0</v>
      </c>
      <c r="I6756" s="9">
        <v>3.1</v>
      </c>
      <c r="J6756" s="7">
        <v>1</v>
      </c>
      <c r="K6756" s="7">
        <v>0</v>
      </c>
      <c r="L6756" s="7">
        <v>0.7619999999999999</v>
      </c>
      <c r="M6756" s="7">
        <v>0.8</v>
      </c>
      <c r="N6756" s="10">
        <v>0.6</v>
      </c>
      <c r="O6756" s="7"/>
      <c r="P6756" s="9">
        <v>0</v>
      </c>
      <c r="Q6756" s="7">
        <v>21.4</v>
      </c>
      <c r="R6756" s="7">
        <v>0</v>
      </c>
      <c r="S6756" s="10"/>
      <c r="T6756" s="15">
        <v>0</v>
      </c>
      <c r="U6756" s="7">
        <v>0</v>
      </c>
      <c r="V6756" s="7">
        <v>0</v>
      </c>
      <c r="W6756" s="7">
        <v>0</v>
      </c>
      <c r="X6756" s="7">
        <v>0</v>
      </c>
      <c r="Y6756" s="7">
        <v>0</v>
      </c>
      <c r="Z6756" s="7">
        <v>0</v>
      </c>
      <c r="AA6756" s="7">
        <v>2</v>
      </c>
      <c r="AC6756" s="38">
        <v>0</v>
      </c>
    </row>
    <row r="6757" spans="1:29" x14ac:dyDescent="0.25">
      <c r="A6757" s="22">
        <v>45108</v>
      </c>
      <c r="B6757" s="9">
        <v>51</v>
      </c>
      <c r="C6757" s="9">
        <v>22.4</v>
      </c>
      <c r="D6757" s="9">
        <v>22</v>
      </c>
      <c r="E6757" s="7">
        <v>31.8</v>
      </c>
      <c r="F6757" s="9">
        <v>16.3</v>
      </c>
      <c r="G6757" s="9">
        <v>34.4</v>
      </c>
      <c r="H6757" s="9">
        <v>23.8</v>
      </c>
      <c r="I6757" s="9">
        <v>30</v>
      </c>
      <c r="J6757" s="9">
        <v>16.7</v>
      </c>
      <c r="K6757" s="9">
        <v>16</v>
      </c>
      <c r="L6757" s="7">
        <v>41</v>
      </c>
      <c r="M6757" s="9">
        <v>35.200000000000003</v>
      </c>
      <c r="N6757" s="9">
        <v>16.8</v>
      </c>
      <c r="O6757" s="7"/>
      <c r="P6757" s="9">
        <v>34</v>
      </c>
      <c r="Q6757" s="9">
        <v>21.4</v>
      </c>
      <c r="R6757" s="9">
        <v>28.9</v>
      </c>
      <c r="S6757" s="8"/>
      <c r="T6757" s="15">
        <v>17.399999999999999</v>
      </c>
      <c r="U6757" s="9">
        <v>15</v>
      </c>
      <c r="V6757" s="9">
        <v>34.200000000000003</v>
      </c>
      <c r="W6757" s="9">
        <v>23.4</v>
      </c>
      <c r="X6757" s="9">
        <v>10</v>
      </c>
      <c r="Y6757" s="9">
        <v>12.8</v>
      </c>
      <c r="Z6757" s="9">
        <v>10.199999999999999</v>
      </c>
      <c r="AA6757" s="9">
        <v>4</v>
      </c>
      <c r="AC6757" s="38">
        <v>0</v>
      </c>
    </row>
    <row r="6758" spans="1:29" x14ac:dyDescent="0.25">
      <c r="A6758" s="22">
        <v>45109</v>
      </c>
      <c r="B6758" s="9">
        <v>11</v>
      </c>
      <c r="C6758" s="9">
        <v>18.399999999999999</v>
      </c>
      <c r="D6758" s="9">
        <v>19.2</v>
      </c>
      <c r="E6758" s="7">
        <v>14</v>
      </c>
      <c r="F6758" s="9">
        <v>10</v>
      </c>
      <c r="G6758" s="9">
        <v>34.4</v>
      </c>
      <c r="H6758" s="9">
        <v>6.5</v>
      </c>
      <c r="I6758" s="9">
        <v>4</v>
      </c>
      <c r="J6758" s="9">
        <v>8.3000000000000007</v>
      </c>
      <c r="K6758" s="9">
        <v>6.8</v>
      </c>
      <c r="L6758" s="7">
        <v>10</v>
      </c>
      <c r="M6758" s="9">
        <v>6.4</v>
      </c>
      <c r="N6758" s="9">
        <v>10.6</v>
      </c>
      <c r="O6758" s="7"/>
      <c r="P6758" s="9">
        <v>15</v>
      </c>
      <c r="Q6758" s="9">
        <v>14.8</v>
      </c>
      <c r="R6758" s="9">
        <v>0</v>
      </c>
      <c r="S6758" s="8"/>
      <c r="T6758" s="15">
        <v>4.4000000000000004</v>
      </c>
      <c r="U6758" s="9">
        <v>5</v>
      </c>
      <c r="V6758" s="9">
        <v>6.3</v>
      </c>
      <c r="W6758" s="9">
        <v>6.1</v>
      </c>
      <c r="X6758" s="9">
        <v>10</v>
      </c>
      <c r="Y6758" s="9">
        <v>0.8</v>
      </c>
      <c r="Z6758" s="9">
        <v>10</v>
      </c>
      <c r="AA6758" s="9">
        <v>0</v>
      </c>
      <c r="AC6758" s="38">
        <v>0</v>
      </c>
    </row>
    <row r="6759" spans="1:29" x14ac:dyDescent="0.25">
      <c r="A6759" s="22">
        <v>45110</v>
      </c>
      <c r="B6759" s="9">
        <v>1.5</v>
      </c>
      <c r="C6759" s="9">
        <v>3.6</v>
      </c>
      <c r="D6759" s="9">
        <v>6.2</v>
      </c>
      <c r="E6759" s="7">
        <v>4.4000000000000004</v>
      </c>
      <c r="F6759" s="9">
        <v>2.2000000000000002</v>
      </c>
      <c r="G6759" s="9">
        <v>10</v>
      </c>
      <c r="H6759" s="9">
        <v>2.5</v>
      </c>
      <c r="I6759" s="9">
        <v>3.4</v>
      </c>
      <c r="J6759" s="9">
        <v>8.1</v>
      </c>
      <c r="K6759" s="9">
        <v>16</v>
      </c>
      <c r="L6759" s="7">
        <v>6</v>
      </c>
      <c r="M6759" s="9">
        <v>4.2</v>
      </c>
      <c r="N6759" s="9">
        <v>20.6</v>
      </c>
      <c r="O6759" s="7"/>
      <c r="P6759" s="9">
        <v>2</v>
      </c>
      <c r="Q6759" s="6">
        <v>3.2</v>
      </c>
      <c r="R6759" s="9">
        <v>4</v>
      </c>
      <c r="S6759" s="8"/>
      <c r="T6759" s="15">
        <v>20.8</v>
      </c>
      <c r="U6759" s="9">
        <v>11.5</v>
      </c>
      <c r="V6759" s="9">
        <v>4.3</v>
      </c>
      <c r="W6759" s="9">
        <v>6.3</v>
      </c>
      <c r="X6759" s="9">
        <v>6</v>
      </c>
      <c r="Y6759" s="9">
        <v>4.8</v>
      </c>
      <c r="Z6759" s="9">
        <v>0</v>
      </c>
      <c r="AA6759" s="9">
        <v>20</v>
      </c>
      <c r="AC6759" s="38">
        <v>0</v>
      </c>
    </row>
    <row r="6760" spans="1:29" x14ac:dyDescent="0.25">
      <c r="A6760" s="22">
        <v>45111</v>
      </c>
      <c r="B6760" s="9">
        <v>14</v>
      </c>
      <c r="C6760" s="9">
        <v>34.799999999999997</v>
      </c>
      <c r="D6760" s="7">
        <v>33.200000000000003</v>
      </c>
      <c r="E6760" s="7">
        <v>76.8</v>
      </c>
      <c r="F6760" s="9">
        <v>30</v>
      </c>
      <c r="G6760" s="9">
        <v>19</v>
      </c>
      <c r="H6760" s="9">
        <v>12.8</v>
      </c>
      <c r="I6760" s="9">
        <v>15.2</v>
      </c>
      <c r="J6760" s="9">
        <v>12.2</v>
      </c>
      <c r="K6760" s="9">
        <v>17</v>
      </c>
      <c r="L6760" s="7">
        <v>5.6</v>
      </c>
      <c r="M6760" s="9">
        <v>22.8</v>
      </c>
      <c r="N6760" s="9">
        <v>46.8</v>
      </c>
      <c r="O6760" s="7"/>
      <c r="P6760" s="9">
        <v>68</v>
      </c>
      <c r="Q6760" s="6">
        <v>12.6</v>
      </c>
      <c r="R6760" s="9">
        <v>10.1</v>
      </c>
      <c r="S6760" s="8"/>
      <c r="T6760" s="15">
        <v>15.2</v>
      </c>
      <c r="U6760" s="9">
        <v>50</v>
      </c>
      <c r="V6760" s="9">
        <v>5.2</v>
      </c>
      <c r="W6760" s="9">
        <v>20.2</v>
      </c>
      <c r="X6760" s="9">
        <v>16</v>
      </c>
      <c r="Y6760" s="9">
        <v>28</v>
      </c>
      <c r="Z6760" s="9">
        <v>30</v>
      </c>
      <c r="AA6760" s="9">
        <v>20</v>
      </c>
      <c r="AC6760" s="38">
        <v>0</v>
      </c>
    </row>
    <row r="6761" spans="1:29" x14ac:dyDescent="0.25">
      <c r="A6761" s="22">
        <v>45112</v>
      </c>
      <c r="B6761" s="9">
        <v>66</v>
      </c>
      <c r="C6761" s="9">
        <v>6.4</v>
      </c>
      <c r="D6761" s="7">
        <v>15.2</v>
      </c>
      <c r="E6761" s="7">
        <v>1.2</v>
      </c>
      <c r="F6761" s="9">
        <v>12</v>
      </c>
      <c r="G6761" s="9">
        <v>37.4</v>
      </c>
      <c r="H6761" s="9">
        <v>30</v>
      </c>
      <c r="I6761" s="9">
        <v>31</v>
      </c>
      <c r="J6761" s="9">
        <v>7.75</v>
      </c>
      <c r="K6761" s="9">
        <v>44.1</v>
      </c>
      <c r="L6761" s="7">
        <v>6</v>
      </c>
      <c r="M6761" s="9">
        <v>36.799999999999997</v>
      </c>
      <c r="N6761" s="9">
        <v>0.2</v>
      </c>
      <c r="O6761" s="7"/>
      <c r="P6761" s="9">
        <v>4</v>
      </c>
      <c r="Q6761" s="6">
        <v>35.799999999999997</v>
      </c>
      <c r="R6761" s="9">
        <v>43.2</v>
      </c>
      <c r="S6761" s="8"/>
      <c r="T6761" s="15">
        <v>7.4</v>
      </c>
      <c r="U6761" s="9">
        <v>0</v>
      </c>
      <c r="V6761" s="9">
        <v>16.3</v>
      </c>
      <c r="W6761" s="9">
        <v>38.299999999999997</v>
      </c>
      <c r="X6761" s="9">
        <v>22</v>
      </c>
      <c r="Y6761" s="9">
        <v>16</v>
      </c>
      <c r="Z6761" s="9">
        <v>14</v>
      </c>
      <c r="AA6761" s="9">
        <v>22</v>
      </c>
      <c r="AC6761" s="38">
        <v>0</v>
      </c>
    </row>
    <row r="6762" spans="1:29" x14ac:dyDescent="0.25">
      <c r="A6762" s="22">
        <v>45113</v>
      </c>
      <c r="B6762" s="9">
        <v>0</v>
      </c>
      <c r="C6762" s="9">
        <v>5</v>
      </c>
      <c r="D6762" s="7">
        <v>1.2</v>
      </c>
      <c r="E6762" s="7">
        <v>6.8</v>
      </c>
      <c r="F6762" s="9">
        <v>0</v>
      </c>
      <c r="G6762" s="9">
        <v>0</v>
      </c>
      <c r="H6762" s="9">
        <v>0</v>
      </c>
      <c r="I6762" s="9">
        <v>0.3</v>
      </c>
      <c r="J6762" s="9">
        <v>1.4</v>
      </c>
      <c r="K6762" s="9">
        <v>1</v>
      </c>
      <c r="L6762" s="7">
        <v>5.8</v>
      </c>
      <c r="M6762" s="9">
        <v>0</v>
      </c>
      <c r="N6762" s="9">
        <v>2.6</v>
      </c>
      <c r="O6762" s="7"/>
      <c r="P6762" s="9">
        <v>6</v>
      </c>
      <c r="Q6762" s="6">
        <v>3.5</v>
      </c>
      <c r="R6762" s="9">
        <v>4</v>
      </c>
      <c r="S6762" s="8"/>
      <c r="T6762" s="15">
        <v>7.6</v>
      </c>
      <c r="U6762" s="9">
        <v>3</v>
      </c>
      <c r="V6762" s="9">
        <v>0</v>
      </c>
      <c r="W6762" s="9">
        <v>0</v>
      </c>
      <c r="X6762" s="9">
        <v>0</v>
      </c>
      <c r="Y6762" s="9">
        <v>0</v>
      </c>
      <c r="Z6762" s="9">
        <v>0</v>
      </c>
      <c r="AA6762" s="9">
        <v>0</v>
      </c>
      <c r="AC6762" s="38">
        <v>0</v>
      </c>
    </row>
    <row r="6763" spans="1:29" x14ac:dyDescent="0.25">
      <c r="A6763" s="22">
        <v>45114</v>
      </c>
      <c r="B6763" s="9">
        <v>0</v>
      </c>
      <c r="C6763" s="9">
        <v>6</v>
      </c>
      <c r="D6763" s="7">
        <v>10</v>
      </c>
      <c r="E6763" s="7">
        <v>8.1999999999999993</v>
      </c>
      <c r="F6763" s="9">
        <v>2.1</v>
      </c>
      <c r="G6763" s="9">
        <v>7</v>
      </c>
      <c r="H6763" s="9">
        <v>3.9</v>
      </c>
      <c r="I6763" s="9">
        <v>9.4</v>
      </c>
      <c r="J6763" s="9">
        <v>2</v>
      </c>
      <c r="K6763" s="9">
        <v>0.6</v>
      </c>
      <c r="L6763" s="7">
        <v>2</v>
      </c>
      <c r="M6763" s="9">
        <v>3.8</v>
      </c>
      <c r="N6763" s="9">
        <v>0.8</v>
      </c>
      <c r="O6763" s="7"/>
      <c r="P6763" s="9">
        <v>2</v>
      </c>
      <c r="Q6763" s="6">
        <v>0.4</v>
      </c>
      <c r="R6763" s="9">
        <v>1</v>
      </c>
      <c r="S6763" s="8"/>
      <c r="T6763" s="15">
        <v>6.4</v>
      </c>
      <c r="U6763" s="9">
        <v>2</v>
      </c>
      <c r="V6763" s="9">
        <v>3.2</v>
      </c>
      <c r="W6763" s="9">
        <v>8.1</v>
      </c>
      <c r="X6763" s="9">
        <v>5</v>
      </c>
      <c r="Y6763" s="9">
        <v>0</v>
      </c>
      <c r="Z6763" s="9">
        <v>2.5</v>
      </c>
      <c r="AA6763" s="9">
        <v>2</v>
      </c>
      <c r="AC6763" s="38">
        <v>0</v>
      </c>
    </row>
    <row r="6764" spans="1:29" x14ac:dyDescent="0.25">
      <c r="A6764" s="22">
        <v>45115</v>
      </c>
      <c r="B6764" s="9">
        <v>0</v>
      </c>
      <c r="C6764" s="9">
        <v>1.2</v>
      </c>
      <c r="D6764" s="7">
        <v>10</v>
      </c>
      <c r="E6764" s="7">
        <v>38.200000000000003</v>
      </c>
      <c r="F6764" s="9">
        <v>0</v>
      </c>
      <c r="G6764" s="9">
        <v>2.4</v>
      </c>
      <c r="H6764" s="9">
        <v>11</v>
      </c>
      <c r="I6764" s="9">
        <v>2.8</v>
      </c>
      <c r="J6764" s="9">
        <v>2.9</v>
      </c>
      <c r="K6764" s="9">
        <v>2.4</v>
      </c>
      <c r="L6764" s="7">
        <v>13.97</v>
      </c>
      <c r="M6764" s="9">
        <v>2.8</v>
      </c>
      <c r="N6764" s="9">
        <v>24.4</v>
      </c>
      <c r="O6764" s="7"/>
      <c r="P6764" s="9">
        <v>0</v>
      </c>
      <c r="Q6764" s="6">
        <v>5.6</v>
      </c>
      <c r="R6764" s="9">
        <v>5</v>
      </c>
      <c r="S6764" s="8"/>
      <c r="T6764" s="15">
        <v>9.1999999999999993</v>
      </c>
      <c r="U6764" s="9">
        <v>7</v>
      </c>
      <c r="V6764" s="9">
        <v>2.2000000000000002</v>
      </c>
      <c r="W6764" s="9">
        <v>2.4</v>
      </c>
      <c r="X6764" s="9">
        <v>4</v>
      </c>
      <c r="Y6764" s="9">
        <v>0</v>
      </c>
      <c r="Z6764" s="9">
        <v>0</v>
      </c>
      <c r="AA6764" s="9">
        <v>14</v>
      </c>
      <c r="AC6764" s="38">
        <v>0</v>
      </c>
    </row>
    <row r="6765" spans="1:29" x14ac:dyDescent="0.25">
      <c r="A6765" s="22">
        <v>45116</v>
      </c>
      <c r="B6765" s="9">
        <v>43.5</v>
      </c>
      <c r="C6765" s="9">
        <v>34</v>
      </c>
      <c r="D6765" s="7">
        <v>31.2</v>
      </c>
      <c r="E6765" s="7">
        <v>12</v>
      </c>
      <c r="F6765" s="9">
        <v>0</v>
      </c>
      <c r="G6765" s="9">
        <v>34.049999999999997</v>
      </c>
      <c r="H6765" s="9">
        <v>22.25</v>
      </c>
      <c r="I6765" s="9">
        <v>20.7</v>
      </c>
      <c r="J6765" s="9">
        <v>31</v>
      </c>
      <c r="K6765" s="9">
        <v>35</v>
      </c>
      <c r="L6765" s="7">
        <v>28.5</v>
      </c>
      <c r="M6765" s="9">
        <v>28.4</v>
      </c>
      <c r="N6765" s="9">
        <v>12.8</v>
      </c>
      <c r="O6765" s="7"/>
      <c r="P6765" s="9">
        <v>19</v>
      </c>
      <c r="Q6765" s="6">
        <v>33</v>
      </c>
      <c r="R6765" s="9">
        <v>27</v>
      </c>
      <c r="S6765" s="8"/>
      <c r="T6765" s="15">
        <v>0</v>
      </c>
      <c r="U6765" s="9">
        <v>35</v>
      </c>
      <c r="V6765" s="9">
        <v>20.100000000000001</v>
      </c>
      <c r="W6765" s="9">
        <v>22.4</v>
      </c>
      <c r="X6765" s="9">
        <v>38</v>
      </c>
      <c r="Y6765" s="9">
        <v>32</v>
      </c>
      <c r="Z6765" s="9">
        <v>36</v>
      </c>
      <c r="AA6765" s="9">
        <v>2</v>
      </c>
      <c r="AC6765" s="38">
        <v>0</v>
      </c>
    </row>
    <row r="6766" spans="1:29" x14ac:dyDescent="0.25">
      <c r="A6766" s="22">
        <v>45117</v>
      </c>
      <c r="B6766" s="9">
        <v>6.5</v>
      </c>
      <c r="C6766" s="9">
        <v>14</v>
      </c>
      <c r="D6766" s="7">
        <v>10.199999999999999</v>
      </c>
      <c r="E6766" s="7">
        <v>28.6</v>
      </c>
      <c r="F6766" s="9">
        <v>13</v>
      </c>
      <c r="G6766" s="9">
        <v>12.2</v>
      </c>
      <c r="H6766" s="9">
        <v>13</v>
      </c>
      <c r="I6766" s="9">
        <v>0.2</v>
      </c>
      <c r="J6766" s="9">
        <v>9</v>
      </c>
      <c r="K6766" s="9">
        <v>0</v>
      </c>
      <c r="L6766" s="7">
        <v>3.8</v>
      </c>
      <c r="M6766" s="9">
        <v>12</v>
      </c>
      <c r="N6766" s="9">
        <v>2</v>
      </c>
      <c r="O6766" s="7"/>
      <c r="P6766" s="9">
        <v>5</v>
      </c>
      <c r="Q6766" s="6">
        <v>5.8</v>
      </c>
      <c r="R6766" s="9">
        <v>6.1</v>
      </c>
      <c r="S6766" s="8"/>
      <c r="T6766" s="15">
        <v>3</v>
      </c>
      <c r="U6766" s="9">
        <v>2</v>
      </c>
      <c r="V6766" s="9">
        <v>4.2</v>
      </c>
      <c r="W6766" s="9">
        <v>10.199999999999999</v>
      </c>
      <c r="X6766" s="9">
        <v>4</v>
      </c>
      <c r="Y6766" s="9">
        <v>8.8000000000000007</v>
      </c>
      <c r="Z6766" s="9">
        <v>8</v>
      </c>
      <c r="AA6766" s="9">
        <v>36</v>
      </c>
      <c r="AC6766" s="38">
        <v>0</v>
      </c>
    </row>
    <row r="6767" spans="1:29" x14ac:dyDescent="0.25">
      <c r="A6767" s="22">
        <v>45118</v>
      </c>
      <c r="B6767" s="9">
        <v>11</v>
      </c>
      <c r="C6767" s="9">
        <v>12.4</v>
      </c>
      <c r="D6767" s="7">
        <v>18</v>
      </c>
      <c r="E6767" s="7">
        <v>12.4</v>
      </c>
      <c r="F6767" s="9">
        <v>15.2</v>
      </c>
      <c r="G6767" s="9">
        <v>15</v>
      </c>
      <c r="H6767" s="9">
        <v>18.8</v>
      </c>
      <c r="I6767" s="6">
        <v>4.5999999999999996</v>
      </c>
      <c r="J6767" s="9">
        <v>18</v>
      </c>
      <c r="K6767" s="9">
        <v>5.8</v>
      </c>
      <c r="L6767" s="7">
        <v>15.24</v>
      </c>
      <c r="M6767" s="9">
        <v>12.6</v>
      </c>
      <c r="N6767" s="9">
        <v>8.8000000000000007</v>
      </c>
      <c r="O6767" s="7"/>
      <c r="P6767" s="7">
        <v>9</v>
      </c>
      <c r="Q6767" s="6">
        <v>20.3</v>
      </c>
      <c r="R6767" s="9">
        <v>21.9</v>
      </c>
      <c r="S6767" s="8"/>
      <c r="T6767" s="15">
        <v>0</v>
      </c>
      <c r="U6767" s="9">
        <v>4</v>
      </c>
      <c r="V6767" s="9">
        <v>5.2</v>
      </c>
      <c r="W6767" s="9">
        <v>10.3</v>
      </c>
      <c r="X6767" s="9">
        <v>6</v>
      </c>
      <c r="Y6767" s="9">
        <v>10.199999999999999</v>
      </c>
      <c r="Z6767" s="9">
        <v>14</v>
      </c>
      <c r="AA6767" s="9">
        <v>6</v>
      </c>
      <c r="AC6767" s="38">
        <v>8</v>
      </c>
    </row>
    <row r="6768" spans="1:29" x14ac:dyDescent="0.25">
      <c r="A6768" s="22">
        <v>45119</v>
      </c>
      <c r="B6768" s="9">
        <v>0</v>
      </c>
      <c r="C6768" s="9">
        <v>0</v>
      </c>
      <c r="D6768" s="7">
        <v>1</v>
      </c>
      <c r="E6768" s="7">
        <v>0.2</v>
      </c>
      <c r="F6768" s="9">
        <v>0</v>
      </c>
      <c r="G6768" s="9">
        <v>1.4</v>
      </c>
      <c r="H6768" s="9">
        <v>0</v>
      </c>
      <c r="I6768" s="6">
        <v>0.1</v>
      </c>
      <c r="J6768" s="9">
        <v>0.5</v>
      </c>
      <c r="K6768" s="9">
        <v>0</v>
      </c>
      <c r="L6768" s="7">
        <v>2</v>
      </c>
      <c r="M6768" s="9">
        <v>0</v>
      </c>
      <c r="N6768" s="9">
        <v>0</v>
      </c>
      <c r="O6768" s="7"/>
      <c r="P6768" s="7">
        <v>0</v>
      </c>
      <c r="Q6768" s="6">
        <v>0</v>
      </c>
      <c r="R6768" s="9">
        <v>0</v>
      </c>
      <c r="S6768" s="8"/>
      <c r="T6768" s="15">
        <v>0</v>
      </c>
      <c r="U6768" s="9">
        <v>0</v>
      </c>
      <c r="V6768" s="9">
        <v>0</v>
      </c>
      <c r="W6768" s="9">
        <v>0</v>
      </c>
      <c r="X6768" s="9">
        <v>3</v>
      </c>
      <c r="Y6768" s="9">
        <v>2</v>
      </c>
      <c r="Z6768" s="9">
        <v>0</v>
      </c>
      <c r="AA6768" s="9">
        <v>0</v>
      </c>
      <c r="AC6768" s="38">
        <v>3</v>
      </c>
    </row>
    <row r="6769" spans="1:29" x14ac:dyDescent="0.25">
      <c r="A6769" s="22">
        <v>45120</v>
      </c>
      <c r="B6769" s="9">
        <v>28</v>
      </c>
      <c r="C6769" s="6">
        <v>7.2</v>
      </c>
      <c r="D6769" s="7">
        <v>10</v>
      </c>
      <c r="E6769" s="7">
        <v>21.8</v>
      </c>
      <c r="F6769" s="9">
        <v>6.4</v>
      </c>
      <c r="G6769" s="9">
        <v>13.5</v>
      </c>
      <c r="H6769" s="9">
        <v>10.5</v>
      </c>
      <c r="I6769" s="6">
        <v>9.3000000000000007</v>
      </c>
      <c r="J6769" s="9">
        <v>7.5</v>
      </c>
      <c r="K6769" s="9">
        <v>7.5</v>
      </c>
      <c r="L6769" s="7">
        <v>19.8</v>
      </c>
      <c r="M6769" s="9">
        <v>0</v>
      </c>
      <c r="N6769" s="9">
        <v>29</v>
      </c>
      <c r="O6769" s="7"/>
      <c r="P6769" s="7">
        <v>10</v>
      </c>
      <c r="Q6769" s="6">
        <v>3.8</v>
      </c>
      <c r="R6769" s="9">
        <v>4</v>
      </c>
      <c r="S6769" s="10"/>
      <c r="T6769" s="15">
        <v>0.8</v>
      </c>
      <c r="U6769" s="9">
        <v>7</v>
      </c>
      <c r="V6769" s="9">
        <v>2.2000000000000002</v>
      </c>
      <c r="W6769" s="9">
        <v>12.3</v>
      </c>
      <c r="X6769" s="9">
        <v>6</v>
      </c>
      <c r="Y6769" s="9">
        <v>6</v>
      </c>
      <c r="Z6769" s="9">
        <v>4.5</v>
      </c>
      <c r="AA6769" s="9">
        <v>8</v>
      </c>
      <c r="AC6769" s="38">
        <v>12</v>
      </c>
    </row>
    <row r="6770" spans="1:29" x14ac:dyDescent="0.25">
      <c r="A6770" s="22">
        <v>45121</v>
      </c>
      <c r="B6770" s="9">
        <v>20</v>
      </c>
      <c r="C6770" s="6">
        <v>25.2</v>
      </c>
      <c r="D6770" s="7">
        <v>29.5</v>
      </c>
      <c r="E6770" s="7">
        <v>22.2</v>
      </c>
      <c r="F6770" s="9">
        <v>28</v>
      </c>
      <c r="G6770" s="9">
        <v>28.5</v>
      </c>
      <c r="H6770" s="9">
        <v>28.8</v>
      </c>
      <c r="I6770" s="6">
        <v>1.4</v>
      </c>
      <c r="J6770" s="9">
        <v>31</v>
      </c>
      <c r="K6770" s="9">
        <v>38.700000000000003</v>
      </c>
      <c r="L6770" s="7">
        <v>18.5</v>
      </c>
      <c r="M6770" s="9">
        <v>36.4</v>
      </c>
      <c r="N6770" s="9">
        <v>28.6</v>
      </c>
      <c r="O6770" s="7"/>
      <c r="P6770" s="7">
        <v>9</v>
      </c>
      <c r="Q6770" s="6">
        <v>15.3</v>
      </c>
      <c r="R6770" s="9">
        <v>13.2</v>
      </c>
      <c r="S6770" s="10"/>
      <c r="T6770" s="15">
        <v>9.1999999999999993</v>
      </c>
      <c r="U6770" s="9">
        <v>10</v>
      </c>
      <c r="V6770" s="9">
        <v>6.3</v>
      </c>
      <c r="W6770" s="9">
        <v>29.3</v>
      </c>
      <c r="X6770" s="9">
        <v>20</v>
      </c>
      <c r="Y6770" s="9">
        <v>14</v>
      </c>
      <c r="Z6770" s="9">
        <v>24</v>
      </c>
      <c r="AA6770" s="9">
        <v>30</v>
      </c>
      <c r="AC6770" s="38">
        <v>14</v>
      </c>
    </row>
    <row r="6771" spans="1:29" x14ac:dyDescent="0.25">
      <c r="A6771" s="22">
        <v>45122</v>
      </c>
      <c r="B6771" s="9">
        <v>137</v>
      </c>
      <c r="C6771" s="6">
        <v>0</v>
      </c>
      <c r="D6771" s="7">
        <v>84.8</v>
      </c>
      <c r="E6771" s="7">
        <v>148.6</v>
      </c>
      <c r="F6771" s="9">
        <v>56</v>
      </c>
      <c r="G6771" s="9">
        <v>88.4</v>
      </c>
      <c r="H6771" s="9">
        <v>28.8</v>
      </c>
      <c r="I6771" s="6">
        <v>36.5</v>
      </c>
      <c r="J6771" s="9">
        <v>109.8</v>
      </c>
      <c r="K6771" s="9">
        <v>94.2</v>
      </c>
      <c r="L6771" s="7">
        <v>106</v>
      </c>
      <c r="M6771" s="9">
        <v>76.400000000000006</v>
      </c>
      <c r="N6771" s="9">
        <v>111.6</v>
      </c>
      <c r="O6771" s="7"/>
      <c r="P6771" s="7">
        <v>87</v>
      </c>
      <c r="Q6771" s="6">
        <v>64</v>
      </c>
      <c r="R6771" s="9">
        <v>60.2</v>
      </c>
      <c r="S6771" s="10"/>
      <c r="T6771" s="15">
        <v>15.8</v>
      </c>
      <c r="U6771" s="9">
        <v>138</v>
      </c>
      <c r="V6771" s="9">
        <v>60.5</v>
      </c>
      <c r="W6771" s="9">
        <v>80.5</v>
      </c>
      <c r="X6771" s="9">
        <v>83</v>
      </c>
      <c r="Y6771" s="9">
        <v>52</v>
      </c>
      <c r="Z6771" s="9">
        <v>58</v>
      </c>
      <c r="AA6771" s="9">
        <v>10</v>
      </c>
      <c r="AC6771" s="38">
        <v>52</v>
      </c>
    </row>
    <row r="6772" spans="1:29" x14ac:dyDescent="0.25">
      <c r="A6772" s="22">
        <v>45123</v>
      </c>
      <c r="B6772" s="9">
        <v>0</v>
      </c>
      <c r="C6772" s="6">
        <v>64</v>
      </c>
      <c r="D6772" s="7">
        <v>78.8</v>
      </c>
      <c r="E6772" s="7">
        <v>0.8</v>
      </c>
      <c r="F6772" s="9">
        <v>33.299999999999997</v>
      </c>
      <c r="G6772" s="9">
        <v>20.5</v>
      </c>
      <c r="H6772" s="9">
        <v>29.5</v>
      </c>
      <c r="I6772" s="6">
        <v>41.6</v>
      </c>
      <c r="J6772" s="9">
        <v>26</v>
      </c>
      <c r="K6772" s="9">
        <v>32.200000000000003</v>
      </c>
      <c r="L6772" s="7">
        <v>2.8</v>
      </c>
      <c r="M6772" s="9">
        <v>22.8</v>
      </c>
      <c r="N6772" s="9">
        <v>0</v>
      </c>
      <c r="O6772" s="7"/>
      <c r="P6772" s="7">
        <v>30</v>
      </c>
      <c r="Q6772" s="6">
        <v>75</v>
      </c>
      <c r="R6772" s="9">
        <v>86.4</v>
      </c>
      <c r="S6772" s="10"/>
      <c r="T6772" s="15">
        <v>0</v>
      </c>
      <c r="U6772" s="9">
        <v>75</v>
      </c>
      <c r="V6772" s="9">
        <v>10.4</v>
      </c>
      <c r="W6772" s="9">
        <v>12.4</v>
      </c>
      <c r="X6772" s="9">
        <v>50</v>
      </c>
      <c r="Y6772" s="9">
        <v>25</v>
      </c>
      <c r="Z6772" s="9">
        <v>86</v>
      </c>
      <c r="AA6772" s="9">
        <v>156</v>
      </c>
      <c r="AC6772" s="38">
        <v>0</v>
      </c>
    </row>
    <row r="6773" spans="1:29" x14ac:dyDescent="0.25">
      <c r="A6773" s="22">
        <v>45124</v>
      </c>
      <c r="B6773" s="9">
        <v>0</v>
      </c>
      <c r="C6773" s="9">
        <v>12</v>
      </c>
      <c r="D6773" s="7">
        <v>10</v>
      </c>
      <c r="E6773" s="7">
        <v>1.2</v>
      </c>
      <c r="F6773" s="9">
        <v>0</v>
      </c>
      <c r="G6773" s="9">
        <v>3.36</v>
      </c>
      <c r="H6773" s="9">
        <v>0</v>
      </c>
      <c r="I6773" s="6">
        <v>0.2</v>
      </c>
      <c r="J6773" s="9">
        <v>1.2</v>
      </c>
      <c r="K6773" s="9">
        <v>0.5</v>
      </c>
      <c r="L6773" s="7">
        <v>2.8</v>
      </c>
      <c r="M6773" s="9">
        <v>0</v>
      </c>
      <c r="N6773" s="9">
        <v>5</v>
      </c>
      <c r="O6773" s="7"/>
      <c r="P6773" s="7">
        <v>1</v>
      </c>
      <c r="Q6773" s="6">
        <v>5</v>
      </c>
      <c r="R6773" s="9">
        <v>2</v>
      </c>
      <c r="S6773" s="10"/>
      <c r="T6773" s="15">
        <v>1.4</v>
      </c>
      <c r="U6773" s="9">
        <v>5</v>
      </c>
      <c r="V6773" s="9">
        <v>3.2</v>
      </c>
      <c r="W6773" s="9">
        <v>0</v>
      </c>
      <c r="X6773" s="9">
        <v>2</v>
      </c>
      <c r="Y6773" s="9">
        <v>44</v>
      </c>
      <c r="Z6773" s="9">
        <v>0</v>
      </c>
      <c r="AA6773" s="9">
        <v>0</v>
      </c>
      <c r="AC6773" s="38">
        <v>1</v>
      </c>
    </row>
    <row r="6774" spans="1:29" x14ac:dyDescent="0.25">
      <c r="A6774" s="22">
        <v>45125</v>
      </c>
      <c r="B6774" s="9">
        <v>1.1000000000000001</v>
      </c>
      <c r="C6774" s="9">
        <v>5.6</v>
      </c>
      <c r="D6774" s="7">
        <v>10</v>
      </c>
      <c r="E6774" s="7">
        <v>2.2000000000000002</v>
      </c>
      <c r="F6774" s="9">
        <v>4</v>
      </c>
      <c r="G6774" s="9">
        <v>11</v>
      </c>
      <c r="H6774" s="9">
        <v>10</v>
      </c>
      <c r="I6774" s="6">
        <v>9.1999999999999993</v>
      </c>
      <c r="J6774" s="9">
        <v>12.3</v>
      </c>
      <c r="K6774" s="9">
        <v>10</v>
      </c>
      <c r="L6774" s="7">
        <v>2.2999999999999998</v>
      </c>
      <c r="M6774" s="9">
        <v>10.4</v>
      </c>
      <c r="N6774" s="9">
        <v>8.4</v>
      </c>
      <c r="O6774" s="7"/>
      <c r="P6774" s="7">
        <v>1</v>
      </c>
      <c r="Q6774" s="6">
        <v>4</v>
      </c>
      <c r="R6774" s="9">
        <v>7.9</v>
      </c>
      <c r="S6774" s="10"/>
      <c r="T6774" s="15">
        <v>5.8</v>
      </c>
      <c r="U6774" s="9">
        <v>4</v>
      </c>
      <c r="V6774" s="9">
        <v>3.2</v>
      </c>
      <c r="W6774" s="9">
        <v>0</v>
      </c>
      <c r="X6774" s="9">
        <v>3</v>
      </c>
      <c r="Y6774" s="9">
        <v>0</v>
      </c>
      <c r="Z6774" s="9">
        <v>0</v>
      </c>
      <c r="AA6774" s="9">
        <v>4</v>
      </c>
      <c r="AC6774" s="38">
        <v>8</v>
      </c>
    </row>
    <row r="6775" spans="1:29" x14ac:dyDescent="0.25">
      <c r="A6775" s="22">
        <v>45126</v>
      </c>
      <c r="B6775" s="9">
        <v>8</v>
      </c>
      <c r="C6775" s="9">
        <v>20</v>
      </c>
      <c r="D6775" s="7">
        <v>0</v>
      </c>
      <c r="E6775" s="7">
        <v>8.4</v>
      </c>
      <c r="F6775" s="9">
        <v>3.2</v>
      </c>
      <c r="G6775" s="9">
        <v>14</v>
      </c>
      <c r="H6775" s="9">
        <v>3</v>
      </c>
      <c r="I6775" s="6">
        <v>5.4</v>
      </c>
      <c r="J6775" s="9">
        <v>8</v>
      </c>
      <c r="K6775" s="9">
        <v>8</v>
      </c>
      <c r="L6775" s="7">
        <v>3.3</v>
      </c>
      <c r="M6775" s="9">
        <v>10.6</v>
      </c>
      <c r="N6775" s="9">
        <v>1.2</v>
      </c>
      <c r="O6775" s="7"/>
      <c r="P6775" s="7">
        <v>1</v>
      </c>
      <c r="Q6775" s="6">
        <v>9</v>
      </c>
      <c r="R6775" s="9">
        <v>16</v>
      </c>
      <c r="S6775" s="10"/>
      <c r="T6775" s="15">
        <v>0</v>
      </c>
      <c r="U6775" s="9">
        <v>9</v>
      </c>
      <c r="V6775" s="9">
        <v>5.3</v>
      </c>
      <c r="W6775" s="9">
        <v>8.1999999999999993</v>
      </c>
      <c r="X6775" s="9">
        <v>6</v>
      </c>
      <c r="Y6775" s="9">
        <v>2.6</v>
      </c>
      <c r="Z6775" s="9">
        <v>1.2</v>
      </c>
      <c r="AA6775" s="9">
        <v>0</v>
      </c>
      <c r="AC6775" s="38">
        <v>5</v>
      </c>
    </row>
    <row r="6776" spans="1:29" x14ac:dyDescent="0.25">
      <c r="A6776" s="22">
        <v>45127</v>
      </c>
      <c r="B6776" s="9">
        <v>2</v>
      </c>
      <c r="C6776" s="9">
        <v>2.2000000000000002</v>
      </c>
      <c r="D6776" s="7">
        <v>3.6</v>
      </c>
      <c r="E6776" s="7">
        <v>0</v>
      </c>
      <c r="F6776" s="9">
        <v>0</v>
      </c>
      <c r="G6776" s="9">
        <v>0</v>
      </c>
      <c r="H6776" s="9">
        <v>0</v>
      </c>
      <c r="I6776" s="6">
        <v>3.2</v>
      </c>
      <c r="J6776" s="9">
        <v>0</v>
      </c>
      <c r="K6776" s="9">
        <v>0</v>
      </c>
      <c r="L6776" s="7">
        <v>0</v>
      </c>
      <c r="M6776" s="9">
        <v>0</v>
      </c>
      <c r="N6776" s="9">
        <v>0</v>
      </c>
      <c r="O6776" s="7"/>
      <c r="P6776" s="7">
        <v>0</v>
      </c>
      <c r="Q6776" s="6">
        <v>0</v>
      </c>
      <c r="R6776" s="9">
        <v>0</v>
      </c>
      <c r="S6776" s="10"/>
      <c r="T6776" s="15">
        <v>0</v>
      </c>
      <c r="U6776" s="9">
        <v>0</v>
      </c>
      <c r="V6776" s="9">
        <v>0</v>
      </c>
      <c r="W6776" s="9">
        <v>0</v>
      </c>
      <c r="X6776" s="9">
        <v>0</v>
      </c>
      <c r="Y6776" s="9">
        <v>0</v>
      </c>
      <c r="Z6776" s="9">
        <v>2</v>
      </c>
      <c r="AA6776" s="9">
        <v>0</v>
      </c>
      <c r="AC6776" s="38">
        <v>0</v>
      </c>
    </row>
    <row r="6777" spans="1:29" x14ac:dyDescent="0.25">
      <c r="A6777" s="22">
        <v>45128</v>
      </c>
      <c r="B6777" s="9">
        <v>0</v>
      </c>
      <c r="C6777" s="9">
        <v>0</v>
      </c>
      <c r="D6777" s="7">
        <v>0</v>
      </c>
      <c r="E6777" s="7">
        <v>0</v>
      </c>
      <c r="F6777" s="9">
        <v>0</v>
      </c>
      <c r="G6777" s="9">
        <v>0.8</v>
      </c>
      <c r="H6777" s="9">
        <v>0</v>
      </c>
      <c r="I6777" s="6">
        <v>0</v>
      </c>
      <c r="J6777" s="9">
        <v>0</v>
      </c>
      <c r="K6777" s="9">
        <v>0</v>
      </c>
      <c r="L6777" s="7">
        <v>0</v>
      </c>
      <c r="M6777" s="9">
        <v>0.8</v>
      </c>
      <c r="N6777" s="9">
        <v>0.2</v>
      </c>
      <c r="O6777" s="7"/>
      <c r="P6777" s="7">
        <v>0</v>
      </c>
      <c r="Q6777" s="6">
        <v>0</v>
      </c>
      <c r="R6777" s="9">
        <v>0</v>
      </c>
      <c r="S6777" s="10"/>
      <c r="T6777" s="15">
        <v>0</v>
      </c>
      <c r="U6777" s="9">
        <v>1</v>
      </c>
      <c r="V6777" s="9">
        <v>0</v>
      </c>
      <c r="W6777" s="9">
        <v>0</v>
      </c>
      <c r="X6777" s="9">
        <v>0</v>
      </c>
      <c r="Y6777" s="9">
        <v>0</v>
      </c>
      <c r="Z6777" s="9">
        <v>0</v>
      </c>
      <c r="AA6777" s="9">
        <v>0</v>
      </c>
      <c r="AC6777" s="38">
        <v>0</v>
      </c>
    </row>
    <row r="6778" spans="1:29" x14ac:dyDescent="0.25">
      <c r="A6778" s="22">
        <v>45129</v>
      </c>
      <c r="B6778" s="9">
        <v>0</v>
      </c>
      <c r="C6778" s="9">
        <v>0</v>
      </c>
      <c r="D6778" s="7">
        <v>0</v>
      </c>
      <c r="E6778" s="7">
        <v>0</v>
      </c>
      <c r="F6778" s="9">
        <v>0</v>
      </c>
      <c r="G6778" s="9">
        <v>0</v>
      </c>
      <c r="H6778" s="9">
        <v>1</v>
      </c>
      <c r="I6778" s="6">
        <v>0</v>
      </c>
      <c r="J6778" s="9">
        <v>0</v>
      </c>
      <c r="K6778" s="9">
        <v>0.2</v>
      </c>
      <c r="L6778" s="7">
        <v>0</v>
      </c>
      <c r="M6778" s="9">
        <v>0</v>
      </c>
      <c r="N6778" s="9">
        <v>0.4</v>
      </c>
      <c r="O6778" s="7"/>
      <c r="P6778" s="7">
        <v>0</v>
      </c>
      <c r="Q6778" s="6">
        <v>0</v>
      </c>
      <c r="R6778" s="9">
        <v>0</v>
      </c>
      <c r="S6778" s="10"/>
      <c r="T6778" s="15">
        <v>0</v>
      </c>
      <c r="U6778" s="9">
        <v>0</v>
      </c>
      <c r="V6778" s="9">
        <v>0</v>
      </c>
      <c r="W6778" s="9">
        <v>0</v>
      </c>
      <c r="X6778" s="9">
        <v>0</v>
      </c>
      <c r="Y6778" s="9">
        <v>0</v>
      </c>
      <c r="Z6778" s="9">
        <v>0</v>
      </c>
      <c r="AA6778" s="9">
        <v>0</v>
      </c>
      <c r="AC6778" s="38">
        <v>0</v>
      </c>
    </row>
    <row r="6779" spans="1:29" x14ac:dyDescent="0.25">
      <c r="A6779" s="22">
        <v>45130</v>
      </c>
      <c r="B6779" s="9">
        <v>0</v>
      </c>
      <c r="C6779" s="9">
        <v>0</v>
      </c>
      <c r="D6779" s="7">
        <v>0</v>
      </c>
      <c r="E6779" s="7">
        <v>0</v>
      </c>
      <c r="F6779" s="9">
        <v>0</v>
      </c>
      <c r="G6779" s="9">
        <v>0</v>
      </c>
      <c r="H6779" s="9">
        <v>0</v>
      </c>
      <c r="I6779" s="6">
        <v>0</v>
      </c>
      <c r="J6779" s="9">
        <v>1</v>
      </c>
      <c r="K6779" s="9">
        <v>1.5</v>
      </c>
      <c r="L6779" s="7">
        <v>0</v>
      </c>
      <c r="M6779" s="9">
        <v>0</v>
      </c>
      <c r="N6779" s="9">
        <v>5.4</v>
      </c>
      <c r="O6779" s="7"/>
      <c r="P6779" s="7">
        <v>0</v>
      </c>
      <c r="Q6779" s="6">
        <v>0</v>
      </c>
      <c r="R6779" s="9">
        <v>4.5</v>
      </c>
      <c r="S6779" s="8"/>
      <c r="T6779" s="15">
        <v>0.8</v>
      </c>
      <c r="U6779" s="9">
        <v>0</v>
      </c>
      <c r="V6779" s="9">
        <v>0</v>
      </c>
      <c r="W6779" s="9">
        <v>0</v>
      </c>
      <c r="X6779" s="9">
        <v>0</v>
      </c>
      <c r="Y6779" s="9">
        <v>0</v>
      </c>
      <c r="Z6779" s="9">
        <v>0</v>
      </c>
      <c r="AA6779" s="9">
        <v>0</v>
      </c>
      <c r="AC6779" s="38">
        <v>2</v>
      </c>
    </row>
    <row r="6780" spans="1:29" x14ac:dyDescent="0.25">
      <c r="A6780" s="22">
        <v>45131</v>
      </c>
      <c r="B6780" s="9">
        <v>5.5</v>
      </c>
      <c r="C6780" s="9">
        <v>4</v>
      </c>
      <c r="D6780" s="7">
        <v>4.4000000000000004</v>
      </c>
      <c r="E6780" s="7">
        <v>39.799999999999997</v>
      </c>
      <c r="F6780" s="9">
        <v>6.4</v>
      </c>
      <c r="G6780" s="9">
        <v>8</v>
      </c>
      <c r="H6780" s="9">
        <v>5.2</v>
      </c>
      <c r="I6780" s="6">
        <v>4</v>
      </c>
      <c r="J6780" s="9">
        <v>13</v>
      </c>
      <c r="K6780" s="9">
        <v>8.1999999999999993</v>
      </c>
      <c r="L6780" s="7">
        <v>4</v>
      </c>
      <c r="M6780" s="9">
        <v>2.4</v>
      </c>
      <c r="N6780" s="9">
        <v>37</v>
      </c>
      <c r="O6780" s="7"/>
      <c r="P6780" s="7">
        <v>4</v>
      </c>
      <c r="Q6780" s="6">
        <v>5.8</v>
      </c>
      <c r="R6780" s="9">
        <v>4.5</v>
      </c>
      <c r="S6780" s="8"/>
      <c r="T6780" s="15">
        <v>46.8</v>
      </c>
      <c r="U6780" s="9">
        <v>8</v>
      </c>
      <c r="V6780" s="9">
        <v>6.3</v>
      </c>
      <c r="W6780" s="9">
        <v>6.2</v>
      </c>
      <c r="X6780" s="9">
        <v>0</v>
      </c>
      <c r="Y6780" s="9">
        <v>9</v>
      </c>
      <c r="Z6780" s="9">
        <v>2</v>
      </c>
      <c r="AA6780" s="9">
        <v>4</v>
      </c>
      <c r="AC6780" s="38">
        <v>28</v>
      </c>
    </row>
    <row r="6781" spans="1:29" x14ac:dyDescent="0.25">
      <c r="A6781" s="22">
        <v>45132</v>
      </c>
      <c r="B6781" s="9">
        <v>23</v>
      </c>
      <c r="C6781" s="9">
        <v>31.6</v>
      </c>
      <c r="D6781" s="7">
        <v>40</v>
      </c>
      <c r="E6781" s="7">
        <v>8.8000000000000007</v>
      </c>
      <c r="F6781" s="9">
        <v>45.2</v>
      </c>
      <c r="G6781" s="9">
        <v>36.5</v>
      </c>
      <c r="H6781" s="9">
        <v>40.9</v>
      </c>
      <c r="I6781" s="6">
        <v>34.9</v>
      </c>
      <c r="J6781" s="9">
        <v>40.700000000000003</v>
      </c>
      <c r="K6781" s="9">
        <v>40.799999999999997</v>
      </c>
      <c r="L6781" s="7">
        <v>12.9</v>
      </c>
      <c r="M6781" s="9">
        <v>38.799999999999997</v>
      </c>
      <c r="N6781" s="9">
        <v>26.2</v>
      </c>
      <c r="O6781" s="7"/>
      <c r="P6781" s="7">
        <v>12</v>
      </c>
      <c r="Q6781" s="6">
        <v>29.4</v>
      </c>
      <c r="R6781" s="9">
        <v>26.2</v>
      </c>
      <c r="S6781" s="8"/>
      <c r="T6781" s="15">
        <v>16.399999999999999</v>
      </c>
      <c r="U6781" s="9">
        <v>50</v>
      </c>
      <c r="V6781" s="9">
        <v>12.4</v>
      </c>
      <c r="W6781" s="9">
        <v>28.2</v>
      </c>
      <c r="X6781" s="9">
        <v>18</v>
      </c>
      <c r="Y6781" s="9">
        <v>51.2</v>
      </c>
      <c r="Z6781" s="9">
        <v>38</v>
      </c>
      <c r="AA6781" s="9">
        <v>0</v>
      </c>
      <c r="AC6781" s="38">
        <v>4</v>
      </c>
    </row>
    <row r="6782" spans="1:29" x14ac:dyDescent="0.25">
      <c r="A6782" s="22">
        <v>45133</v>
      </c>
      <c r="B6782" s="9">
        <v>0</v>
      </c>
      <c r="C6782" s="9">
        <v>6</v>
      </c>
      <c r="D6782" s="7">
        <v>5.6</v>
      </c>
      <c r="E6782" s="7">
        <v>2</v>
      </c>
      <c r="F6782" s="9">
        <v>0</v>
      </c>
      <c r="G6782" s="9">
        <v>5.5</v>
      </c>
      <c r="H6782" s="9">
        <v>0.4</v>
      </c>
      <c r="I6782" s="6">
        <v>1.9</v>
      </c>
      <c r="J6782" s="9">
        <v>4.5</v>
      </c>
      <c r="K6782" s="9">
        <v>0.2</v>
      </c>
      <c r="L6782" s="7">
        <v>9.4</v>
      </c>
      <c r="M6782" s="9">
        <v>2.6</v>
      </c>
      <c r="N6782" s="9">
        <v>14</v>
      </c>
      <c r="O6782" s="7"/>
      <c r="P6782" s="7">
        <v>10</v>
      </c>
      <c r="Q6782" s="6">
        <v>1</v>
      </c>
      <c r="R6782" s="9">
        <v>0</v>
      </c>
      <c r="S6782" s="8"/>
      <c r="T6782" s="15">
        <v>0.2</v>
      </c>
      <c r="U6782" s="9">
        <v>2</v>
      </c>
      <c r="V6782" s="9">
        <v>10.199999999999999</v>
      </c>
      <c r="W6782" s="9">
        <v>6.3</v>
      </c>
      <c r="X6782" s="9">
        <v>2</v>
      </c>
      <c r="Y6782" s="9">
        <v>2</v>
      </c>
      <c r="Z6782" s="9">
        <v>0</v>
      </c>
      <c r="AA6782" s="9">
        <v>0</v>
      </c>
      <c r="AC6782" s="38">
        <v>1</v>
      </c>
    </row>
    <row r="6783" spans="1:29" x14ac:dyDescent="0.25">
      <c r="A6783" s="22">
        <v>45134</v>
      </c>
      <c r="B6783" s="9">
        <v>4</v>
      </c>
      <c r="C6783" s="9">
        <v>1.6</v>
      </c>
      <c r="D6783" s="7">
        <v>6</v>
      </c>
      <c r="E6783" s="7">
        <v>0</v>
      </c>
      <c r="F6783" s="9">
        <v>0</v>
      </c>
      <c r="G6783" s="9">
        <v>0.2</v>
      </c>
      <c r="H6783" s="9">
        <v>0</v>
      </c>
      <c r="I6783" s="6">
        <v>0</v>
      </c>
      <c r="J6783" s="9">
        <v>3.8</v>
      </c>
      <c r="K6783" s="9">
        <v>8.1999999999999993</v>
      </c>
      <c r="L6783" s="7">
        <v>1</v>
      </c>
      <c r="M6783" s="9">
        <v>0</v>
      </c>
      <c r="N6783" s="9">
        <v>2.2000000000000002</v>
      </c>
      <c r="O6783" s="7"/>
      <c r="P6783" s="7">
        <v>0</v>
      </c>
      <c r="Q6783" s="6">
        <v>0</v>
      </c>
      <c r="R6783" s="9">
        <v>0</v>
      </c>
      <c r="S6783" s="8"/>
      <c r="T6783" s="15">
        <v>0</v>
      </c>
      <c r="U6783" s="9">
        <v>0</v>
      </c>
      <c r="V6783" s="9">
        <v>0</v>
      </c>
      <c r="W6783" s="9">
        <v>0.2</v>
      </c>
      <c r="X6783" s="9">
        <v>2</v>
      </c>
      <c r="Y6783" s="9">
        <v>0</v>
      </c>
      <c r="Z6783" s="9">
        <v>0</v>
      </c>
      <c r="AA6783" s="9">
        <v>0</v>
      </c>
      <c r="AC6783" s="38">
        <v>2</v>
      </c>
    </row>
    <row r="6784" spans="1:29" x14ac:dyDescent="0.25">
      <c r="A6784" s="22">
        <v>45135</v>
      </c>
      <c r="B6784" s="9">
        <v>0</v>
      </c>
      <c r="C6784" s="9">
        <v>6.8</v>
      </c>
      <c r="D6784" s="7">
        <v>12</v>
      </c>
      <c r="E6784" s="7">
        <v>4.5999999999999996</v>
      </c>
      <c r="F6784" s="9">
        <v>0</v>
      </c>
      <c r="G6784" s="9">
        <v>4.5999999999999996</v>
      </c>
      <c r="H6784" s="9">
        <v>0</v>
      </c>
      <c r="I6784" s="6">
        <v>9.6</v>
      </c>
      <c r="J6784" s="9">
        <v>7</v>
      </c>
      <c r="K6784" s="9">
        <v>10.199999999999999</v>
      </c>
      <c r="L6784" s="7">
        <v>0</v>
      </c>
      <c r="M6784" s="9">
        <v>2</v>
      </c>
      <c r="N6784" s="9">
        <v>8.1999999999999993</v>
      </c>
      <c r="O6784" s="7"/>
      <c r="P6784" s="7">
        <v>1</v>
      </c>
      <c r="Q6784" s="6">
        <v>3.2</v>
      </c>
      <c r="R6784" s="9">
        <v>6.1</v>
      </c>
      <c r="S6784" s="8"/>
      <c r="T6784" s="15">
        <v>8.4</v>
      </c>
      <c r="U6784" s="9">
        <v>5</v>
      </c>
      <c r="V6784" s="9">
        <v>8.1999999999999993</v>
      </c>
      <c r="W6784" s="9">
        <v>10.199999999999999</v>
      </c>
      <c r="X6784" s="9">
        <v>0</v>
      </c>
      <c r="Y6784" s="9">
        <v>2</v>
      </c>
      <c r="Z6784" s="9">
        <v>4</v>
      </c>
      <c r="AA6784" s="9">
        <v>8</v>
      </c>
      <c r="AC6784" s="38">
        <v>3</v>
      </c>
    </row>
    <row r="6785" spans="1:29" x14ac:dyDescent="0.25">
      <c r="A6785" s="22">
        <v>45136</v>
      </c>
      <c r="B6785" s="7">
        <v>0</v>
      </c>
      <c r="C6785" s="7">
        <v>6.8</v>
      </c>
      <c r="D6785" s="7">
        <v>10.8</v>
      </c>
      <c r="E6785" s="7">
        <v>16.2</v>
      </c>
      <c r="F6785" s="9">
        <v>3.2</v>
      </c>
      <c r="G6785" s="7">
        <v>4.5999999999999996</v>
      </c>
      <c r="H6785" s="7">
        <v>1.9</v>
      </c>
      <c r="I6785" s="9">
        <v>4.0999999999999996</v>
      </c>
      <c r="J6785" s="7">
        <v>2.2000000000000002</v>
      </c>
      <c r="K6785" s="7">
        <v>4.2</v>
      </c>
      <c r="L6785" s="7">
        <v>13.2</v>
      </c>
      <c r="M6785" s="7">
        <v>0.2</v>
      </c>
      <c r="N6785" s="10">
        <v>8.6</v>
      </c>
      <c r="O6785" s="7"/>
      <c r="P6785" s="7">
        <v>12</v>
      </c>
      <c r="Q6785" s="6">
        <v>4.2</v>
      </c>
      <c r="R6785" s="7">
        <v>4.0999999999999996</v>
      </c>
      <c r="S6785" s="10"/>
      <c r="T6785" s="15">
        <v>58.6</v>
      </c>
      <c r="U6785" s="7">
        <v>6</v>
      </c>
      <c r="V6785" s="7">
        <v>3.2</v>
      </c>
      <c r="W6785" s="7">
        <v>2.4</v>
      </c>
      <c r="X6785" s="7">
        <v>0</v>
      </c>
      <c r="Y6785" s="7">
        <v>2</v>
      </c>
      <c r="Z6785" s="7">
        <v>1</v>
      </c>
      <c r="AA6785" s="7">
        <v>0</v>
      </c>
      <c r="AC6785" s="38">
        <v>12</v>
      </c>
    </row>
    <row r="6786" spans="1:29" x14ac:dyDescent="0.25">
      <c r="A6786" s="22">
        <v>45137</v>
      </c>
      <c r="B6786" s="7">
        <v>15</v>
      </c>
      <c r="C6786" s="7">
        <v>22</v>
      </c>
      <c r="D6786" s="7">
        <v>28</v>
      </c>
      <c r="E6786" s="7">
        <v>18.399999999999999</v>
      </c>
      <c r="F6786" s="9">
        <v>49</v>
      </c>
      <c r="G6786" s="7">
        <v>49.4</v>
      </c>
      <c r="H6786" s="7">
        <v>60.4</v>
      </c>
      <c r="I6786" s="9">
        <v>50</v>
      </c>
      <c r="J6786" s="7">
        <v>54</v>
      </c>
      <c r="K6786" s="7">
        <v>54.5</v>
      </c>
      <c r="L6786" s="7">
        <v>13</v>
      </c>
      <c r="M6786" s="7">
        <v>60.4</v>
      </c>
      <c r="N6786" s="10">
        <v>54.4</v>
      </c>
      <c r="O6786" s="7"/>
      <c r="P6786" s="9">
        <v>12</v>
      </c>
      <c r="Q6786" s="7">
        <v>25</v>
      </c>
      <c r="R6786" s="7">
        <v>23</v>
      </c>
      <c r="S6786" s="10"/>
      <c r="T6786" s="15">
        <v>13.2</v>
      </c>
      <c r="U6786" s="7">
        <v>50</v>
      </c>
      <c r="V6786" s="7">
        <v>20.399999999999999</v>
      </c>
      <c r="W6786" s="7">
        <v>46.1</v>
      </c>
      <c r="X6786" s="7">
        <v>44</v>
      </c>
      <c r="Y6786" s="7">
        <v>0</v>
      </c>
      <c r="Z6786" s="7">
        <v>44</v>
      </c>
      <c r="AA6786" s="7">
        <v>56</v>
      </c>
      <c r="AC6786" s="38">
        <v>18</v>
      </c>
    </row>
    <row r="6787" spans="1:29" x14ac:dyDescent="0.25">
      <c r="A6787" s="22">
        <v>45138</v>
      </c>
      <c r="B6787" s="7">
        <v>0</v>
      </c>
      <c r="C6787" s="7">
        <v>2</v>
      </c>
      <c r="D6787" s="7">
        <v>0</v>
      </c>
      <c r="E6787" s="7">
        <v>0.4</v>
      </c>
      <c r="F6787" s="9">
        <v>0</v>
      </c>
      <c r="G6787" s="7">
        <v>0</v>
      </c>
      <c r="H6787" s="7">
        <v>0</v>
      </c>
      <c r="I6787" s="7">
        <v>0</v>
      </c>
      <c r="J6787" s="7">
        <v>1</v>
      </c>
      <c r="K6787" s="7">
        <v>0</v>
      </c>
      <c r="L6787" s="7">
        <v>0</v>
      </c>
      <c r="M6787" s="7">
        <v>0</v>
      </c>
      <c r="N6787" s="10">
        <v>0</v>
      </c>
      <c r="O6787" s="7"/>
      <c r="P6787" s="7">
        <v>0</v>
      </c>
      <c r="Q6787" s="7">
        <v>0</v>
      </c>
      <c r="R6787" s="7">
        <v>0</v>
      </c>
      <c r="S6787" s="10"/>
      <c r="T6787" s="15">
        <v>0</v>
      </c>
      <c r="U6787" s="7">
        <v>0</v>
      </c>
      <c r="V6787" s="7">
        <v>0</v>
      </c>
      <c r="W6787" s="7">
        <v>0</v>
      </c>
      <c r="X6787" s="7">
        <v>1</v>
      </c>
      <c r="Y6787" s="7">
        <v>0</v>
      </c>
      <c r="Z6787" s="7">
        <v>1</v>
      </c>
      <c r="AA6787" s="7">
        <v>0</v>
      </c>
      <c r="AC6787" s="38">
        <v>0</v>
      </c>
    </row>
    <row r="6788" spans="1:29" x14ac:dyDescent="0.25">
      <c r="A6788" s="22">
        <v>45139</v>
      </c>
      <c r="B6788" s="9">
        <v>0</v>
      </c>
      <c r="C6788" s="9">
        <v>0</v>
      </c>
      <c r="D6788" s="9">
        <v>0</v>
      </c>
      <c r="E6788" s="7">
        <v>0</v>
      </c>
      <c r="F6788" s="9">
        <v>0</v>
      </c>
      <c r="G6788" s="9">
        <v>0</v>
      </c>
      <c r="H6788" s="9">
        <v>0</v>
      </c>
      <c r="I6788" s="9">
        <v>0</v>
      </c>
      <c r="J6788" s="9">
        <v>0</v>
      </c>
      <c r="K6788" s="9">
        <v>0</v>
      </c>
      <c r="L6788" s="9">
        <v>0</v>
      </c>
      <c r="M6788" s="9">
        <v>0</v>
      </c>
      <c r="N6788" s="9">
        <v>0</v>
      </c>
      <c r="O6788" s="7"/>
      <c r="P6788" s="9">
        <v>0</v>
      </c>
      <c r="Q6788" s="9">
        <v>0</v>
      </c>
      <c r="R6788" s="9">
        <v>0</v>
      </c>
      <c r="S6788" s="8"/>
      <c r="T6788" s="15">
        <v>0</v>
      </c>
      <c r="U6788" s="9">
        <v>0</v>
      </c>
      <c r="V6788" s="9">
        <v>0</v>
      </c>
      <c r="W6788" s="9">
        <v>0</v>
      </c>
      <c r="X6788" s="9">
        <v>0</v>
      </c>
      <c r="Y6788" s="9">
        <v>0</v>
      </c>
      <c r="Z6788" s="9">
        <v>0</v>
      </c>
      <c r="AA6788" s="9">
        <v>0</v>
      </c>
      <c r="AC6788" s="38">
        <v>0</v>
      </c>
    </row>
    <row r="6789" spans="1:29" x14ac:dyDescent="0.25">
      <c r="A6789" s="22">
        <v>45140</v>
      </c>
      <c r="B6789" s="9">
        <v>0</v>
      </c>
      <c r="C6789" s="9">
        <v>0</v>
      </c>
      <c r="D6789" s="9">
        <v>0</v>
      </c>
      <c r="E6789" s="7">
        <v>0.2</v>
      </c>
      <c r="F6789" s="9">
        <v>0.2</v>
      </c>
      <c r="G6789" s="9">
        <v>0.5</v>
      </c>
      <c r="H6789" s="9">
        <v>2.1</v>
      </c>
      <c r="I6789" s="9">
        <v>0.1</v>
      </c>
      <c r="J6789" s="9">
        <v>0</v>
      </c>
      <c r="K6789" s="9">
        <v>0</v>
      </c>
      <c r="L6789" s="9">
        <v>0</v>
      </c>
      <c r="M6789" s="9">
        <v>1.5</v>
      </c>
      <c r="N6789" s="9">
        <v>0</v>
      </c>
      <c r="O6789" s="7"/>
      <c r="P6789" s="9">
        <v>0</v>
      </c>
      <c r="Q6789" s="6">
        <v>6.5</v>
      </c>
      <c r="R6789" s="9">
        <v>0</v>
      </c>
      <c r="S6789" s="8"/>
      <c r="T6789" s="15">
        <v>0</v>
      </c>
      <c r="U6789" s="9">
        <v>0</v>
      </c>
      <c r="V6789" s="9">
        <v>0</v>
      </c>
      <c r="W6789" s="9">
        <v>0</v>
      </c>
      <c r="X6789" s="9">
        <v>0</v>
      </c>
      <c r="Y6789" s="9">
        <v>2.4</v>
      </c>
      <c r="Z6789" s="9">
        <v>1.6</v>
      </c>
      <c r="AA6789" s="9">
        <v>0</v>
      </c>
      <c r="AC6789" s="38">
        <v>3</v>
      </c>
    </row>
    <row r="6790" spans="1:29" x14ac:dyDescent="0.25">
      <c r="A6790" s="22">
        <v>45141</v>
      </c>
      <c r="B6790" s="9">
        <v>6</v>
      </c>
      <c r="C6790" s="9">
        <v>8.8000000000000007</v>
      </c>
      <c r="D6790" s="9">
        <v>6</v>
      </c>
      <c r="E6790" s="7">
        <v>22.4</v>
      </c>
      <c r="F6790" s="9">
        <v>4</v>
      </c>
      <c r="G6790" s="9">
        <v>13</v>
      </c>
      <c r="H6790" s="9">
        <v>7.1</v>
      </c>
      <c r="I6790" s="9">
        <v>12</v>
      </c>
      <c r="J6790" s="9">
        <v>30.1</v>
      </c>
      <c r="K6790" s="9">
        <v>21</v>
      </c>
      <c r="L6790" s="9">
        <v>0</v>
      </c>
      <c r="M6790" s="9">
        <v>5.8</v>
      </c>
      <c r="N6790" s="9">
        <v>22.2</v>
      </c>
      <c r="O6790" s="7"/>
      <c r="P6790" s="9">
        <v>16</v>
      </c>
      <c r="Q6790" s="6">
        <v>6.4</v>
      </c>
      <c r="R6790" s="9">
        <v>7.1</v>
      </c>
      <c r="S6790" s="8"/>
      <c r="T6790" s="15">
        <v>0</v>
      </c>
      <c r="U6790" s="9">
        <v>5</v>
      </c>
      <c r="V6790" s="9">
        <v>10.5</v>
      </c>
      <c r="W6790" s="9">
        <v>24.1</v>
      </c>
      <c r="X6790" s="9">
        <v>10</v>
      </c>
      <c r="Y6790" s="9">
        <v>6</v>
      </c>
      <c r="Z6790" s="9">
        <v>8</v>
      </c>
      <c r="AA6790" s="9">
        <v>20</v>
      </c>
      <c r="AC6790" s="38">
        <v>0</v>
      </c>
    </row>
    <row r="6791" spans="1:29" x14ac:dyDescent="0.25">
      <c r="A6791" s="22">
        <v>45142</v>
      </c>
      <c r="B6791" s="9">
        <v>10</v>
      </c>
      <c r="C6791" s="9">
        <v>6.4</v>
      </c>
      <c r="D6791" s="9">
        <v>6.4</v>
      </c>
      <c r="E6791" s="7">
        <v>16.2</v>
      </c>
      <c r="F6791" s="9">
        <v>0.6</v>
      </c>
      <c r="G6791" s="9">
        <v>4</v>
      </c>
      <c r="H6791" s="9">
        <v>4</v>
      </c>
      <c r="I6791" s="9">
        <v>10.6</v>
      </c>
      <c r="J6791" s="9">
        <v>6.2</v>
      </c>
      <c r="K6791" s="9">
        <v>8</v>
      </c>
      <c r="L6791" s="9">
        <v>4.5999999999999996</v>
      </c>
      <c r="M6791" s="9">
        <v>4</v>
      </c>
      <c r="N6791" s="9">
        <v>6.2</v>
      </c>
      <c r="O6791" s="7"/>
      <c r="P6791" s="9">
        <v>2</v>
      </c>
      <c r="Q6791" s="6">
        <v>2.5</v>
      </c>
      <c r="R6791" s="9">
        <v>6.1</v>
      </c>
      <c r="S6791" s="8"/>
      <c r="T6791" s="15">
        <v>0</v>
      </c>
      <c r="U6791" s="9">
        <v>0</v>
      </c>
      <c r="V6791" s="9">
        <v>4.2</v>
      </c>
      <c r="W6791" s="9">
        <v>6.3</v>
      </c>
      <c r="X6791" s="9">
        <v>0</v>
      </c>
      <c r="Y6791" s="9">
        <v>0</v>
      </c>
      <c r="Z6791" s="9">
        <v>0</v>
      </c>
      <c r="AA6791" s="9">
        <v>0</v>
      </c>
      <c r="AC6791" s="38">
        <v>1</v>
      </c>
    </row>
    <row r="6792" spans="1:29" x14ac:dyDescent="0.25">
      <c r="A6792" s="22">
        <v>45143</v>
      </c>
      <c r="B6792" s="9">
        <v>5</v>
      </c>
      <c r="C6792" s="9">
        <v>20</v>
      </c>
      <c r="D6792" s="9">
        <v>9</v>
      </c>
      <c r="E6792" s="7">
        <v>0</v>
      </c>
      <c r="F6792" s="9">
        <v>0</v>
      </c>
      <c r="G6792" s="9">
        <v>4</v>
      </c>
      <c r="H6792" s="9">
        <v>2.2999999999999998</v>
      </c>
      <c r="I6792" s="9">
        <v>6</v>
      </c>
      <c r="J6792" s="9">
        <v>2.7</v>
      </c>
      <c r="K6792" s="9">
        <v>7</v>
      </c>
      <c r="L6792" s="9">
        <v>10.199999999999999</v>
      </c>
      <c r="M6792" s="9">
        <v>5.2</v>
      </c>
      <c r="N6792" s="9">
        <v>2</v>
      </c>
      <c r="O6792" s="7"/>
      <c r="P6792" s="9">
        <v>12</v>
      </c>
      <c r="Q6792" s="6">
        <v>0</v>
      </c>
      <c r="R6792" s="9">
        <v>0</v>
      </c>
      <c r="S6792" s="8"/>
      <c r="T6792" s="15">
        <v>0</v>
      </c>
      <c r="U6792" s="9">
        <v>0</v>
      </c>
      <c r="V6792" s="9">
        <v>2.2000000000000002</v>
      </c>
      <c r="W6792" s="9">
        <v>2.4</v>
      </c>
      <c r="X6792" s="9">
        <v>0</v>
      </c>
      <c r="Y6792" s="9">
        <v>0</v>
      </c>
      <c r="Z6792" s="9">
        <v>0</v>
      </c>
      <c r="AA6792" s="9">
        <v>0</v>
      </c>
      <c r="AC6792" s="38">
        <v>0</v>
      </c>
    </row>
    <row r="6793" spans="1:29" x14ac:dyDescent="0.25">
      <c r="A6793" s="22">
        <v>45144</v>
      </c>
      <c r="B6793" s="9">
        <v>3.5</v>
      </c>
      <c r="C6793" s="9">
        <v>0</v>
      </c>
      <c r="D6793" s="9">
        <v>0</v>
      </c>
      <c r="E6793" s="7">
        <v>0</v>
      </c>
      <c r="F6793" s="9">
        <v>10.4</v>
      </c>
      <c r="G6793" s="9">
        <v>0</v>
      </c>
      <c r="H6793" s="9">
        <v>4.4000000000000004</v>
      </c>
      <c r="I6793" s="9">
        <v>0.2</v>
      </c>
      <c r="J6793" s="9">
        <v>1.2</v>
      </c>
      <c r="K6793" s="9">
        <v>1</v>
      </c>
      <c r="L6793" s="9">
        <v>0</v>
      </c>
      <c r="M6793" s="9">
        <v>2.2000000000000002</v>
      </c>
      <c r="N6793" s="9">
        <v>3.4</v>
      </c>
      <c r="O6793" s="7"/>
      <c r="P6793" s="9">
        <v>0</v>
      </c>
      <c r="Q6793" s="6">
        <v>2.2000000000000002</v>
      </c>
      <c r="R6793" s="9">
        <v>0</v>
      </c>
      <c r="S6793" s="8"/>
      <c r="T6793" s="15">
        <v>0</v>
      </c>
      <c r="U6793" s="9">
        <v>2</v>
      </c>
      <c r="V6793" s="9">
        <v>0</v>
      </c>
      <c r="W6793" s="9">
        <v>2.1</v>
      </c>
      <c r="X6793" s="9">
        <v>0</v>
      </c>
      <c r="Y6793" s="9">
        <v>2</v>
      </c>
      <c r="Z6793" s="9">
        <v>6</v>
      </c>
      <c r="AA6793" s="9">
        <v>0</v>
      </c>
      <c r="AC6793" s="38">
        <v>0</v>
      </c>
    </row>
    <row r="6794" spans="1:29" x14ac:dyDescent="0.25">
      <c r="A6794" s="22">
        <v>45145</v>
      </c>
      <c r="B6794" s="9">
        <v>4</v>
      </c>
      <c r="C6794" s="9">
        <v>0</v>
      </c>
      <c r="D6794" s="9">
        <v>2</v>
      </c>
      <c r="E6794" s="7">
        <v>0.8</v>
      </c>
      <c r="F6794" s="9">
        <v>0</v>
      </c>
      <c r="G6794" s="9">
        <v>0</v>
      </c>
      <c r="H6794" s="9">
        <v>0</v>
      </c>
      <c r="I6794" s="9">
        <v>0.1</v>
      </c>
      <c r="J6794" s="9">
        <v>4.2</v>
      </c>
      <c r="K6794" s="9">
        <v>4.4000000000000004</v>
      </c>
      <c r="L6794" s="9">
        <v>0</v>
      </c>
      <c r="M6794" s="9">
        <v>1.5</v>
      </c>
      <c r="N6794" s="9">
        <v>0</v>
      </c>
      <c r="O6794" s="7"/>
      <c r="P6794" s="9">
        <v>7</v>
      </c>
      <c r="Q6794" s="6">
        <v>0</v>
      </c>
      <c r="R6794" s="9">
        <v>0</v>
      </c>
      <c r="S6794" s="8"/>
      <c r="T6794" s="15">
        <v>9.6</v>
      </c>
      <c r="U6794" s="9">
        <v>15</v>
      </c>
      <c r="V6794" s="9">
        <v>0</v>
      </c>
      <c r="W6794" s="9">
        <v>0</v>
      </c>
      <c r="X6794" s="9">
        <v>0</v>
      </c>
      <c r="Y6794" s="9">
        <v>0</v>
      </c>
      <c r="Z6794" s="9">
        <v>0</v>
      </c>
      <c r="AA6794" s="9">
        <v>0</v>
      </c>
      <c r="AC6794" s="38">
        <v>0</v>
      </c>
    </row>
    <row r="6795" spans="1:29" x14ac:dyDescent="0.25">
      <c r="A6795" s="22">
        <v>45146</v>
      </c>
      <c r="B6795" s="9">
        <v>0</v>
      </c>
      <c r="C6795" s="9">
        <v>0</v>
      </c>
      <c r="D6795" s="9">
        <v>0</v>
      </c>
      <c r="E6795" s="7">
        <v>4.8</v>
      </c>
      <c r="F6795" s="9">
        <v>0.8</v>
      </c>
      <c r="G6795" s="9">
        <v>0</v>
      </c>
      <c r="H6795" s="9">
        <v>0</v>
      </c>
      <c r="I6795" s="9">
        <v>0</v>
      </c>
      <c r="J6795" s="9">
        <v>0</v>
      </c>
      <c r="K6795" s="9">
        <v>0</v>
      </c>
      <c r="L6795" s="9">
        <v>0</v>
      </c>
      <c r="M6795" s="9">
        <v>0.2</v>
      </c>
      <c r="N6795" s="9">
        <v>1.2</v>
      </c>
      <c r="O6795" s="7"/>
      <c r="P6795" s="9">
        <v>0</v>
      </c>
      <c r="Q6795" s="6">
        <v>0</v>
      </c>
      <c r="R6795" s="9">
        <v>0</v>
      </c>
      <c r="S6795" s="8"/>
      <c r="T6795" s="15">
        <v>0</v>
      </c>
      <c r="U6795" s="9">
        <v>0</v>
      </c>
      <c r="V6795" s="9">
        <v>0</v>
      </c>
      <c r="W6795" s="9">
        <v>0</v>
      </c>
      <c r="X6795" s="9">
        <v>0</v>
      </c>
      <c r="Y6795" s="9">
        <v>0</v>
      </c>
      <c r="Z6795" s="9">
        <v>0</v>
      </c>
      <c r="AA6795" s="9">
        <v>0</v>
      </c>
      <c r="AC6795" s="38">
        <v>1</v>
      </c>
    </row>
    <row r="6796" spans="1:29" x14ac:dyDescent="0.25">
      <c r="A6796" s="22">
        <v>45147</v>
      </c>
      <c r="B6796" s="9">
        <v>52</v>
      </c>
      <c r="C6796" s="9">
        <v>12.8</v>
      </c>
      <c r="D6796" s="9">
        <v>22.4</v>
      </c>
      <c r="E6796" s="7">
        <v>79.599999999999994</v>
      </c>
      <c r="F6796" s="9">
        <v>15.2</v>
      </c>
      <c r="G6796" s="9">
        <v>13.3</v>
      </c>
      <c r="H6796" s="9">
        <v>7</v>
      </c>
      <c r="I6796" s="9">
        <v>6.4</v>
      </c>
      <c r="J6796" s="9">
        <v>30.2</v>
      </c>
      <c r="K6796" s="9">
        <v>26</v>
      </c>
      <c r="L6796" s="9">
        <v>0</v>
      </c>
      <c r="M6796" s="9">
        <v>6.2</v>
      </c>
      <c r="N6796" s="9">
        <v>31.4</v>
      </c>
      <c r="O6796" s="7"/>
      <c r="P6796" s="9">
        <v>24</v>
      </c>
      <c r="Q6796" s="6">
        <v>58</v>
      </c>
      <c r="R6796" s="9">
        <v>39</v>
      </c>
      <c r="S6796" s="8"/>
      <c r="T6796" s="15">
        <v>37.799999999999997</v>
      </c>
      <c r="U6796" s="9">
        <v>0</v>
      </c>
      <c r="V6796" s="9">
        <v>15.2</v>
      </c>
      <c r="W6796" s="9">
        <v>12.2</v>
      </c>
      <c r="X6796" s="9">
        <v>0</v>
      </c>
      <c r="Y6796" s="9">
        <v>14</v>
      </c>
      <c r="Z6796" s="9">
        <v>14.5</v>
      </c>
      <c r="AA6796" s="9">
        <v>8</v>
      </c>
      <c r="AC6796" s="38">
        <v>46</v>
      </c>
    </row>
    <row r="6797" spans="1:29" x14ac:dyDescent="0.25">
      <c r="A6797" s="22">
        <v>45148</v>
      </c>
      <c r="B6797" s="9">
        <v>10</v>
      </c>
      <c r="C6797" s="9">
        <v>48.8</v>
      </c>
      <c r="D6797" s="9">
        <v>36</v>
      </c>
      <c r="E6797" s="7">
        <v>0</v>
      </c>
      <c r="F6797" s="9">
        <v>0</v>
      </c>
      <c r="G6797" s="9">
        <v>19.5</v>
      </c>
      <c r="H6797" s="9">
        <v>9.1</v>
      </c>
      <c r="I6797" s="9">
        <v>6.4</v>
      </c>
      <c r="J6797" s="9">
        <v>25</v>
      </c>
      <c r="K6797" s="9">
        <v>30</v>
      </c>
      <c r="L6797" s="9">
        <v>53.8</v>
      </c>
      <c r="M6797" s="9">
        <v>14.4</v>
      </c>
      <c r="N6797" s="9">
        <v>1</v>
      </c>
      <c r="O6797" s="7"/>
      <c r="P6797" s="9">
        <v>18</v>
      </c>
      <c r="Q6797" s="6">
        <v>0</v>
      </c>
      <c r="R6797" s="9">
        <v>0</v>
      </c>
      <c r="S6797" s="8"/>
      <c r="T6797" s="15">
        <v>0</v>
      </c>
      <c r="U6797" s="9">
        <v>34</v>
      </c>
      <c r="V6797" s="9">
        <v>10.3</v>
      </c>
      <c r="W6797" s="9">
        <v>26.1</v>
      </c>
      <c r="X6797" s="9">
        <v>36</v>
      </c>
      <c r="Y6797" s="9">
        <v>7.4</v>
      </c>
      <c r="Z6797" s="9">
        <v>5.5</v>
      </c>
      <c r="AA6797" s="9">
        <v>30</v>
      </c>
      <c r="AC6797" s="38">
        <v>3</v>
      </c>
    </row>
    <row r="6798" spans="1:29" x14ac:dyDescent="0.25">
      <c r="A6798" s="22">
        <v>45149</v>
      </c>
      <c r="B6798" s="9">
        <v>3</v>
      </c>
      <c r="C6798" s="9">
        <v>4.8</v>
      </c>
      <c r="D6798" s="9">
        <v>4</v>
      </c>
      <c r="E6798" s="7">
        <v>2</v>
      </c>
      <c r="F6798" s="9">
        <v>0</v>
      </c>
      <c r="G6798" s="9">
        <v>0</v>
      </c>
      <c r="H6798" s="9">
        <v>0</v>
      </c>
      <c r="I6798" s="9">
        <v>0.1</v>
      </c>
      <c r="J6798" s="9">
        <v>1.6</v>
      </c>
      <c r="K6798" s="9">
        <v>2</v>
      </c>
      <c r="L6798" s="9">
        <v>4.5999999999999996</v>
      </c>
      <c r="M6798" s="9">
        <v>1</v>
      </c>
      <c r="N6798" s="9">
        <v>0.8</v>
      </c>
      <c r="O6798" s="7"/>
      <c r="P6798" s="9">
        <v>2</v>
      </c>
      <c r="Q6798" s="6">
        <v>7.5</v>
      </c>
      <c r="R6798" s="9">
        <v>0</v>
      </c>
      <c r="S6798" s="8"/>
      <c r="T6798" s="15">
        <v>0</v>
      </c>
      <c r="U6798" s="9">
        <v>0</v>
      </c>
      <c r="V6798" s="9">
        <v>2.2000000000000002</v>
      </c>
      <c r="W6798" s="9">
        <v>0.3</v>
      </c>
      <c r="X6798" s="9">
        <v>0</v>
      </c>
      <c r="Y6798" s="9">
        <v>0</v>
      </c>
      <c r="Z6798" s="9">
        <v>2</v>
      </c>
      <c r="AA6798" s="9">
        <v>0</v>
      </c>
      <c r="AC6798" s="38">
        <v>0</v>
      </c>
    </row>
    <row r="6799" spans="1:29" x14ac:dyDescent="0.25">
      <c r="A6799" s="22">
        <v>45150</v>
      </c>
      <c r="B6799" s="9">
        <v>26</v>
      </c>
      <c r="C6799" s="9">
        <v>5.2</v>
      </c>
      <c r="D6799" s="9">
        <v>4</v>
      </c>
      <c r="E6799" s="7">
        <v>24.4</v>
      </c>
      <c r="F6799" s="9">
        <v>17.2</v>
      </c>
      <c r="G6799" s="9">
        <v>11.7</v>
      </c>
      <c r="H6799" s="9">
        <v>17.899999999999999</v>
      </c>
      <c r="I6799" s="9">
        <v>11.4</v>
      </c>
      <c r="J6799" s="9">
        <v>10.5</v>
      </c>
      <c r="K6799" s="9">
        <v>12.1</v>
      </c>
      <c r="L6799" s="9">
        <v>9</v>
      </c>
      <c r="M6799" s="9">
        <v>18.5</v>
      </c>
      <c r="N6799" s="9">
        <v>11.2</v>
      </c>
      <c r="O6799" s="7"/>
      <c r="P6799" s="9">
        <v>6</v>
      </c>
      <c r="Q6799" s="6">
        <v>16.5</v>
      </c>
      <c r="R6799" s="9">
        <v>8</v>
      </c>
      <c r="S6799" s="8"/>
      <c r="T6799" s="15">
        <v>9.1999999999999993</v>
      </c>
      <c r="U6799" s="9">
        <v>12</v>
      </c>
      <c r="V6799" s="9">
        <v>4.2</v>
      </c>
      <c r="W6799" s="9">
        <v>8.4</v>
      </c>
      <c r="X6799" s="9"/>
      <c r="Y6799" s="9">
        <v>8.8000000000000007</v>
      </c>
      <c r="Z6799" s="9">
        <v>6.5</v>
      </c>
      <c r="AA6799" s="9">
        <v>0</v>
      </c>
      <c r="AC6799" s="38">
        <v>1</v>
      </c>
    </row>
    <row r="6800" spans="1:29" x14ac:dyDescent="0.25">
      <c r="A6800" s="22">
        <v>45151</v>
      </c>
      <c r="B6800" s="9">
        <v>30</v>
      </c>
      <c r="C6800" s="6">
        <v>23</v>
      </c>
      <c r="D6800" s="9">
        <v>24.8</v>
      </c>
      <c r="E6800" s="7">
        <v>30.8</v>
      </c>
      <c r="F6800" s="9">
        <v>22.4</v>
      </c>
      <c r="G6800" s="9">
        <v>24.5</v>
      </c>
      <c r="H6800" s="9">
        <v>19</v>
      </c>
      <c r="I6800" s="9">
        <v>16.8</v>
      </c>
      <c r="J6800" s="9">
        <v>21</v>
      </c>
      <c r="K6800" s="9">
        <v>30.4</v>
      </c>
      <c r="L6800" s="9">
        <v>33.5</v>
      </c>
      <c r="M6800" s="9">
        <v>22.4</v>
      </c>
      <c r="N6800" s="9">
        <v>24.8</v>
      </c>
      <c r="O6800" s="7"/>
      <c r="P6800" s="9">
        <v>32</v>
      </c>
      <c r="Q6800" s="6">
        <v>12.2</v>
      </c>
      <c r="R6800" s="9">
        <v>0</v>
      </c>
      <c r="S6800" s="10"/>
      <c r="T6800" s="15">
        <v>4.4000000000000004</v>
      </c>
      <c r="U6800" s="9">
        <v>0</v>
      </c>
      <c r="V6800" s="9">
        <v>14.2</v>
      </c>
      <c r="W6800" s="9">
        <v>18.3</v>
      </c>
      <c r="X6800" s="9">
        <v>12</v>
      </c>
      <c r="Y6800" s="9">
        <v>14</v>
      </c>
      <c r="Z6800" s="9">
        <v>16</v>
      </c>
      <c r="AA6800" s="9">
        <v>32</v>
      </c>
      <c r="AC6800" s="38">
        <v>21</v>
      </c>
    </row>
    <row r="6801" spans="1:29" x14ac:dyDescent="0.25">
      <c r="A6801" s="22">
        <v>45152</v>
      </c>
      <c r="B6801" s="9">
        <v>8</v>
      </c>
      <c r="C6801" s="6">
        <v>20</v>
      </c>
      <c r="D6801" s="9">
        <v>22.4</v>
      </c>
      <c r="E6801" s="7">
        <v>4.2</v>
      </c>
      <c r="F6801" s="9">
        <v>3.4</v>
      </c>
      <c r="G6801" s="9">
        <v>11</v>
      </c>
      <c r="H6801" s="9">
        <v>6</v>
      </c>
      <c r="I6801" s="9">
        <v>12</v>
      </c>
      <c r="J6801" s="9">
        <v>16.100000000000001</v>
      </c>
      <c r="K6801" s="9">
        <v>24</v>
      </c>
      <c r="L6801" s="9">
        <v>5.3</v>
      </c>
      <c r="M6801" s="9">
        <v>8.1999999999999993</v>
      </c>
      <c r="N6801" s="9">
        <v>14</v>
      </c>
      <c r="O6801" s="7"/>
      <c r="P6801" s="9">
        <v>4</v>
      </c>
      <c r="Q6801" s="6">
        <v>2.8</v>
      </c>
      <c r="R6801" s="9">
        <v>0</v>
      </c>
      <c r="S6801" s="10"/>
      <c r="T6801" s="15">
        <v>2</v>
      </c>
      <c r="U6801" s="9">
        <v>40</v>
      </c>
      <c r="V6801" s="9">
        <v>4.3</v>
      </c>
      <c r="W6801" s="9">
        <v>6.3</v>
      </c>
      <c r="X6801" s="9">
        <v>12</v>
      </c>
      <c r="Y6801" s="9">
        <v>7.8</v>
      </c>
      <c r="Z6801" s="9">
        <v>10.199999999999999</v>
      </c>
      <c r="AA6801" s="9">
        <v>18</v>
      </c>
      <c r="AC6801" s="38">
        <v>0</v>
      </c>
    </row>
    <row r="6802" spans="1:29" x14ac:dyDescent="0.25">
      <c r="A6802" s="22">
        <v>45153</v>
      </c>
      <c r="B6802" s="9">
        <v>5</v>
      </c>
      <c r="C6802" s="6">
        <v>4</v>
      </c>
      <c r="D6802" s="9">
        <v>5.2</v>
      </c>
      <c r="E6802" s="7">
        <v>13.8</v>
      </c>
      <c r="F6802" s="9">
        <v>6.8</v>
      </c>
      <c r="G6802" s="9">
        <v>7</v>
      </c>
      <c r="H6802" s="9">
        <v>4</v>
      </c>
      <c r="I6802" s="9">
        <v>6</v>
      </c>
      <c r="J6802" s="9">
        <v>2.4</v>
      </c>
      <c r="K6802" s="9">
        <v>2.4</v>
      </c>
      <c r="L6802" s="9">
        <v>1.27</v>
      </c>
      <c r="M6802" s="9">
        <v>7</v>
      </c>
      <c r="N6802" s="9">
        <v>0.6</v>
      </c>
      <c r="O6802" s="7"/>
      <c r="P6802" s="9">
        <v>0</v>
      </c>
      <c r="Q6802" s="6">
        <v>10.1</v>
      </c>
      <c r="R6802" s="9">
        <v>0</v>
      </c>
      <c r="S6802" s="10"/>
      <c r="T6802" s="15">
        <v>1.2</v>
      </c>
      <c r="U6802" s="9">
        <v>0</v>
      </c>
      <c r="V6802" s="9">
        <v>2.2000000000000002</v>
      </c>
      <c r="W6802" s="9">
        <v>4.4000000000000004</v>
      </c>
      <c r="X6802" s="9">
        <v>4.4000000000000004</v>
      </c>
      <c r="Y6802" s="9">
        <v>4</v>
      </c>
      <c r="Z6802" s="9">
        <v>4.5</v>
      </c>
      <c r="AA6802" s="9">
        <v>6</v>
      </c>
      <c r="AC6802" s="38">
        <v>4</v>
      </c>
    </row>
    <row r="6803" spans="1:29" x14ac:dyDescent="0.25">
      <c r="A6803" s="22">
        <v>45154</v>
      </c>
      <c r="B6803" s="9">
        <v>17.5</v>
      </c>
      <c r="C6803" s="6">
        <v>21.6</v>
      </c>
      <c r="D6803" s="9">
        <v>10</v>
      </c>
      <c r="E6803" s="7">
        <v>8.1999999999999993</v>
      </c>
      <c r="F6803" s="9">
        <v>15.2</v>
      </c>
      <c r="G6803" s="9">
        <v>6</v>
      </c>
      <c r="H6803" s="9">
        <v>6</v>
      </c>
      <c r="I6803" s="9">
        <v>7.2</v>
      </c>
      <c r="J6803" s="9">
        <v>4.2</v>
      </c>
      <c r="K6803" s="9">
        <v>2.1</v>
      </c>
      <c r="L6803" s="9">
        <v>10.9</v>
      </c>
      <c r="M6803" s="9">
        <v>7</v>
      </c>
      <c r="N6803" s="9">
        <v>14.8</v>
      </c>
      <c r="O6803" s="7"/>
      <c r="P6803" s="9">
        <v>6</v>
      </c>
      <c r="Q6803" s="6">
        <v>16</v>
      </c>
      <c r="R6803" s="9">
        <v>39.1</v>
      </c>
      <c r="S6803" s="10"/>
      <c r="T6803" s="15">
        <v>32.4</v>
      </c>
      <c r="U6803" s="9">
        <v>5</v>
      </c>
      <c r="V6803" s="9">
        <v>6.2</v>
      </c>
      <c r="W6803" s="9">
        <v>6.2</v>
      </c>
      <c r="X6803" s="9">
        <v>0</v>
      </c>
      <c r="Y6803" s="9">
        <v>6.6</v>
      </c>
      <c r="Z6803" s="9">
        <v>6.2</v>
      </c>
      <c r="AA6803" s="9">
        <v>20</v>
      </c>
      <c r="AC6803" s="38">
        <v>22</v>
      </c>
    </row>
    <row r="6804" spans="1:29" x14ac:dyDescent="0.25">
      <c r="A6804" s="22">
        <v>45155</v>
      </c>
      <c r="B6804" s="9">
        <v>35.5</v>
      </c>
      <c r="C6804" s="9">
        <v>23</v>
      </c>
      <c r="D6804" s="9">
        <v>53.1</v>
      </c>
      <c r="E6804" s="7">
        <v>21.6</v>
      </c>
      <c r="F6804" s="9">
        <v>6.6</v>
      </c>
      <c r="G6804" s="9">
        <v>20</v>
      </c>
      <c r="H6804" s="9">
        <v>17.100000000000001</v>
      </c>
      <c r="I6804" s="9">
        <v>16</v>
      </c>
      <c r="J6804" s="9">
        <v>19.5</v>
      </c>
      <c r="K6804" s="9">
        <v>26</v>
      </c>
      <c r="L6804" s="9">
        <v>22.1</v>
      </c>
      <c r="M6804" s="9">
        <v>22.2</v>
      </c>
      <c r="N6804" s="9">
        <v>18</v>
      </c>
      <c r="O6804" s="7"/>
      <c r="P6804" s="9">
        <v>18</v>
      </c>
      <c r="Q6804" s="6">
        <v>15.5</v>
      </c>
      <c r="R6804" s="9">
        <v>12.1</v>
      </c>
      <c r="S6804" s="10"/>
      <c r="T6804" s="15">
        <v>5.8</v>
      </c>
      <c r="U6804" s="9">
        <v>40</v>
      </c>
      <c r="V6804" s="9">
        <v>3.2</v>
      </c>
      <c r="W6804" s="9">
        <v>24.3</v>
      </c>
      <c r="X6804" s="9">
        <v>16</v>
      </c>
      <c r="Y6804" s="9">
        <v>20</v>
      </c>
      <c r="Z6804" s="9">
        <v>20</v>
      </c>
      <c r="AA6804" s="9">
        <v>24</v>
      </c>
      <c r="AC6804" s="38">
        <v>15</v>
      </c>
    </row>
    <row r="6805" spans="1:29" x14ac:dyDescent="0.25">
      <c r="A6805" s="22">
        <v>45156</v>
      </c>
      <c r="B6805" s="9">
        <v>5</v>
      </c>
      <c r="C6805" s="9">
        <v>21.2</v>
      </c>
      <c r="D6805" s="9">
        <v>2</v>
      </c>
      <c r="E6805" s="7">
        <v>26.6</v>
      </c>
      <c r="F6805" s="9">
        <v>12.8</v>
      </c>
      <c r="G6805" s="9">
        <v>8.5</v>
      </c>
      <c r="H6805" s="9">
        <v>0.9</v>
      </c>
      <c r="I6805" s="9">
        <v>5</v>
      </c>
      <c r="J6805" s="9">
        <v>6</v>
      </c>
      <c r="K6805" s="9">
        <v>4</v>
      </c>
      <c r="L6805" s="9">
        <v>3</v>
      </c>
      <c r="M6805" s="9">
        <v>1.3</v>
      </c>
      <c r="N6805" s="9">
        <v>26.8</v>
      </c>
      <c r="O6805" s="7"/>
      <c r="P6805" s="9">
        <v>0</v>
      </c>
      <c r="Q6805" s="6">
        <v>32.200000000000003</v>
      </c>
      <c r="R6805" s="9">
        <v>12.2</v>
      </c>
      <c r="S6805" s="10"/>
      <c r="T6805" s="15">
        <v>18.2</v>
      </c>
      <c r="U6805" s="9">
        <v>6</v>
      </c>
      <c r="V6805" s="9">
        <v>2.2000000000000002</v>
      </c>
      <c r="W6805" s="9">
        <v>10.1</v>
      </c>
      <c r="X6805" s="9">
        <v>36</v>
      </c>
      <c r="Y6805" s="9">
        <v>2.6</v>
      </c>
      <c r="Z6805" s="9">
        <v>2</v>
      </c>
      <c r="AA6805" s="9">
        <v>0</v>
      </c>
      <c r="AC6805" s="38">
        <v>1</v>
      </c>
    </row>
    <row r="6806" spans="1:29" x14ac:dyDescent="0.25">
      <c r="A6806" s="22">
        <v>45157</v>
      </c>
      <c r="B6806" s="9">
        <v>19</v>
      </c>
      <c r="C6806" s="9">
        <v>16</v>
      </c>
      <c r="D6806" s="9">
        <v>28</v>
      </c>
      <c r="E6806" s="7">
        <v>9.4</v>
      </c>
      <c r="F6806" s="9">
        <v>18.8</v>
      </c>
      <c r="G6806" s="9">
        <v>45.5</v>
      </c>
      <c r="H6806" s="9">
        <v>32.700000000000003</v>
      </c>
      <c r="I6806" s="9">
        <v>31</v>
      </c>
      <c r="J6806" s="9">
        <v>38.1</v>
      </c>
      <c r="K6806" s="9">
        <v>42</v>
      </c>
      <c r="L6806" s="9">
        <v>15.7</v>
      </c>
      <c r="M6806" s="9">
        <v>36.799999999999997</v>
      </c>
      <c r="N6806" s="9">
        <v>8.8000000000000007</v>
      </c>
      <c r="O6806" s="7"/>
      <c r="P6806" s="9">
        <v>10</v>
      </c>
      <c r="Q6806" s="6">
        <v>14.5</v>
      </c>
      <c r="R6806" s="9">
        <v>28.2</v>
      </c>
      <c r="S6806" s="10"/>
      <c r="T6806" s="15">
        <v>10.4</v>
      </c>
      <c r="U6806" s="9">
        <v>43</v>
      </c>
      <c r="V6806" s="9">
        <v>25.4</v>
      </c>
      <c r="W6806" s="9">
        <v>36.200000000000003</v>
      </c>
      <c r="X6806" s="9">
        <v>15</v>
      </c>
      <c r="Y6806" s="9">
        <v>28.8</v>
      </c>
      <c r="Z6806" s="9">
        <v>26.6</v>
      </c>
      <c r="AA6806" s="9">
        <v>46</v>
      </c>
      <c r="AC6806" s="38">
        <v>6</v>
      </c>
    </row>
    <row r="6807" spans="1:29" x14ac:dyDescent="0.25">
      <c r="A6807" s="22">
        <v>45158</v>
      </c>
      <c r="B6807" s="9">
        <v>17.5</v>
      </c>
      <c r="C6807" s="9">
        <v>8</v>
      </c>
      <c r="D6807" s="9">
        <v>8.8000000000000007</v>
      </c>
      <c r="E6807" s="7">
        <v>29.4</v>
      </c>
      <c r="F6807" s="9">
        <v>4.5999999999999996</v>
      </c>
      <c r="G6807" s="9">
        <v>21.5</v>
      </c>
      <c r="H6807" s="9">
        <v>21</v>
      </c>
      <c r="I6807" s="9">
        <v>8.6999999999999993</v>
      </c>
      <c r="J6807" s="9">
        <v>16.8</v>
      </c>
      <c r="K6807" s="9">
        <v>11</v>
      </c>
      <c r="L6807" s="9">
        <v>12.6</v>
      </c>
      <c r="M6807" s="9">
        <v>27</v>
      </c>
      <c r="N6807" s="9">
        <v>13.4</v>
      </c>
      <c r="O6807" s="7"/>
      <c r="P6807" s="9">
        <v>29</v>
      </c>
      <c r="Q6807" s="6">
        <v>2</v>
      </c>
      <c r="R6807" s="9">
        <v>18.100000000000001</v>
      </c>
      <c r="S6807" s="10"/>
      <c r="T6807" s="15">
        <v>22.8</v>
      </c>
      <c r="U6807" s="9">
        <v>10</v>
      </c>
      <c r="V6807" s="9">
        <v>10.4</v>
      </c>
      <c r="W6807" s="9">
        <v>6.3</v>
      </c>
      <c r="X6807" s="9">
        <v>10</v>
      </c>
      <c r="Y6807" s="9">
        <v>8</v>
      </c>
      <c r="Z6807" s="9">
        <v>8</v>
      </c>
      <c r="AA6807" s="9">
        <v>12</v>
      </c>
      <c r="AC6807" s="38">
        <v>1</v>
      </c>
    </row>
    <row r="6808" spans="1:29" x14ac:dyDescent="0.25">
      <c r="A6808" s="22">
        <v>45159</v>
      </c>
      <c r="B6808" s="9">
        <v>4.5</v>
      </c>
      <c r="C6808" s="9">
        <v>6.8</v>
      </c>
      <c r="D6808" s="9">
        <v>6.8</v>
      </c>
      <c r="E6808" s="7">
        <v>0.4</v>
      </c>
      <c r="F6808" s="9">
        <v>0</v>
      </c>
      <c r="G6808" s="9">
        <v>1.2</v>
      </c>
      <c r="H6808" s="9">
        <v>0</v>
      </c>
      <c r="I6808" s="9">
        <v>1.7</v>
      </c>
      <c r="J6808" s="9">
        <v>6.2</v>
      </c>
      <c r="K6808" s="9">
        <v>6</v>
      </c>
      <c r="L6808" s="9">
        <v>0</v>
      </c>
      <c r="M6808" s="9">
        <v>3</v>
      </c>
      <c r="N6808" s="9">
        <v>4.4000000000000004</v>
      </c>
      <c r="O6808" s="7"/>
      <c r="P6808" s="9">
        <v>0</v>
      </c>
      <c r="Q6808" s="6">
        <v>0</v>
      </c>
      <c r="R6808" s="9">
        <v>0</v>
      </c>
      <c r="S6808" s="10"/>
      <c r="T6808" s="15">
        <v>0.4</v>
      </c>
      <c r="U6808" s="9">
        <v>35</v>
      </c>
      <c r="V6808" s="9">
        <v>2.2000000000000002</v>
      </c>
      <c r="W6808" s="9">
        <v>2.2999999999999998</v>
      </c>
      <c r="X6808" s="9">
        <v>2</v>
      </c>
      <c r="Y6808" s="9">
        <v>0</v>
      </c>
      <c r="Z6808" s="9">
        <v>0</v>
      </c>
      <c r="AA6808" s="9">
        <v>0</v>
      </c>
      <c r="AC6808" s="38">
        <v>0</v>
      </c>
    </row>
    <row r="6809" spans="1:29" x14ac:dyDescent="0.25">
      <c r="A6809" s="22">
        <v>45160</v>
      </c>
      <c r="B6809" s="9">
        <v>0</v>
      </c>
      <c r="C6809" s="9">
        <v>0</v>
      </c>
      <c r="D6809" s="9">
        <v>0</v>
      </c>
      <c r="E6809" s="7">
        <v>0</v>
      </c>
      <c r="F6809" s="9">
        <v>0</v>
      </c>
      <c r="G6809" s="9">
        <v>0</v>
      </c>
      <c r="H6809" s="9">
        <v>0</v>
      </c>
      <c r="I6809" s="9">
        <v>1.5</v>
      </c>
      <c r="J6809" s="9">
        <v>0</v>
      </c>
      <c r="K6809" s="9">
        <v>0</v>
      </c>
      <c r="L6809" s="9">
        <v>0</v>
      </c>
      <c r="M6809" s="9">
        <v>0</v>
      </c>
      <c r="N6809" s="9">
        <v>0</v>
      </c>
      <c r="O6809" s="7"/>
      <c r="P6809" s="9">
        <v>0</v>
      </c>
      <c r="Q6809" s="6">
        <v>0</v>
      </c>
      <c r="R6809" s="9">
        <v>0</v>
      </c>
      <c r="S6809" s="10"/>
      <c r="T6809" s="15">
        <v>0</v>
      </c>
      <c r="U6809" s="9">
        <v>0</v>
      </c>
      <c r="V6809" s="9">
        <v>0</v>
      </c>
      <c r="W6809" s="9">
        <v>0</v>
      </c>
      <c r="X6809" s="9">
        <v>0</v>
      </c>
      <c r="Y6809" s="9">
        <v>0</v>
      </c>
      <c r="Z6809" s="9">
        <v>0</v>
      </c>
      <c r="AA6809" s="9">
        <v>0</v>
      </c>
      <c r="AC6809" s="38">
        <v>0</v>
      </c>
    </row>
    <row r="6810" spans="1:29" x14ac:dyDescent="0.25">
      <c r="A6810" s="22">
        <v>45161</v>
      </c>
      <c r="B6810" s="9">
        <v>0</v>
      </c>
      <c r="C6810" s="9">
        <v>0</v>
      </c>
      <c r="D6810" s="9">
        <v>0</v>
      </c>
      <c r="E6810" s="7">
        <v>0</v>
      </c>
      <c r="F6810" s="9">
        <v>0</v>
      </c>
      <c r="G6810" s="9">
        <v>0</v>
      </c>
      <c r="H6810" s="9">
        <v>0</v>
      </c>
      <c r="I6810" s="9">
        <v>0</v>
      </c>
      <c r="J6810" s="9">
        <v>0</v>
      </c>
      <c r="K6810" s="9">
        <v>0</v>
      </c>
      <c r="L6810" s="9">
        <v>0</v>
      </c>
      <c r="M6810" s="9">
        <v>0</v>
      </c>
      <c r="N6810" s="9">
        <v>0</v>
      </c>
      <c r="O6810" s="7"/>
      <c r="P6810" s="9">
        <v>0</v>
      </c>
      <c r="Q6810" s="6">
        <v>0</v>
      </c>
      <c r="R6810" s="9">
        <v>0</v>
      </c>
      <c r="S6810" s="8"/>
      <c r="T6810" s="15">
        <v>0</v>
      </c>
      <c r="U6810" s="9">
        <v>0</v>
      </c>
      <c r="V6810" s="9">
        <v>0</v>
      </c>
      <c r="W6810" s="9">
        <v>0</v>
      </c>
      <c r="X6810" s="9">
        <v>0</v>
      </c>
      <c r="Y6810" s="9">
        <v>0</v>
      </c>
      <c r="Z6810" s="9">
        <v>0</v>
      </c>
      <c r="AA6810" s="9">
        <v>0</v>
      </c>
      <c r="AC6810" s="38">
        <v>0</v>
      </c>
    </row>
    <row r="6811" spans="1:29" x14ac:dyDescent="0.25">
      <c r="A6811" s="22">
        <v>45162</v>
      </c>
      <c r="B6811" s="9">
        <v>0</v>
      </c>
      <c r="C6811" s="9">
        <v>0</v>
      </c>
      <c r="D6811" s="9">
        <v>0</v>
      </c>
      <c r="E6811" s="7">
        <v>0</v>
      </c>
      <c r="F6811" s="9">
        <v>0</v>
      </c>
      <c r="G6811" s="9">
        <v>0</v>
      </c>
      <c r="H6811" s="9">
        <v>0</v>
      </c>
      <c r="I6811" s="9">
        <v>0</v>
      </c>
      <c r="J6811" s="9">
        <v>0</v>
      </c>
      <c r="K6811" s="9">
        <v>0</v>
      </c>
      <c r="L6811" s="9">
        <v>0</v>
      </c>
      <c r="M6811" s="9">
        <v>0</v>
      </c>
      <c r="N6811" s="9">
        <v>0</v>
      </c>
      <c r="O6811" s="7"/>
      <c r="P6811" s="9">
        <v>0</v>
      </c>
      <c r="Q6811" s="6">
        <v>0</v>
      </c>
      <c r="R6811" s="9">
        <v>0</v>
      </c>
      <c r="S6811" s="8"/>
      <c r="T6811" s="15">
        <v>0</v>
      </c>
      <c r="U6811" s="9">
        <v>0</v>
      </c>
      <c r="V6811" s="9">
        <v>0</v>
      </c>
      <c r="W6811" s="9">
        <v>0</v>
      </c>
      <c r="X6811" s="9">
        <v>0</v>
      </c>
      <c r="Y6811" s="9">
        <v>0</v>
      </c>
      <c r="Z6811" s="9">
        <v>0</v>
      </c>
      <c r="AA6811" s="9">
        <v>0</v>
      </c>
      <c r="AC6811" s="38">
        <v>0</v>
      </c>
    </row>
    <row r="6812" spans="1:29" x14ac:dyDescent="0.25">
      <c r="A6812" s="22">
        <v>45163</v>
      </c>
      <c r="B6812" s="9">
        <v>0</v>
      </c>
      <c r="C6812" s="9">
        <v>0</v>
      </c>
      <c r="D6812" s="9">
        <v>0</v>
      </c>
      <c r="E6812" s="7">
        <v>0.6</v>
      </c>
      <c r="F6812" s="9">
        <v>0</v>
      </c>
      <c r="G6812" s="9">
        <v>0</v>
      </c>
      <c r="H6812" s="9">
        <v>0</v>
      </c>
      <c r="I6812" s="9">
        <v>0</v>
      </c>
      <c r="J6812" s="9">
        <v>0</v>
      </c>
      <c r="K6812" s="9">
        <v>0</v>
      </c>
      <c r="L6812" s="9">
        <v>0</v>
      </c>
      <c r="M6812" s="9">
        <v>0</v>
      </c>
      <c r="N6812" s="9">
        <v>0</v>
      </c>
      <c r="O6812" s="7"/>
      <c r="P6812" s="9">
        <v>0</v>
      </c>
      <c r="Q6812" s="6">
        <v>2</v>
      </c>
      <c r="R6812" s="9">
        <v>0</v>
      </c>
      <c r="S6812" s="8"/>
      <c r="T6812" s="15">
        <v>0</v>
      </c>
      <c r="U6812" s="9">
        <v>0</v>
      </c>
      <c r="V6812" s="9">
        <v>0</v>
      </c>
      <c r="W6812" s="9">
        <v>0</v>
      </c>
      <c r="X6812" s="9">
        <v>0</v>
      </c>
      <c r="Y6812" s="9">
        <v>0</v>
      </c>
      <c r="Z6812" s="9">
        <v>0</v>
      </c>
      <c r="AA6812" s="9">
        <v>0</v>
      </c>
      <c r="AC6812" s="38">
        <v>0</v>
      </c>
    </row>
    <row r="6813" spans="1:29" x14ac:dyDescent="0.25">
      <c r="A6813" s="22">
        <v>45164</v>
      </c>
      <c r="B6813" s="9">
        <v>0</v>
      </c>
      <c r="C6813" s="9">
        <v>2.8</v>
      </c>
      <c r="D6813" s="9">
        <v>4.0999999999999996</v>
      </c>
      <c r="E6813" s="7">
        <v>0</v>
      </c>
      <c r="F6813" s="9">
        <v>0</v>
      </c>
      <c r="G6813" s="9">
        <v>0</v>
      </c>
      <c r="H6813" s="9">
        <v>0</v>
      </c>
      <c r="I6813" s="9">
        <v>0</v>
      </c>
      <c r="J6813" s="9">
        <v>0</v>
      </c>
      <c r="K6813" s="9">
        <v>0</v>
      </c>
      <c r="L6813" s="9">
        <v>5.3</v>
      </c>
      <c r="M6813" s="9">
        <v>0</v>
      </c>
      <c r="N6813" s="9">
        <v>0</v>
      </c>
      <c r="O6813" s="7"/>
      <c r="P6813" s="9">
        <v>0</v>
      </c>
      <c r="Q6813" s="6">
        <v>7.5</v>
      </c>
      <c r="R6813" s="9">
        <v>0</v>
      </c>
      <c r="S6813" s="8"/>
      <c r="T6813" s="15">
        <v>1.2</v>
      </c>
      <c r="U6813" s="9">
        <v>8</v>
      </c>
      <c r="V6813" s="9">
        <v>0</v>
      </c>
      <c r="W6813" s="9">
        <v>0</v>
      </c>
      <c r="X6813" s="9">
        <v>0</v>
      </c>
      <c r="Y6813" s="9">
        <v>0</v>
      </c>
      <c r="Z6813" s="9">
        <v>0</v>
      </c>
      <c r="AA6813" s="9">
        <v>0</v>
      </c>
      <c r="AC6813" s="38">
        <v>0</v>
      </c>
    </row>
    <row r="6814" spans="1:29" x14ac:dyDescent="0.25">
      <c r="A6814" s="22">
        <v>45165</v>
      </c>
      <c r="B6814" s="9">
        <v>0</v>
      </c>
      <c r="C6814" s="9">
        <v>0</v>
      </c>
      <c r="D6814" s="9">
        <v>0</v>
      </c>
      <c r="E6814" s="7">
        <v>0.8</v>
      </c>
      <c r="F6814" s="9">
        <v>0.2</v>
      </c>
      <c r="G6814" s="9">
        <v>0</v>
      </c>
      <c r="H6814" s="9">
        <v>0</v>
      </c>
      <c r="I6814" s="9">
        <v>0</v>
      </c>
      <c r="J6814" s="9">
        <v>0</v>
      </c>
      <c r="K6814" s="9">
        <v>0.8</v>
      </c>
      <c r="L6814" s="9">
        <v>0</v>
      </c>
      <c r="M6814" s="9">
        <v>0</v>
      </c>
      <c r="N6814" s="9">
        <v>0</v>
      </c>
      <c r="O6814" s="7"/>
      <c r="P6814" s="9">
        <v>0</v>
      </c>
      <c r="Q6814" s="6">
        <v>0</v>
      </c>
      <c r="R6814" s="9">
        <v>0</v>
      </c>
      <c r="S6814" s="8"/>
      <c r="T6814" s="15">
        <v>0</v>
      </c>
      <c r="U6814" s="9">
        <v>12</v>
      </c>
      <c r="V6814" s="9">
        <v>0</v>
      </c>
      <c r="W6814" s="9">
        <v>0</v>
      </c>
      <c r="X6814" s="9">
        <v>0</v>
      </c>
      <c r="Y6814" s="9">
        <v>0</v>
      </c>
      <c r="Z6814" s="9">
        <v>0</v>
      </c>
      <c r="AA6814" s="9">
        <v>0</v>
      </c>
      <c r="AC6814" s="38">
        <v>0</v>
      </c>
    </row>
    <row r="6815" spans="1:29" x14ac:dyDescent="0.25">
      <c r="A6815" s="22">
        <v>45166</v>
      </c>
      <c r="B6815" s="9">
        <v>0</v>
      </c>
      <c r="C6815" s="9">
        <v>0</v>
      </c>
      <c r="D6815" s="9">
        <v>0</v>
      </c>
      <c r="E6815" s="7">
        <v>0</v>
      </c>
      <c r="F6815" s="9">
        <v>1.2</v>
      </c>
      <c r="G6815" s="9">
        <v>0</v>
      </c>
      <c r="H6815" s="9">
        <v>0</v>
      </c>
      <c r="I6815" s="9">
        <v>0</v>
      </c>
      <c r="J6815" s="9">
        <v>0</v>
      </c>
      <c r="K6815" s="9">
        <v>0</v>
      </c>
      <c r="L6815" s="9">
        <v>0</v>
      </c>
      <c r="M6815" s="9">
        <v>0</v>
      </c>
      <c r="N6815" s="9">
        <v>0</v>
      </c>
      <c r="O6815" s="7"/>
      <c r="P6815" s="9">
        <v>0</v>
      </c>
      <c r="Q6815" s="6">
        <v>17.5</v>
      </c>
      <c r="R6815" s="9">
        <v>0</v>
      </c>
      <c r="S6815" s="8"/>
      <c r="T6815" s="15">
        <v>8.6</v>
      </c>
      <c r="U6815" s="9">
        <v>0</v>
      </c>
      <c r="V6815" s="9">
        <v>0</v>
      </c>
      <c r="W6815" s="9">
        <v>0</v>
      </c>
      <c r="X6815" s="9">
        <v>0</v>
      </c>
      <c r="Y6815" s="9">
        <v>0</v>
      </c>
      <c r="Z6815" s="9">
        <v>0</v>
      </c>
      <c r="AA6815" s="9">
        <v>0</v>
      </c>
      <c r="AC6815" s="38">
        <v>0</v>
      </c>
    </row>
    <row r="6816" spans="1:29" x14ac:dyDescent="0.25">
      <c r="A6816" s="22">
        <v>45167</v>
      </c>
      <c r="B6816" s="9">
        <v>12</v>
      </c>
      <c r="C6816" s="7">
        <v>10</v>
      </c>
      <c r="D6816" s="9">
        <v>15.2</v>
      </c>
      <c r="E6816" s="7">
        <v>25.6</v>
      </c>
      <c r="F6816" s="9">
        <v>36.799999999999997</v>
      </c>
      <c r="G6816" s="9">
        <v>24</v>
      </c>
      <c r="H6816" s="9">
        <v>26</v>
      </c>
      <c r="I6816" s="9">
        <v>8.1999999999999993</v>
      </c>
      <c r="J6816" s="9">
        <v>14.1</v>
      </c>
      <c r="K6816" s="9">
        <v>18</v>
      </c>
      <c r="L6816" s="9">
        <v>7.6</v>
      </c>
      <c r="M6816" s="9">
        <v>20</v>
      </c>
      <c r="N6816" s="10">
        <v>44.8</v>
      </c>
      <c r="O6816" s="7"/>
      <c r="P6816" s="9">
        <v>10</v>
      </c>
      <c r="Q6816" s="6">
        <v>7</v>
      </c>
      <c r="R6816" s="9">
        <v>19.899999999999999</v>
      </c>
      <c r="S6816" s="10"/>
      <c r="T6816" s="15">
        <v>31.4</v>
      </c>
      <c r="U6816" s="9">
        <v>10</v>
      </c>
      <c r="V6816" s="9">
        <v>5.2</v>
      </c>
      <c r="W6816" s="9">
        <v>22.2</v>
      </c>
      <c r="X6816" s="9">
        <v>8</v>
      </c>
      <c r="Y6816" s="9">
        <v>9.1999999999999993</v>
      </c>
      <c r="Z6816" s="9">
        <v>32</v>
      </c>
      <c r="AA6816" s="9">
        <v>36</v>
      </c>
      <c r="AC6816" s="38">
        <v>4</v>
      </c>
    </row>
    <row r="6817" spans="1:30" x14ac:dyDescent="0.25">
      <c r="A6817" s="22">
        <v>45168</v>
      </c>
      <c r="B6817" s="9">
        <v>30</v>
      </c>
      <c r="C6817" s="7">
        <v>35.200000000000003</v>
      </c>
      <c r="D6817" s="9">
        <v>18</v>
      </c>
      <c r="E6817" s="7">
        <v>3.4</v>
      </c>
      <c r="F6817" s="9">
        <v>1</v>
      </c>
      <c r="G6817" s="9">
        <v>15.5</v>
      </c>
      <c r="H6817" s="9">
        <v>13.1</v>
      </c>
      <c r="I6817" s="9">
        <v>19</v>
      </c>
      <c r="J6817" s="9">
        <v>14.1</v>
      </c>
      <c r="K6817" s="9">
        <v>40</v>
      </c>
      <c r="L6817" s="9">
        <v>10.7</v>
      </c>
      <c r="M6817" s="9">
        <v>18.8</v>
      </c>
      <c r="N6817" s="10">
        <v>2</v>
      </c>
      <c r="O6817" s="7"/>
      <c r="P6817" s="9">
        <v>6</v>
      </c>
      <c r="Q6817" s="6">
        <v>2.2000000000000002</v>
      </c>
      <c r="R6817" s="9">
        <v>5.8</v>
      </c>
      <c r="S6817" s="10"/>
      <c r="T6817" s="15">
        <v>15.8</v>
      </c>
      <c r="U6817" s="9">
        <v>50</v>
      </c>
      <c r="V6817" s="9">
        <v>17.3</v>
      </c>
      <c r="W6817" s="9">
        <v>16.2</v>
      </c>
      <c r="X6817" s="9">
        <v>28</v>
      </c>
      <c r="Y6817" s="9">
        <v>24.4</v>
      </c>
      <c r="Z6817" s="9">
        <v>10.199999999999999</v>
      </c>
      <c r="AA6817" s="9">
        <v>18</v>
      </c>
      <c r="AC6817" s="38">
        <v>1</v>
      </c>
    </row>
    <row r="6818" spans="1:30" x14ac:dyDescent="0.25">
      <c r="A6818" s="22">
        <v>45169</v>
      </c>
      <c r="B6818" s="9">
        <v>15</v>
      </c>
      <c r="C6818" s="7">
        <v>12</v>
      </c>
      <c r="D6818" s="9">
        <v>9.6</v>
      </c>
      <c r="E6818" s="7">
        <v>1.8</v>
      </c>
      <c r="F6818" s="9">
        <v>2.8</v>
      </c>
      <c r="G6818" s="9">
        <v>11</v>
      </c>
      <c r="H6818" s="9">
        <v>5.0999999999999996</v>
      </c>
      <c r="I6818" s="9">
        <v>7</v>
      </c>
      <c r="J6818" s="9">
        <v>12.5</v>
      </c>
      <c r="K6818" s="9">
        <v>9</v>
      </c>
      <c r="L6818" s="9">
        <v>8.6</v>
      </c>
      <c r="M6818" s="9">
        <v>6.8</v>
      </c>
      <c r="N6818" s="10">
        <v>10.199999999999999</v>
      </c>
      <c r="O6818" s="7"/>
      <c r="P6818" s="9">
        <v>4</v>
      </c>
      <c r="Q6818" s="6">
        <v>0.8</v>
      </c>
      <c r="R6818" s="9">
        <v>2</v>
      </c>
      <c r="S6818" s="10"/>
      <c r="T6818" s="15">
        <v>6.4</v>
      </c>
      <c r="U6818" s="9">
        <v>10</v>
      </c>
      <c r="V6818" s="9">
        <v>15.5</v>
      </c>
      <c r="W6818" s="9">
        <v>10.3</v>
      </c>
      <c r="X6818" s="9">
        <v>2</v>
      </c>
      <c r="Y6818" s="9">
        <v>4</v>
      </c>
      <c r="Z6818" s="9">
        <v>4.5</v>
      </c>
      <c r="AA6818" s="9">
        <v>8</v>
      </c>
      <c r="AC6818" s="38">
        <v>2</v>
      </c>
    </row>
    <row r="6819" spans="1:30" x14ac:dyDescent="0.25">
      <c r="A6819" s="22">
        <v>45170</v>
      </c>
      <c r="B6819" s="9">
        <v>5</v>
      </c>
      <c r="C6819" s="9">
        <v>6.4</v>
      </c>
      <c r="D6819" s="9">
        <v>11</v>
      </c>
      <c r="E6819" s="7">
        <v>0.2</v>
      </c>
      <c r="F6819" s="9">
        <v>1.6</v>
      </c>
      <c r="G6819" s="9">
        <v>22.5</v>
      </c>
      <c r="H6819" s="9">
        <v>11.9</v>
      </c>
      <c r="I6819" s="9">
        <v>20</v>
      </c>
      <c r="J6819" s="45">
        <v>23</v>
      </c>
      <c r="K6819" s="9">
        <v>17</v>
      </c>
      <c r="L6819" s="7">
        <v>1.5239999999999998</v>
      </c>
      <c r="M6819" s="9">
        <v>16</v>
      </c>
      <c r="N6819" s="9">
        <v>11.8</v>
      </c>
      <c r="O6819" s="7"/>
      <c r="P6819" s="9">
        <v>0</v>
      </c>
      <c r="Q6819" s="9">
        <v>0</v>
      </c>
      <c r="R6819" s="9">
        <v>1</v>
      </c>
      <c r="S6819" s="8"/>
      <c r="T6819" s="15"/>
      <c r="U6819" s="9">
        <v>14</v>
      </c>
      <c r="V6819" s="9">
        <v>10.199999999999999</v>
      </c>
      <c r="W6819" s="9">
        <v>18.2</v>
      </c>
      <c r="X6819" s="9">
        <v>8</v>
      </c>
      <c r="Y6819" s="9">
        <v>4.5999999999999996</v>
      </c>
      <c r="Z6819" s="9">
        <v>2.5</v>
      </c>
      <c r="AA6819" s="9">
        <v>14</v>
      </c>
      <c r="AC6819" s="38">
        <v>3</v>
      </c>
      <c r="AD6819" s="38">
        <v>13</v>
      </c>
    </row>
    <row r="6820" spans="1:30" x14ac:dyDescent="0.25">
      <c r="A6820" s="22">
        <v>45171</v>
      </c>
      <c r="B6820" s="9">
        <v>3</v>
      </c>
      <c r="C6820" s="9">
        <v>30</v>
      </c>
      <c r="D6820" s="9">
        <v>30</v>
      </c>
      <c r="E6820" s="7">
        <v>0.4</v>
      </c>
      <c r="F6820" s="9">
        <v>0</v>
      </c>
      <c r="G6820" s="9">
        <v>2.5</v>
      </c>
      <c r="H6820" s="9">
        <v>0</v>
      </c>
      <c r="I6820" s="9">
        <v>6</v>
      </c>
      <c r="J6820" s="45">
        <v>2.2000000000000002</v>
      </c>
      <c r="K6820" s="9">
        <v>0</v>
      </c>
      <c r="L6820" s="7">
        <v>2.2859999999999996</v>
      </c>
      <c r="M6820" s="9">
        <v>2.4</v>
      </c>
      <c r="N6820" s="9">
        <v>5.3999999999999995</v>
      </c>
      <c r="O6820" s="7"/>
      <c r="P6820" s="9">
        <v>8</v>
      </c>
      <c r="Q6820" s="9">
        <v>2.5</v>
      </c>
      <c r="R6820" s="9">
        <v>0</v>
      </c>
      <c r="S6820" s="8"/>
      <c r="T6820" s="15"/>
      <c r="U6820" s="9">
        <v>12</v>
      </c>
      <c r="V6820" s="9">
        <v>4.2</v>
      </c>
      <c r="W6820" s="9">
        <v>5.2</v>
      </c>
      <c r="X6820" s="9">
        <v>4</v>
      </c>
      <c r="Y6820" s="9">
        <v>2</v>
      </c>
      <c r="Z6820" s="9">
        <v>2.5</v>
      </c>
      <c r="AA6820" s="9">
        <v>6</v>
      </c>
      <c r="AC6820" s="38">
        <v>3</v>
      </c>
      <c r="AD6820" s="38">
        <v>3</v>
      </c>
    </row>
    <row r="6821" spans="1:30" x14ac:dyDescent="0.25">
      <c r="A6821" s="22">
        <v>45172</v>
      </c>
      <c r="B6821" s="9">
        <v>5</v>
      </c>
      <c r="C6821" s="9">
        <v>6</v>
      </c>
      <c r="D6821" s="9">
        <v>7.6</v>
      </c>
      <c r="E6821" s="7">
        <v>0.4</v>
      </c>
      <c r="F6821" s="9">
        <v>0</v>
      </c>
      <c r="G6821" s="9">
        <v>2.5</v>
      </c>
      <c r="H6821" s="9">
        <v>2</v>
      </c>
      <c r="I6821" s="9">
        <v>0.8</v>
      </c>
      <c r="J6821" s="45">
        <v>4.2</v>
      </c>
      <c r="K6821" s="9">
        <v>5.2</v>
      </c>
      <c r="L6821" s="7">
        <v>7.3659999999999988</v>
      </c>
      <c r="M6821" s="9">
        <v>4</v>
      </c>
      <c r="N6821" s="9">
        <v>3.2000000000000011</v>
      </c>
      <c r="O6821" s="7"/>
      <c r="P6821" s="9">
        <v>4</v>
      </c>
      <c r="Q6821" s="9">
        <v>0</v>
      </c>
      <c r="R6821" s="9">
        <v>0</v>
      </c>
      <c r="S6821" s="8"/>
      <c r="T6821" s="15"/>
      <c r="U6821" s="9">
        <v>5</v>
      </c>
      <c r="V6821" s="9">
        <v>2.1</v>
      </c>
      <c r="W6821" s="9">
        <v>2.2999999999999998</v>
      </c>
      <c r="X6821" s="9">
        <v>3</v>
      </c>
      <c r="Y6821" s="9">
        <v>0</v>
      </c>
      <c r="Z6821" s="9">
        <v>0</v>
      </c>
      <c r="AA6821" s="9">
        <v>4</v>
      </c>
      <c r="AC6821" s="38">
        <v>0</v>
      </c>
      <c r="AD6821" s="38">
        <v>0</v>
      </c>
    </row>
    <row r="6822" spans="1:30" x14ac:dyDescent="0.25">
      <c r="A6822" s="22">
        <v>45173</v>
      </c>
      <c r="B6822" s="9">
        <v>7.5</v>
      </c>
      <c r="C6822" s="9">
        <v>1.6</v>
      </c>
      <c r="D6822" s="9">
        <v>6.4</v>
      </c>
      <c r="E6822" s="7">
        <v>0</v>
      </c>
      <c r="F6822" s="9">
        <v>0</v>
      </c>
      <c r="G6822" s="9">
        <v>2.5</v>
      </c>
      <c r="H6822" s="9">
        <v>0</v>
      </c>
      <c r="I6822" s="9">
        <v>1.1000000000000001</v>
      </c>
      <c r="J6822" s="45">
        <v>2</v>
      </c>
      <c r="K6822" s="9">
        <v>0</v>
      </c>
      <c r="L6822" s="7">
        <v>3.556</v>
      </c>
      <c r="M6822" s="9">
        <v>2.4</v>
      </c>
      <c r="N6822" s="9">
        <v>0</v>
      </c>
      <c r="O6822" s="7"/>
      <c r="P6822" s="9">
        <v>12</v>
      </c>
      <c r="Q6822" s="9">
        <v>0</v>
      </c>
      <c r="R6822" s="9">
        <v>0</v>
      </c>
      <c r="S6822" s="8"/>
      <c r="T6822" s="15"/>
      <c r="U6822" s="9">
        <v>2</v>
      </c>
      <c r="V6822" s="9">
        <v>2.2000000000000002</v>
      </c>
      <c r="W6822" s="9">
        <v>0.1</v>
      </c>
      <c r="X6822" s="9">
        <v>0</v>
      </c>
      <c r="Y6822" s="9">
        <v>0</v>
      </c>
      <c r="Z6822" s="9">
        <v>0</v>
      </c>
      <c r="AA6822" s="9">
        <v>0</v>
      </c>
      <c r="AC6822" s="38">
        <v>0</v>
      </c>
      <c r="AD6822" s="38">
        <v>0</v>
      </c>
    </row>
    <row r="6823" spans="1:30" x14ac:dyDescent="0.25">
      <c r="A6823" s="22">
        <v>45174</v>
      </c>
      <c r="B6823" s="9">
        <v>1</v>
      </c>
      <c r="C6823" s="9">
        <v>4.2</v>
      </c>
      <c r="D6823" s="9">
        <v>8.1</v>
      </c>
      <c r="E6823" s="7">
        <v>0.8</v>
      </c>
      <c r="F6823" s="9">
        <v>0</v>
      </c>
      <c r="G6823" s="9">
        <v>0</v>
      </c>
      <c r="H6823" s="9">
        <v>0</v>
      </c>
      <c r="I6823" s="9">
        <v>2.4</v>
      </c>
      <c r="J6823" s="45">
        <v>0</v>
      </c>
      <c r="K6823" s="9">
        <v>0.2</v>
      </c>
      <c r="L6823" s="7">
        <v>0.50800000000000001</v>
      </c>
      <c r="M6823" s="9">
        <v>0.4</v>
      </c>
      <c r="N6823" s="9">
        <v>8.4</v>
      </c>
      <c r="O6823" s="7"/>
      <c r="P6823" s="9">
        <v>0</v>
      </c>
      <c r="Q6823" s="9">
        <v>4</v>
      </c>
      <c r="R6823" s="9">
        <v>0</v>
      </c>
      <c r="S6823" s="8"/>
      <c r="T6823" s="15"/>
      <c r="U6823" s="9">
        <v>10</v>
      </c>
      <c r="V6823" s="9">
        <v>0</v>
      </c>
      <c r="W6823" s="9">
        <v>0</v>
      </c>
      <c r="X6823" s="9">
        <v>0</v>
      </c>
      <c r="Y6823" s="9">
        <v>0</v>
      </c>
      <c r="Z6823" s="9">
        <v>0</v>
      </c>
      <c r="AA6823" s="9">
        <v>0</v>
      </c>
      <c r="AC6823" s="38">
        <v>0</v>
      </c>
      <c r="AD6823" s="38">
        <v>2.4</v>
      </c>
    </row>
    <row r="6824" spans="1:30" x14ac:dyDescent="0.25">
      <c r="A6824" s="22">
        <v>45175</v>
      </c>
      <c r="B6824" s="9">
        <v>0</v>
      </c>
      <c r="C6824" s="9">
        <v>0.4</v>
      </c>
      <c r="D6824" s="9">
        <v>9.6</v>
      </c>
      <c r="E6824" s="7">
        <v>0</v>
      </c>
      <c r="F6824" s="9">
        <v>1.1000000000000001</v>
      </c>
      <c r="G6824" s="9">
        <v>3.5</v>
      </c>
      <c r="H6824" s="9">
        <v>1</v>
      </c>
      <c r="I6824" s="9">
        <v>0.1</v>
      </c>
      <c r="J6824" s="9">
        <v>0.6</v>
      </c>
      <c r="K6824" s="9">
        <v>5.0999999999999996</v>
      </c>
      <c r="L6824" s="7">
        <v>0</v>
      </c>
      <c r="M6824" s="9">
        <v>0</v>
      </c>
      <c r="N6824" s="9">
        <v>0</v>
      </c>
      <c r="O6824" s="7"/>
      <c r="P6824" s="9">
        <v>0</v>
      </c>
      <c r="Q6824" s="9">
        <v>0</v>
      </c>
      <c r="R6824" s="9">
        <v>1.6</v>
      </c>
      <c r="S6824" s="8"/>
      <c r="T6824" s="15"/>
      <c r="U6824" s="9">
        <v>5</v>
      </c>
      <c r="V6824" s="9">
        <v>0</v>
      </c>
      <c r="W6824" s="9">
        <v>0</v>
      </c>
      <c r="X6824" s="9">
        <v>2</v>
      </c>
      <c r="Y6824" s="9">
        <v>0</v>
      </c>
      <c r="Z6824" s="9">
        <v>0</v>
      </c>
      <c r="AA6824" s="9">
        <v>0</v>
      </c>
      <c r="AC6824" s="38">
        <v>2</v>
      </c>
      <c r="AD6824" s="38">
        <v>1.2</v>
      </c>
    </row>
    <row r="6825" spans="1:30" x14ac:dyDescent="0.25">
      <c r="A6825" s="22">
        <v>45176</v>
      </c>
      <c r="B6825" s="9">
        <v>0</v>
      </c>
      <c r="C6825" s="9">
        <v>0</v>
      </c>
      <c r="D6825" s="9">
        <v>0</v>
      </c>
      <c r="E6825" s="7">
        <v>0</v>
      </c>
      <c r="F6825" s="9">
        <v>0</v>
      </c>
      <c r="G6825" s="9">
        <v>0.2</v>
      </c>
      <c r="H6825" s="9">
        <v>0</v>
      </c>
      <c r="I6825" s="9">
        <v>0</v>
      </c>
      <c r="J6825" s="9">
        <v>0</v>
      </c>
      <c r="K6825" s="9">
        <v>0</v>
      </c>
      <c r="L6825" s="7">
        <v>0</v>
      </c>
      <c r="M6825" s="9">
        <v>0</v>
      </c>
      <c r="N6825" s="9">
        <v>0</v>
      </c>
      <c r="O6825" s="7"/>
      <c r="P6825" s="9">
        <v>0</v>
      </c>
      <c r="Q6825" s="9">
        <v>0</v>
      </c>
      <c r="R6825" s="9">
        <v>0</v>
      </c>
      <c r="S6825" s="8"/>
      <c r="T6825" s="15"/>
      <c r="U6825" s="9">
        <v>0</v>
      </c>
      <c r="V6825" s="9">
        <v>0</v>
      </c>
      <c r="W6825" s="9">
        <v>0</v>
      </c>
      <c r="X6825" s="9">
        <v>0</v>
      </c>
      <c r="Y6825" s="9">
        <v>0</v>
      </c>
      <c r="Z6825" s="9">
        <v>0</v>
      </c>
      <c r="AA6825" s="9">
        <v>0</v>
      </c>
      <c r="AC6825" s="38">
        <v>0</v>
      </c>
      <c r="AD6825" s="38">
        <v>0</v>
      </c>
    </row>
    <row r="6826" spans="1:30" x14ac:dyDescent="0.25">
      <c r="A6826" s="22">
        <v>45177</v>
      </c>
      <c r="B6826" s="9">
        <v>0</v>
      </c>
      <c r="C6826" s="9">
        <v>0</v>
      </c>
      <c r="D6826" s="9">
        <v>0</v>
      </c>
      <c r="E6826" s="7">
        <v>0</v>
      </c>
      <c r="F6826" s="9">
        <v>0</v>
      </c>
      <c r="G6826" s="9">
        <v>0.2</v>
      </c>
      <c r="H6826" s="9">
        <v>1.1000000000000001</v>
      </c>
      <c r="I6826" s="9">
        <v>0</v>
      </c>
      <c r="J6826" s="9">
        <v>0</v>
      </c>
      <c r="K6826" s="9">
        <v>0</v>
      </c>
      <c r="L6826" s="7">
        <v>0</v>
      </c>
      <c r="M6826" s="9">
        <v>0.7</v>
      </c>
      <c r="N6826" s="9">
        <v>0</v>
      </c>
      <c r="O6826" s="7"/>
      <c r="P6826" s="9">
        <v>2</v>
      </c>
      <c r="Q6826" s="9">
        <v>0</v>
      </c>
      <c r="R6826" s="9">
        <v>0</v>
      </c>
      <c r="S6826" s="8"/>
      <c r="T6826" s="15"/>
      <c r="U6826" s="9">
        <v>0</v>
      </c>
      <c r="V6826" s="9">
        <v>0</v>
      </c>
      <c r="W6826" s="9">
        <v>0</v>
      </c>
      <c r="X6826" s="9">
        <v>0</v>
      </c>
      <c r="Y6826" s="9">
        <v>0</v>
      </c>
      <c r="Z6826" s="9">
        <v>0</v>
      </c>
      <c r="AA6826" s="9">
        <v>10</v>
      </c>
      <c r="AC6826" s="38">
        <v>0</v>
      </c>
      <c r="AD6826" s="38">
        <v>0</v>
      </c>
    </row>
    <row r="6827" spans="1:30" x14ac:dyDescent="0.25">
      <c r="A6827" s="22">
        <v>45178</v>
      </c>
      <c r="B6827" s="9">
        <v>0</v>
      </c>
      <c r="C6827" s="9">
        <v>0</v>
      </c>
      <c r="D6827" s="9">
        <v>0</v>
      </c>
      <c r="E6827" s="7">
        <v>0</v>
      </c>
      <c r="F6827" s="9">
        <v>0</v>
      </c>
      <c r="G6827" s="9">
        <v>0.1</v>
      </c>
      <c r="H6827" s="9">
        <v>0</v>
      </c>
      <c r="I6827" s="9">
        <v>0</v>
      </c>
      <c r="J6827" s="9">
        <v>0</v>
      </c>
      <c r="K6827" s="9">
        <v>0</v>
      </c>
      <c r="L6827" s="7">
        <v>0</v>
      </c>
      <c r="M6827" s="9">
        <v>0</v>
      </c>
      <c r="N6827" s="9">
        <v>0</v>
      </c>
      <c r="O6827" s="7"/>
      <c r="P6827" s="9">
        <v>0</v>
      </c>
      <c r="Q6827" s="9">
        <v>0</v>
      </c>
      <c r="R6827" s="9">
        <v>2.1</v>
      </c>
      <c r="S6827" s="8"/>
      <c r="T6827" s="15"/>
      <c r="U6827" s="9">
        <v>0</v>
      </c>
      <c r="V6827" s="9">
        <v>0</v>
      </c>
      <c r="W6827" s="9">
        <v>0</v>
      </c>
      <c r="X6827" s="9">
        <v>0</v>
      </c>
      <c r="Y6827" s="9">
        <v>0</v>
      </c>
      <c r="Z6827" s="9">
        <v>0</v>
      </c>
      <c r="AA6827" s="9">
        <v>0</v>
      </c>
      <c r="AC6827" s="38">
        <v>0</v>
      </c>
      <c r="AD6827" s="38">
        <v>0</v>
      </c>
    </row>
    <row r="6828" spans="1:30" x14ac:dyDescent="0.25">
      <c r="A6828" s="22">
        <v>45179</v>
      </c>
      <c r="B6828" s="9">
        <v>1</v>
      </c>
      <c r="C6828" s="9">
        <v>0</v>
      </c>
      <c r="D6828" s="9">
        <v>0</v>
      </c>
      <c r="E6828" s="7">
        <v>0</v>
      </c>
      <c r="F6828" s="9">
        <v>0</v>
      </c>
      <c r="G6828" s="9">
        <v>0.2</v>
      </c>
      <c r="H6828" s="9">
        <v>0</v>
      </c>
      <c r="I6828" s="9">
        <v>0</v>
      </c>
      <c r="J6828" s="9">
        <v>0</v>
      </c>
      <c r="K6828" s="9">
        <v>0</v>
      </c>
      <c r="L6828" s="7">
        <v>0</v>
      </c>
      <c r="M6828" s="9">
        <v>0</v>
      </c>
      <c r="N6828" s="9">
        <v>0</v>
      </c>
      <c r="O6828" s="7"/>
      <c r="P6828" s="9">
        <v>0</v>
      </c>
      <c r="Q6828" s="9">
        <v>2.5</v>
      </c>
      <c r="R6828" s="9">
        <v>0</v>
      </c>
      <c r="S6828" s="8"/>
      <c r="T6828" s="15"/>
      <c r="U6828" s="9">
        <v>0</v>
      </c>
      <c r="V6828" s="9">
        <v>0</v>
      </c>
      <c r="W6828" s="9">
        <v>0</v>
      </c>
      <c r="X6828" s="9">
        <v>0</v>
      </c>
      <c r="Y6828" s="9">
        <v>0</v>
      </c>
      <c r="Z6828" s="9">
        <v>0</v>
      </c>
      <c r="AA6828" s="9">
        <v>0</v>
      </c>
      <c r="AC6828" s="38">
        <v>0</v>
      </c>
      <c r="AD6828" s="38">
        <v>0</v>
      </c>
    </row>
    <row r="6829" spans="1:30" x14ac:dyDescent="0.25">
      <c r="A6829" s="22">
        <v>45180</v>
      </c>
      <c r="B6829" s="9">
        <v>0</v>
      </c>
      <c r="C6829" s="9">
        <v>0</v>
      </c>
      <c r="D6829" s="9">
        <v>0.4</v>
      </c>
      <c r="E6829" s="7">
        <v>0</v>
      </c>
      <c r="F6829" s="9">
        <v>0</v>
      </c>
      <c r="G6829" s="9">
        <v>4.2</v>
      </c>
      <c r="H6829" s="9">
        <v>0</v>
      </c>
      <c r="I6829" s="9">
        <v>5.2</v>
      </c>
      <c r="J6829" s="9">
        <v>2.2000000000000002</v>
      </c>
      <c r="K6829" s="9">
        <v>2.5</v>
      </c>
      <c r="L6829" s="7">
        <v>0</v>
      </c>
      <c r="M6829" s="9">
        <v>1</v>
      </c>
      <c r="N6829" s="9">
        <v>0</v>
      </c>
      <c r="O6829" s="7"/>
      <c r="P6829" s="9">
        <v>0</v>
      </c>
      <c r="Q6829" s="9">
        <v>3.4</v>
      </c>
      <c r="R6829" s="9">
        <v>0</v>
      </c>
      <c r="S6829" s="8"/>
      <c r="T6829" s="15"/>
      <c r="U6829" s="9">
        <v>0</v>
      </c>
      <c r="V6829" s="9">
        <v>0</v>
      </c>
      <c r="W6829" s="9">
        <v>4.0999999999999996</v>
      </c>
      <c r="X6829" s="9">
        <v>0</v>
      </c>
      <c r="Y6829" s="9">
        <v>0</v>
      </c>
      <c r="Z6829" s="9">
        <v>0</v>
      </c>
      <c r="AA6829" s="9">
        <v>0</v>
      </c>
      <c r="AC6829" s="38">
        <v>0</v>
      </c>
      <c r="AD6829" s="38">
        <v>0</v>
      </c>
    </row>
    <row r="6830" spans="1:30" x14ac:dyDescent="0.25">
      <c r="A6830" s="22">
        <v>45181</v>
      </c>
      <c r="B6830" s="9">
        <v>0</v>
      </c>
      <c r="C6830" s="9">
        <v>1.6</v>
      </c>
      <c r="D6830" s="9">
        <v>0.4</v>
      </c>
      <c r="E6830" s="7">
        <v>0</v>
      </c>
      <c r="F6830" s="9">
        <v>0</v>
      </c>
      <c r="G6830" s="9">
        <v>2.1</v>
      </c>
      <c r="H6830" s="9">
        <v>0</v>
      </c>
      <c r="I6830" s="9">
        <v>2.6</v>
      </c>
      <c r="J6830" s="9">
        <v>0.3</v>
      </c>
      <c r="K6830" s="9">
        <v>1.8</v>
      </c>
      <c r="L6830" s="7">
        <v>0</v>
      </c>
      <c r="M6830" s="9">
        <v>6.4</v>
      </c>
      <c r="N6830" s="9">
        <v>0</v>
      </c>
      <c r="O6830" s="7"/>
      <c r="P6830" s="9">
        <v>0</v>
      </c>
      <c r="Q6830" s="9">
        <v>0</v>
      </c>
      <c r="R6830" s="9">
        <v>0</v>
      </c>
      <c r="S6830" s="8"/>
      <c r="T6830" s="15"/>
      <c r="U6830" s="9">
        <v>0</v>
      </c>
      <c r="V6830" s="9">
        <v>0</v>
      </c>
      <c r="W6830" s="9">
        <v>4.0999999999999996</v>
      </c>
      <c r="X6830" s="9">
        <v>0</v>
      </c>
      <c r="Y6830" s="9">
        <v>0</v>
      </c>
      <c r="Z6830" s="9">
        <v>0</v>
      </c>
      <c r="AA6830" s="9">
        <v>0</v>
      </c>
      <c r="AC6830" s="38">
        <v>0</v>
      </c>
      <c r="AD6830" s="38">
        <v>0</v>
      </c>
    </row>
    <row r="6831" spans="1:30" x14ac:dyDescent="0.25">
      <c r="A6831" s="22">
        <v>45182</v>
      </c>
      <c r="B6831" s="9">
        <v>0</v>
      </c>
      <c r="C6831" s="9">
        <v>0</v>
      </c>
      <c r="D6831" s="9">
        <v>0</v>
      </c>
      <c r="E6831" s="7">
        <v>0</v>
      </c>
      <c r="F6831" s="9">
        <v>0</v>
      </c>
      <c r="G6831" s="9">
        <v>0</v>
      </c>
      <c r="H6831" s="9">
        <v>0</v>
      </c>
      <c r="I6831" s="9">
        <v>0</v>
      </c>
      <c r="J6831" s="9">
        <v>0</v>
      </c>
      <c r="K6831" s="9">
        <v>1.8</v>
      </c>
      <c r="L6831" s="7">
        <v>0</v>
      </c>
      <c r="M6831" s="9">
        <v>0</v>
      </c>
      <c r="N6831" s="9">
        <v>0</v>
      </c>
      <c r="O6831" s="7"/>
      <c r="P6831" s="9">
        <v>0</v>
      </c>
      <c r="Q6831" s="9">
        <v>0</v>
      </c>
      <c r="R6831" s="9">
        <v>0</v>
      </c>
      <c r="S6831" s="10"/>
      <c r="T6831" s="15"/>
      <c r="U6831" s="9">
        <v>0</v>
      </c>
      <c r="V6831" s="9">
        <v>0</v>
      </c>
      <c r="W6831" s="9">
        <v>0</v>
      </c>
      <c r="X6831" s="9">
        <v>1.2</v>
      </c>
      <c r="Y6831" s="9">
        <v>0</v>
      </c>
      <c r="Z6831" s="9">
        <v>0</v>
      </c>
      <c r="AA6831" s="9">
        <v>0</v>
      </c>
      <c r="AC6831" s="38">
        <v>0</v>
      </c>
      <c r="AD6831" s="38">
        <v>0</v>
      </c>
    </row>
    <row r="6832" spans="1:30" x14ac:dyDescent="0.25">
      <c r="A6832" s="22">
        <v>45183</v>
      </c>
      <c r="B6832" s="9">
        <v>0</v>
      </c>
      <c r="C6832" s="9">
        <v>0</v>
      </c>
      <c r="D6832" s="9">
        <v>0.2</v>
      </c>
      <c r="E6832" s="7">
        <v>0</v>
      </c>
      <c r="F6832" s="9">
        <v>0</v>
      </c>
      <c r="G6832" s="9">
        <v>0</v>
      </c>
      <c r="H6832" s="9">
        <v>0</v>
      </c>
      <c r="I6832" s="9">
        <v>0</v>
      </c>
      <c r="J6832" s="9">
        <v>0</v>
      </c>
      <c r="K6832" s="9">
        <v>0</v>
      </c>
      <c r="L6832" s="7">
        <v>0</v>
      </c>
      <c r="M6832" s="9">
        <v>0</v>
      </c>
      <c r="N6832" s="9">
        <v>0</v>
      </c>
      <c r="O6832" s="7"/>
      <c r="P6832" s="9">
        <v>0</v>
      </c>
      <c r="Q6832" s="9">
        <v>0</v>
      </c>
      <c r="R6832" s="9">
        <v>0</v>
      </c>
      <c r="S6832" s="10"/>
      <c r="T6832" s="15"/>
      <c r="U6832" s="9">
        <v>0</v>
      </c>
      <c r="V6832" s="9">
        <v>0</v>
      </c>
      <c r="W6832" s="9">
        <v>0</v>
      </c>
      <c r="X6832" s="9">
        <v>0</v>
      </c>
      <c r="Y6832" s="9">
        <v>0</v>
      </c>
      <c r="Z6832" s="9">
        <v>0</v>
      </c>
      <c r="AA6832" s="9">
        <v>0</v>
      </c>
      <c r="AC6832" s="38">
        <v>0</v>
      </c>
      <c r="AD6832" s="38">
        <v>0</v>
      </c>
    </row>
    <row r="6833" spans="1:30" x14ac:dyDescent="0.25">
      <c r="A6833" s="22">
        <v>45184</v>
      </c>
      <c r="B6833" s="9">
        <v>0</v>
      </c>
      <c r="C6833" s="9">
        <v>0</v>
      </c>
      <c r="D6833" s="9">
        <v>0</v>
      </c>
      <c r="E6833" s="7">
        <v>0</v>
      </c>
      <c r="F6833" s="9">
        <v>0</v>
      </c>
      <c r="G6833" s="9">
        <v>0</v>
      </c>
      <c r="H6833" s="9">
        <v>0</v>
      </c>
      <c r="I6833" s="9">
        <v>0</v>
      </c>
      <c r="J6833" s="9">
        <v>0</v>
      </c>
      <c r="K6833" s="9">
        <v>0</v>
      </c>
      <c r="L6833" s="7">
        <v>0</v>
      </c>
      <c r="M6833" s="9">
        <v>0</v>
      </c>
      <c r="N6833" s="9">
        <v>0</v>
      </c>
      <c r="O6833" s="7"/>
      <c r="P6833" s="9">
        <v>0</v>
      </c>
      <c r="Q6833" s="9">
        <v>8.5</v>
      </c>
      <c r="R6833" s="9">
        <v>0</v>
      </c>
      <c r="S6833" s="10"/>
      <c r="T6833" s="15"/>
      <c r="U6833" s="9">
        <v>0</v>
      </c>
      <c r="V6833" s="9">
        <v>0</v>
      </c>
      <c r="W6833" s="9">
        <v>0</v>
      </c>
      <c r="X6833" s="9">
        <v>0</v>
      </c>
      <c r="Y6833" s="9">
        <v>0</v>
      </c>
      <c r="Z6833" s="9">
        <v>0</v>
      </c>
      <c r="AA6833" s="9">
        <v>0</v>
      </c>
      <c r="AC6833" s="38">
        <v>0</v>
      </c>
      <c r="AD6833" s="38">
        <v>0</v>
      </c>
    </row>
    <row r="6834" spans="1:30" x14ac:dyDescent="0.25">
      <c r="A6834" s="22">
        <v>45185</v>
      </c>
      <c r="B6834" s="9">
        <v>0</v>
      </c>
      <c r="C6834" s="9">
        <v>0</v>
      </c>
      <c r="D6834" s="9">
        <v>0</v>
      </c>
      <c r="E6834" s="7">
        <v>0.2</v>
      </c>
      <c r="F6834" s="9">
        <v>0</v>
      </c>
      <c r="G6834" s="9">
        <v>0</v>
      </c>
      <c r="H6834" s="9">
        <v>0</v>
      </c>
      <c r="I6834" s="9">
        <v>0</v>
      </c>
      <c r="J6834" s="9">
        <v>0</v>
      </c>
      <c r="K6834" s="9">
        <v>0</v>
      </c>
      <c r="L6834" s="7">
        <v>0</v>
      </c>
      <c r="M6834" s="9">
        <v>0</v>
      </c>
      <c r="N6834" s="9">
        <v>0</v>
      </c>
      <c r="O6834" s="7"/>
      <c r="P6834" s="9">
        <v>0</v>
      </c>
      <c r="Q6834" s="9">
        <v>0</v>
      </c>
      <c r="R6834" s="9">
        <v>21.9</v>
      </c>
      <c r="S6834" s="10"/>
      <c r="T6834" s="15"/>
      <c r="U6834" s="9">
        <v>0</v>
      </c>
      <c r="V6834" s="9">
        <v>0</v>
      </c>
      <c r="W6834" s="9">
        <v>0</v>
      </c>
      <c r="X6834" s="9">
        <v>0</v>
      </c>
      <c r="Y6834" s="9">
        <v>0</v>
      </c>
      <c r="Z6834" s="9">
        <v>0</v>
      </c>
      <c r="AA6834" s="9">
        <v>0</v>
      </c>
      <c r="AC6834" s="38">
        <v>0</v>
      </c>
      <c r="AD6834" s="38">
        <v>0</v>
      </c>
    </row>
    <row r="6835" spans="1:30" x14ac:dyDescent="0.25">
      <c r="A6835" s="22">
        <v>45186</v>
      </c>
      <c r="B6835" s="9">
        <v>0</v>
      </c>
      <c r="C6835" s="9">
        <v>0</v>
      </c>
      <c r="D6835" s="9">
        <v>0</v>
      </c>
      <c r="E6835" s="7">
        <v>0</v>
      </c>
      <c r="F6835" s="9">
        <v>0</v>
      </c>
      <c r="G6835" s="9">
        <v>0</v>
      </c>
      <c r="H6835" s="9">
        <v>0</v>
      </c>
      <c r="I6835" s="9">
        <v>0</v>
      </c>
      <c r="J6835" s="9">
        <v>0</v>
      </c>
      <c r="K6835" s="9">
        <v>0</v>
      </c>
      <c r="L6835" s="7">
        <v>0</v>
      </c>
      <c r="M6835" s="9">
        <v>0</v>
      </c>
      <c r="N6835" s="9">
        <v>0</v>
      </c>
      <c r="O6835" s="7"/>
      <c r="P6835" s="9">
        <v>0</v>
      </c>
      <c r="Q6835" s="9">
        <v>0</v>
      </c>
      <c r="R6835" s="9">
        <v>0</v>
      </c>
      <c r="S6835" s="10"/>
      <c r="T6835" s="15"/>
      <c r="U6835" s="9">
        <v>0</v>
      </c>
      <c r="V6835" s="9">
        <v>0</v>
      </c>
      <c r="W6835" s="9">
        <v>0</v>
      </c>
      <c r="X6835" s="9">
        <v>0</v>
      </c>
      <c r="Y6835" s="9">
        <v>0</v>
      </c>
      <c r="Z6835" s="9">
        <v>0</v>
      </c>
      <c r="AA6835" s="9">
        <v>0</v>
      </c>
      <c r="AC6835" s="38">
        <v>0</v>
      </c>
      <c r="AD6835" s="38">
        <v>0</v>
      </c>
    </row>
    <row r="6836" spans="1:30" x14ac:dyDescent="0.25">
      <c r="A6836" s="22">
        <v>45187</v>
      </c>
      <c r="B6836" s="9">
        <v>0</v>
      </c>
      <c r="C6836" s="9">
        <v>0</v>
      </c>
      <c r="D6836" s="9">
        <v>0</v>
      </c>
      <c r="E6836" s="7">
        <v>0</v>
      </c>
      <c r="F6836" s="9">
        <v>0</v>
      </c>
      <c r="G6836" s="9">
        <v>0</v>
      </c>
      <c r="H6836" s="9">
        <v>0</v>
      </c>
      <c r="I6836" s="9">
        <v>0</v>
      </c>
      <c r="J6836" s="9">
        <v>0</v>
      </c>
      <c r="K6836" s="9">
        <v>0</v>
      </c>
      <c r="L6836" s="7">
        <v>0</v>
      </c>
      <c r="M6836" s="9">
        <v>0</v>
      </c>
      <c r="N6836" s="9">
        <v>0</v>
      </c>
      <c r="O6836" s="7"/>
      <c r="P6836" s="9">
        <v>0</v>
      </c>
      <c r="Q6836" s="9">
        <v>0</v>
      </c>
      <c r="R6836" s="9">
        <v>0</v>
      </c>
      <c r="S6836" s="10"/>
      <c r="T6836" s="15"/>
      <c r="U6836" s="9">
        <v>0</v>
      </c>
      <c r="V6836" s="9">
        <v>0</v>
      </c>
      <c r="W6836" s="9">
        <v>0</v>
      </c>
      <c r="X6836" s="9">
        <v>0</v>
      </c>
      <c r="Y6836" s="9">
        <v>0</v>
      </c>
      <c r="Z6836" s="9">
        <v>0</v>
      </c>
      <c r="AA6836" s="9">
        <v>0</v>
      </c>
      <c r="AC6836" s="38">
        <v>0</v>
      </c>
      <c r="AD6836" s="38">
        <v>0</v>
      </c>
    </row>
    <row r="6837" spans="1:30" x14ac:dyDescent="0.25">
      <c r="A6837" s="22">
        <v>45188</v>
      </c>
      <c r="B6837" s="9">
        <v>0</v>
      </c>
      <c r="C6837" s="9">
        <v>0</v>
      </c>
      <c r="D6837" s="9">
        <v>0</v>
      </c>
      <c r="E6837" s="7">
        <v>0</v>
      </c>
      <c r="F6837" s="9">
        <v>0</v>
      </c>
      <c r="G6837" s="9">
        <v>0</v>
      </c>
      <c r="H6837" s="9">
        <v>0</v>
      </c>
      <c r="I6837" s="9">
        <v>0</v>
      </c>
      <c r="J6837" s="9">
        <v>0</v>
      </c>
      <c r="K6837" s="9">
        <v>0</v>
      </c>
      <c r="L6837" s="7">
        <v>0</v>
      </c>
      <c r="M6837" s="9">
        <v>0</v>
      </c>
      <c r="N6837" s="9">
        <v>0</v>
      </c>
      <c r="O6837" s="7"/>
      <c r="P6837" s="9">
        <v>0</v>
      </c>
      <c r="Q6837" s="9">
        <v>0</v>
      </c>
      <c r="R6837" s="9">
        <v>0</v>
      </c>
      <c r="S6837" s="10"/>
      <c r="T6837" s="15"/>
      <c r="U6837" s="9">
        <v>0</v>
      </c>
      <c r="V6837" s="9">
        <v>0</v>
      </c>
      <c r="W6837" s="9">
        <v>0</v>
      </c>
      <c r="X6837" s="9">
        <v>0</v>
      </c>
      <c r="Y6837" s="9">
        <v>0</v>
      </c>
      <c r="Z6837" s="9">
        <v>0</v>
      </c>
      <c r="AA6837" s="9">
        <v>0</v>
      </c>
      <c r="AC6837" s="38">
        <v>0</v>
      </c>
      <c r="AD6837" s="38">
        <v>0</v>
      </c>
    </row>
    <row r="6838" spans="1:30" x14ac:dyDescent="0.25">
      <c r="A6838" s="22">
        <v>45189</v>
      </c>
      <c r="B6838" s="9">
        <v>0</v>
      </c>
      <c r="C6838" s="9">
        <v>0</v>
      </c>
      <c r="D6838" s="9">
        <v>0</v>
      </c>
      <c r="E6838" s="7">
        <v>2.4</v>
      </c>
      <c r="F6838" s="9">
        <v>0</v>
      </c>
      <c r="G6838" s="9">
        <v>0</v>
      </c>
      <c r="H6838" s="9">
        <v>0</v>
      </c>
      <c r="I6838" s="9">
        <v>0</v>
      </c>
      <c r="J6838" s="9">
        <v>2.4</v>
      </c>
      <c r="K6838" s="9">
        <v>0</v>
      </c>
      <c r="L6838" s="7">
        <v>0</v>
      </c>
      <c r="M6838" s="9">
        <v>0</v>
      </c>
      <c r="N6838" s="9">
        <v>0</v>
      </c>
      <c r="O6838" s="7"/>
      <c r="P6838" s="9">
        <v>0</v>
      </c>
      <c r="Q6838" s="9">
        <v>8.6999999999999993</v>
      </c>
      <c r="R6838" s="9">
        <v>6.2</v>
      </c>
      <c r="S6838" s="10"/>
      <c r="T6838" s="15"/>
      <c r="U6838" s="9">
        <v>0</v>
      </c>
      <c r="V6838" s="9">
        <v>0</v>
      </c>
      <c r="W6838" s="9">
        <v>0</v>
      </c>
      <c r="X6838" s="9">
        <v>0</v>
      </c>
      <c r="Y6838" s="9">
        <v>0</v>
      </c>
      <c r="Z6838" s="9">
        <v>0</v>
      </c>
      <c r="AA6838" s="9">
        <v>0</v>
      </c>
      <c r="AC6838" s="38">
        <v>0</v>
      </c>
      <c r="AD6838" s="38">
        <v>0</v>
      </c>
    </row>
    <row r="6839" spans="1:30" x14ac:dyDescent="0.25">
      <c r="A6839" s="22">
        <v>45190</v>
      </c>
      <c r="B6839" s="9">
        <v>11</v>
      </c>
      <c r="C6839" s="9">
        <v>10</v>
      </c>
      <c r="D6839" s="9">
        <v>14.8</v>
      </c>
      <c r="E6839" s="7">
        <v>2.8</v>
      </c>
      <c r="F6839" s="9">
        <v>10</v>
      </c>
      <c r="G6839" s="9">
        <v>36.799999999999997</v>
      </c>
      <c r="H6839" s="9">
        <v>21.5</v>
      </c>
      <c r="I6839" s="9">
        <v>58</v>
      </c>
      <c r="J6839" s="9">
        <v>25</v>
      </c>
      <c r="K6839" s="9">
        <v>18.2</v>
      </c>
      <c r="L6839" s="7">
        <v>4.8259999999999996</v>
      </c>
      <c r="M6839" s="9">
        <v>0</v>
      </c>
      <c r="N6839" s="9">
        <v>1.6</v>
      </c>
      <c r="O6839" s="7"/>
      <c r="P6839" s="9">
        <v>12</v>
      </c>
      <c r="Q6839" s="9">
        <v>2</v>
      </c>
      <c r="R6839" s="9">
        <v>0</v>
      </c>
      <c r="S6839" s="10"/>
      <c r="T6839" s="15"/>
      <c r="U6839" s="9">
        <v>7</v>
      </c>
      <c r="V6839" s="9">
        <v>12.3</v>
      </c>
      <c r="W6839" s="9">
        <v>40.4</v>
      </c>
      <c r="X6839" s="9">
        <v>8</v>
      </c>
      <c r="Y6839" s="9">
        <v>10</v>
      </c>
      <c r="Z6839" s="9">
        <v>10.5</v>
      </c>
      <c r="AA6839" s="9">
        <v>0</v>
      </c>
      <c r="AC6839" s="38">
        <v>0</v>
      </c>
      <c r="AD6839" s="38">
        <v>19.399999999999999</v>
      </c>
    </row>
    <row r="6840" spans="1:30" x14ac:dyDescent="0.25">
      <c r="A6840" s="22">
        <v>45191</v>
      </c>
      <c r="B6840" s="9">
        <v>4</v>
      </c>
      <c r="C6840" s="9">
        <v>5.2</v>
      </c>
      <c r="D6840" s="9">
        <v>3</v>
      </c>
      <c r="E6840" s="7">
        <v>0.2</v>
      </c>
      <c r="F6840" s="9">
        <v>2</v>
      </c>
      <c r="G6840" s="9">
        <v>4.5999999999999996</v>
      </c>
      <c r="H6840" s="9">
        <v>0</v>
      </c>
      <c r="I6840" s="9">
        <v>8.4</v>
      </c>
      <c r="J6840" s="9">
        <v>4</v>
      </c>
      <c r="K6840" s="9">
        <v>2</v>
      </c>
      <c r="L6840" s="7">
        <v>7.1120000000000001</v>
      </c>
      <c r="M6840" s="9">
        <v>8.1999999999999993</v>
      </c>
      <c r="N6840" s="9">
        <v>8.7999999999999989</v>
      </c>
      <c r="O6840" s="7"/>
      <c r="P6840" s="9">
        <v>4</v>
      </c>
      <c r="Q6840" s="9">
        <v>0</v>
      </c>
      <c r="R6840" s="9">
        <v>1.1000000000000001</v>
      </c>
      <c r="S6840" s="10"/>
      <c r="T6840" s="15"/>
      <c r="U6840" s="9">
        <v>2</v>
      </c>
      <c r="V6840" s="9">
        <v>3.2</v>
      </c>
      <c r="W6840" s="9">
        <v>6.3</v>
      </c>
      <c r="X6840" s="9">
        <v>0</v>
      </c>
      <c r="Y6840" s="9">
        <v>0</v>
      </c>
      <c r="Z6840" s="9">
        <v>0</v>
      </c>
      <c r="AA6840" s="9">
        <v>4</v>
      </c>
      <c r="AC6840" s="38">
        <v>1</v>
      </c>
      <c r="AD6840" s="38">
        <v>24.4</v>
      </c>
    </row>
    <row r="6841" spans="1:30" x14ac:dyDescent="0.25">
      <c r="A6841" s="22">
        <v>45192</v>
      </c>
      <c r="B6841" s="9">
        <v>7</v>
      </c>
      <c r="C6841" s="9">
        <v>14.8</v>
      </c>
      <c r="D6841" s="9">
        <v>18.2</v>
      </c>
      <c r="E6841" s="7">
        <v>0</v>
      </c>
      <c r="F6841" s="9">
        <v>3</v>
      </c>
      <c r="G6841" s="9">
        <v>8.5</v>
      </c>
      <c r="H6841" s="9">
        <v>0.9</v>
      </c>
      <c r="I6841" s="9">
        <v>9.6</v>
      </c>
      <c r="J6841" s="9">
        <v>10.4</v>
      </c>
      <c r="K6841" s="9">
        <v>8</v>
      </c>
      <c r="L6841" s="7">
        <v>1.778</v>
      </c>
      <c r="M6841" s="9">
        <v>5.4</v>
      </c>
      <c r="N6841" s="9">
        <v>0</v>
      </c>
      <c r="O6841" s="7"/>
      <c r="P6841" s="9">
        <v>14</v>
      </c>
      <c r="Q6841" s="9">
        <v>5</v>
      </c>
      <c r="R6841" s="9">
        <v>0</v>
      </c>
      <c r="S6841" s="8"/>
      <c r="T6841" s="15"/>
      <c r="U6841" s="9">
        <v>30</v>
      </c>
      <c r="V6841" s="9">
        <v>5.2</v>
      </c>
      <c r="W6841" s="9">
        <v>10.3</v>
      </c>
      <c r="X6841" s="9">
        <v>0</v>
      </c>
      <c r="Y6841" s="9">
        <v>14.5</v>
      </c>
      <c r="Z6841" s="9">
        <v>18</v>
      </c>
      <c r="AA6841" s="9">
        <v>20</v>
      </c>
      <c r="AC6841" s="38">
        <v>0</v>
      </c>
      <c r="AD6841" s="38">
        <v>0</v>
      </c>
    </row>
    <row r="6842" spans="1:30" x14ac:dyDescent="0.25">
      <c r="A6842" s="22">
        <v>45193</v>
      </c>
      <c r="B6842" s="9">
        <v>12.5</v>
      </c>
      <c r="C6842" s="9">
        <v>0</v>
      </c>
      <c r="D6842" s="9">
        <v>1.2</v>
      </c>
      <c r="E6842" s="7">
        <v>6.8</v>
      </c>
      <c r="F6842" s="9">
        <v>0</v>
      </c>
      <c r="G6842" s="9">
        <v>0</v>
      </c>
      <c r="H6842" s="9">
        <v>0</v>
      </c>
      <c r="I6842" s="9">
        <v>0</v>
      </c>
      <c r="J6842" s="9">
        <v>0</v>
      </c>
      <c r="K6842" s="9">
        <v>0</v>
      </c>
      <c r="L6842" s="7">
        <v>1.27</v>
      </c>
      <c r="M6842" s="9">
        <v>0</v>
      </c>
      <c r="N6842" s="9">
        <v>0</v>
      </c>
      <c r="O6842" s="7"/>
      <c r="P6842" s="9">
        <v>2</v>
      </c>
      <c r="Q6842" s="9">
        <v>5</v>
      </c>
      <c r="R6842" s="9">
        <v>2.1</v>
      </c>
      <c r="S6842" s="8"/>
      <c r="T6842" s="15"/>
      <c r="U6842" s="9">
        <v>0</v>
      </c>
      <c r="V6842" s="9">
        <v>0</v>
      </c>
      <c r="W6842" s="9">
        <v>0</v>
      </c>
      <c r="X6842" s="9">
        <v>0</v>
      </c>
      <c r="Y6842" s="9">
        <v>0</v>
      </c>
      <c r="Z6842" s="9">
        <v>0</v>
      </c>
      <c r="AA6842" s="9">
        <v>28</v>
      </c>
      <c r="AC6842" s="38">
        <v>0</v>
      </c>
      <c r="AD6842" s="38">
        <v>0</v>
      </c>
    </row>
    <row r="6843" spans="1:30" x14ac:dyDescent="0.25">
      <c r="A6843" s="22">
        <v>45194</v>
      </c>
      <c r="B6843" s="9">
        <v>7</v>
      </c>
      <c r="C6843" s="9">
        <v>10</v>
      </c>
      <c r="D6843" s="9">
        <v>12.8</v>
      </c>
      <c r="E6843" s="7">
        <v>0.2</v>
      </c>
      <c r="F6843" s="9">
        <v>3.1</v>
      </c>
      <c r="G6843" s="9">
        <v>5.5</v>
      </c>
      <c r="H6843" s="9">
        <v>2</v>
      </c>
      <c r="I6843" s="9">
        <v>2</v>
      </c>
      <c r="J6843" s="9">
        <v>3.9</v>
      </c>
      <c r="K6843" s="9">
        <v>10</v>
      </c>
      <c r="L6843" s="7">
        <v>2.032</v>
      </c>
      <c r="M6843" s="9">
        <v>4.8</v>
      </c>
      <c r="N6843" s="9">
        <v>8.8000000000000007</v>
      </c>
      <c r="O6843" s="7"/>
      <c r="P6843" s="9">
        <v>1</v>
      </c>
      <c r="Q6843" s="9">
        <v>2</v>
      </c>
      <c r="R6843" s="9">
        <v>0.8</v>
      </c>
      <c r="S6843" s="8"/>
      <c r="T6843" s="15"/>
      <c r="U6843" s="9">
        <v>0</v>
      </c>
      <c r="V6843" s="9">
        <v>0</v>
      </c>
      <c r="W6843" s="9">
        <v>2.2999999999999998</v>
      </c>
      <c r="X6843" s="9">
        <v>3</v>
      </c>
      <c r="Y6843" s="9">
        <v>3.2</v>
      </c>
      <c r="Z6843" s="9">
        <v>2</v>
      </c>
      <c r="AA6843" s="9">
        <v>8</v>
      </c>
      <c r="AC6843" s="38">
        <v>40</v>
      </c>
      <c r="AD6843" s="38">
        <v>18.600000000000001</v>
      </c>
    </row>
    <row r="6844" spans="1:30" x14ac:dyDescent="0.25">
      <c r="A6844" s="22">
        <v>45195</v>
      </c>
      <c r="B6844" s="9">
        <v>7</v>
      </c>
      <c r="C6844" s="9">
        <v>0</v>
      </c>
      <c r="D6844" s="9">
        <v>2.2000000000000002</v>
      </c>
      <c r="E6844" s="7">
        <v>0</v>
      </c>
      <c r="F6844" s="9">
        <v>3.1</v>
      </c>
      <c r="G6844" s="9">
        <v>8.4</v>
      </c>
      <c r="H6844" s="9">
        <v>2.4</v>
      </c>
      <c r="I6844" s="9">
        <v>13.1</v>
      </c>
      <c r="J6844" s="9">
        <v>18.100000000000001</v>
      </c>
      <c r="K6844" s="9">
        <v>10.5</v>
      </c>
      <c r="L6844" s="7">
        <v>0.50800000000000001</v>
      </c>
      <c r="M6844" s="9">
        <v>4.5999999999999996</v>
      </c>
      <c r="N6844" s="9">
        <v>0</v>
      </c>
      <c r="O6844" s="7"/>
      <c r="P6844" s="9">
        <v>2</v>
      </c>
      <c r="Q6844" s="9">
        <v>2</v>
      </c>
      <c r="R6844" s="9">
        <v>0</v>
      </c>
      <c r="S6844" s="8"/>
      <c r="T6844" s="15"/>
      <c r="U6844" s="9">
        <v>5</v>
      </c>
      <c r="V6844" s="9">
        <v>5.2</v>
      </c>
      <c r="W6844" s="9">
        <v>15.4</v>
      </c>
      <c r="X6844" s="9">
        <v>0</v>
      </c>
      <c r="Y6844" s="9">
        <v>6</v>
      </c>
      <c r="Z6844" s="9">
        <v>6</v>
      </c>
      <c r="AA6844" s="9">
        <v>6</v>
      </c>
      <c r="AC6844" s="38">
        <v>0</v>
      </c>
      <c r="AD6844" s="38">
        <v>0</v>
      </c>
    </row>
    <row r="6845" spans="1:30" x14ac:dyDescent="0.25">
      <c r="A6845" s="22">
        <v>45196</v>
      </c>
      <c r="B6845" s="9">
        <v>0</v>
      </c>
      <c r="C6845" s="9">
        <v>0</v>
      </c>
      <c r="D6845" s="9">
        <v>0</v>
      </c>
      <c r="E6845" s="7">
        <v>1.5999999999999999</v>
      </c>
      <c r="F6845" s="9">
        <v>1.2</v>
      </c>
      <c r="G6845" s="9">
        <v>0.2</v>
      </c>
      <c r="H6845" s="9">
        <v>0</v>
      </c>
      <c r="I6845" s="9">
        <v>0.1</v>
      </c>
      <c r="J6845" s="9">
        <v>0</v>
      </c>
      <c r="K6845" s="9">
        <v>0</v>
      </c>
      <c r="L6845" s="7">
        <v>0</v>
      </c>
      <c r="M6845" s="9">
        <v>0</v>
      </c>
      <c r="N6845" s="9">
        <v>0</v>
      </c>
      <c r="O6845" s="7"/>
      <c r="P6845" s="9">
        <v>0</v>
      </c>
      <c r="Q6845" s="9">
        <v>0</v>
      </c>
      <c r="R6845" s="9">
        <v>4.0999999999999996</v>
      </c>
      <c r="S6845" s="8"/>
      <c r="T6845" s="15"/>
      <c r="U6845" s="9">
        <v>0</v>
      </c>
      <c r="V6845" s="9">
        <v>0.4</v>
      </c>
      <c r="W6845" s="9">
        <v>0.2</v>
      </c>
      <c r="X6845" s="9">
        <v>0</v>
      </c>
      <c r="Y6845" s="9">
        <v>0</v>
      </c>
      <c r="Z6845" s="9">
        <v>0</v>
      </c>
      <c r="AA6845" s="9">
        <v>0</v>
      </c>
      <c r="AC6845" s="38">
        <v>0</v>
      </c>
      <c r="AD6845" s="38">
        <v>0</v>
      </c>
    </row>
    <row r="6846" spans="1:30" x14ac:dyDescent="0.25">
      <c r="A6846" s="22">
        <v>45197</v>
      </c>
      <c r="B6846" s="9">
        <v>0</v>
      </c>
      <c r="C6846" s="9">
        <v>0</v>
      </c>
      <c r="D6846" s="9">
        <v>0</v>
      </c>
      <c r="E6846" s="7">
        <v>0</v>
      </c>
      <c r="F6846" s="9">
        <v>0</v>
      </c>
      <c r="G6846" s="9">
        <v>0</v>
      </c>
      <c r="H6846" s="9">
        <v>0</v>
      </c>
      <c r="I6846" s="9">
        <v>0</v>
      </c>
      <c r="J6846" s="9">
        <v>0</v>
      </c>
      <c r="K6846" s="9">
        <v>0</v>
      </c>
      <c r="L6846" s="7">
        <v>0</v>
      </c>
      <c r="M6846" s="9">
        <v>0</v>
      </c>
      <c r="N6846" s="9">
        <v>0</v>
      </c>
      <c r="O6846" s="7"/>
      <c r="P6846" s="9">
        <v>2</v>
      </c>
      <c r="Q6846" s="9">
        <v>0</v>
      </c>
      <c r="R6846" s="9">
        <v>0</v>
      </c>
      <c r="S6846" s="8"/>
      <c r="T6846" s="15"/>
      <c r="U6846" s="9">
        <v>0</v>
      </c>
      <c r="V6846" s="9">
        <v>0</v>
      </c>
      <c r="W6846" s="9">
        <v>0</v>
      </c>
      <c r="X6846" s="9">
        <v>4</v>
      </c>
      <c r="Y6846" s="9">
        <v>0</v>
      </c>
      <c r="Z6846" s="9">
        <v>0</v>
      </c>
      <c r="AA6846" s="9">
        <v>0</v>
      </c>
      <c r="AC6846" s="38">
        <v>0</v>
      </c>
      <c r="AD6846" s="38">
        <v>0</v>
      </c>
    </row>
    <row r="6847" spans="1:30" x14ac:dyDescent="0.25">
      <c r="A6847" s="22">
        <v>45198</v>
      </c>
      <c r="B6847" s="9">
        <v>0</v>
      </c>
      <c r="C6847" s="9">
        <v>0</v>
      </c>
      <c r="D6847" s="9">
        <v>0</v>
      </c>
      <c r="E6847" s="7">
        <v>16.8</v>
      </c>
      <c r="F6847" s="9">
        <v>0</v>
      </c>
      <c r="G6847" s="9">
        <v>0</v>
      </c>
      <c r="H6847" s="9">
        <v>0</v>
      </c>
      <c r="I6847" s="9">
        <v>0</v>
      </c>
      <c r="J6847" s="9">
        <v>0</v>
      </c>
      <c r="K6847" s="9">
        <v>0</v>
      </c>
      <c r="L6847" s="7">
        <v>0</v>
      </c>
      <c r="M6847" s="9">
        <v>0</v>
      </c>
      <c r="N6847" s="10">
        <v>0.2</v>
      </c>
      <c r="O6847" s="7"/>
      <c r="P6847" s="9">
        <v>0</v>
      </c>
      <c r="Q6847" s="9">
        <v>0</v>
      </c>
      <c r="R6847" s="9">
        <v>2</v>
      </c>
      <c r="S6847" s="10"/>
      <c r="T6847" s="15"/>
      <c r="U6847" s="9">
        <v>0</v>
      </c>
      <c r="V6847" s="9">
        <v>0</v>
      </c>
      <c r="W6847" s="9">
        <v>0</v>
      </c>
      <c r="X6847" s="9">
        <v>0</v>
      </c>
      <c r="Y6847" s="9">
        <v>0</v>
      </c>
      <c r="Z6847" s="9">
        <v>0</v>
      </c>
      <c r="AA6847" s="9">
        <v>0</v>
      </c>
      <c r="AC6847" s="38">
        <v>0</v>
      </c>
      <c r="AD6847" s="38">
        <v>0</v>
      </c>
    </row>
    <row r="6848" spans="1:30" x14ac:dyDescent="0.25">
      <c r="A6848" s="22">
        <v>45199</v>
      </c>
      <c r="B6848" s="9">
        <v>0</v>
      </c>
      <c r="C6848" s="9">
        <v>0</v>
      </c>
      <c r="D6848" s="9">
        <v>0</v>
      </c>
      <c r="E6848" s="7">
        <v>0</v>
      </c>
      <c r="F6848" s="9">
        <v>0</v>
      </c>
      <c r="G6848" s="9">
        <v>0</v>
      </c>
      <c r="H6848" s="9">
        <v>0</v>
      </c>
      <c r="I6848" s="9">
        <v>0</v>
      </c>
      <c r="J6848" s="9">
        <v>0</v>
      </c>
      <c r="K6848" s="9">
        <v>0</v>
      </c>
      <c r="L6848" s="7">
        <v>37.591999999999999</v>
      </c>
      <c r="M6848" s="9">
        <v>0</v>
      </c>
      <c r="N6848" s="10">
        <v>0</v>
      </c>
      <c r="O6848" s="7"/>
      <c r="P6848" s="9">
        <v>46</v>
      </c>
      <c r="Q6848" s="9">
        <v>0</v>
      </c>
      <c r="R6848" s="9">
        <v>0</v>
      </c>
      <c r="S6848" s="10"/>
      <c r="T6848" s="15"/>
      <c r="U6848" s="9">
        <v>0</v>
      </c>
      <c r="V6848" s="9">
        <v>0</v>
      </c>
      <c r="W6848" s="9">
        <v>0</v>
      </c>
      <c r="X6848" s="9">
        <v>0</v>
      </c>
      <c r="Y6848" s="9">
        <v>0</v>
      </c>
      <c r="Z6848" s="9">
        <v>0</v>
      </c>
      <c r="AA6848" s="9">
        <v>0</v>
      </c>
      <c r="AC6848" s="38">
        <v>0</v>
      </c>
      <c r="AD6848" s="38">
        <v>4.5999999999999996</v>
      </c>
    </row>
    <row r="6849" spans="1:30" x14ac:dyDescent="0.25">
      <c r="A6849" s="22">
        <v>45200</v>
      </c>
      <c r="B6849" s="9">
        <v>0</v>
      </c>
      <c r="C6849" s="9">
        <v>0</v>
      </c>
      <c r="D6849" s="9">
        <v>0</v>
      </c>
      <c r="E6849" s="7">
        <v>0</v>
      </c>
      <c r="F6849" s="9">
        <v>0</v>
      </c>
      <c r="G6849" s="9">
        <v>0</v>
      </c>
      <c r="H6849" s="9">
        <v>0</v>
      </c>
      <c r="I6849" s="9">
        <v>0</v>
      </c>
      <c r="J6849" s="45">
        <v>0</v>
      </c>
      <c r="K6849" s="9">
        <v>0</v>
      </c>
      <c r="L6849" s="7">
        <v>0</v>
      </c>
      <c r="M6849" s="9">
        <v>0</v>
      </c>
      <c r="N6849" s="9">
        <v>0</v>
      </c>
      <c r="O6849" s="7"/>
      <c r="P6849" s="9">
        <v>0</v>
      </c>
      <c r="Q6849" s="9">
        <v>0</v>
      </c>
      <c r="R6849" s="9">
        <v>0</v>
      </c>
      <c r="S6849" s="8"/>
      <c r="T6849" s="15"/>
      <c r="U6849" s="9">
        <v>0</v>
      </c>
      <c r="V6849" s="9">
        <v>0</v>
      </c>
      <c r="W6849" s="9">
        <v>0</v>
      </c>
      <c r="X6849" s="9">
        <v>0</v>
      </c>
      <c r="Y6849" s="9">
        <v>0</v>
      </c>
      <c r="Z6849" s="9">
        <v>0</v>
      </c>
      <c r="AA6849" s="9">
        <v>0</v>
      </c>
      <c r="AC6849" s="38">
        <v>0</v>
      </c>
      <c r="AD6849" s="38">
        <v>0.2</v>
      </c>
    </row>
    <row r="6850" spans="1:30" x14ac:dyDescent="0.25">
      <c r="A6850" s="22">
        <v>45201</v>
      </c>
      <c r="B6850" s="9">
        <v>0</v>
      </c>
      <c r="C6850" s="9">
        <v>0</v>
      </c>
      <c r="D6850" s="9">
        <v>0</v>
      </c>
      <c r="E6850" s="7">
        <v>5.2</v>
      </c>
      <c r="F6850" s="9">
        <v>0</v>
      </c>
      <c r="G6850" s="9">
        <v>0</v>
      </c>
      <c r="H6850" s="9">
        <v>0</v>
      </c>
      <c r="I6850" s="9">
        <v>0</v>
      </c>
      <c r="J6850" s="45">
        <v>0</v>
      </c>
      <c r="K6850" s="9">
        <v>0</v>
      </c>
      <c r="L6850" s="7">
        <v>0</v>
      </c>
      <c r="M6850" s="9">
        <v>0</v>
      </c>
      <c r="N6850" s="9">
        <v>11.799999999999999</v>
      </c>
      <c r="O6850" s="7"/>
      <c r="P6850" s="9">
        <v>0</v>
      </c>
      <c r="Q6850" s="9">
        <v>0</v>
      </c>
      <c r="R6850" s="9">
        <v>0</v>
      </c>
      <c r="S6850" s="8"/>
      <c r="T6850" s="15"/>
      <c r="U6850" s="9">
        <v>0</v>
      </c>
      <c r="V6850" s="9">
        <v>0</v>
      </c>
      <c r="W6850" s="9">
        <v>0</v>
      </c>
      <c r="X6850" s="9">
        <v>0</v>
      </c>
      <c r="Y6850" s="9">
        <v>0</v>
      </c>
      <c r="Z6850" s="9">
        <v>0</v>
      </c>
      <c r="AA6850" s="9">
        <v>0</v>
      </c>
      <c r="AC6850" s="38">
        <v>0</v>
      </c>
      <c r="AD6850" s="38">
        <v>8.6</v>
      </c>
    </row>
    <row r="6851" spans="1:30" x14ac:dyDescent="0.25">
      <c r="A6851" s="22">
        <v>45202</v>
      </c>
      <c r="B6851" s="9">
        <v>0</v>
      </c>
      <c r="C6851" s="9">
        <v>2.4</v>
      </c>
      <c r="D6851" s="9">
        <v>8.4</v>
      </c>
      <c r="E6851" s="7">
        <v>0</v>
      </c>
      <c r="F6851" s="9">
        <v>1.1000000000000001</v>
      </c>
      <c r="G6851" s="9">
        <v>30.05</v>
      </c>
      <c r="H6851" s="9">
        <v>2.9</v>
      </c>
      <c r="I6851" s="9">
        <v>10.1</v>
      </c>
      <c r="J6851" s="45">
        <v>0</v>
      </c>
      <c r="K6851" s="9">
        <v>15.2</v>
      </c>
      <c r="L6851" s="7">
        <v>2</v>
      </c>
      <c r="M6851" s="9">
        <v>12.2</v>
      </c>
      <c r="N6851" s="9">
        <v>0.4</v>
      </c>
      <c r="O6851" s="7"/>
      <c r="P6851" s="9">
        <v>4</v>
      </c>
      <c r="Q6851" s="9">
        <v>2</v>
      </c>
      <c r="R6851" s="9">
        <v>0</v>
      </c>
      <c r="S6851" s="8"/>
      <c r="T6851" s="15"/>
      <c r="U6851" s="9">
        <v>0</v>
      </c>
      <c r="V6851" s="9">
        <v>10.1</v>
      </c>
      <c r="W6851" s="9">
        <v>14.2</v>
      </c>
      <c r="X6851" s="9">
        <v>0</v>
      </c>
      <c r="Y6851" s="9">
        <v>0</v>
      </c>
      <c r="Z6851" s="9">
        <v>0</v>
      </c>
      <c r="AA6851" s="9">
        <v>0</v>
      </c>
      <c r="AC6851" s="38">
        <v>0</v>
      </c>
      <c r="AD6851" s="38">
        <v>0</v>
      </c>
    </row>
    <row r="6852" spans="1:30" x14ac:dyDescent="0.25">
      <c r="A6852" s="22">
        <v>45203</v>
      </c>
      <c r="B6852" s="9">
        <v>0</v>
      </c>
      <c r="C6852" s="9">
        <v>0</v>
      </c>
      <c r="D6852" s="9">
        <v>0</v>
      </c>
      <c r="E6852" s="7">
        <v>0</v>
      </c>
      <c r="F6852" s="9">
        <v>0</v>
      </c>
      <c r="G6852" s="9">
        <v>0</v>
      </c>
      <c r="H6852" s="9">
        <v>0</v>
      </c>
      <c r="I6852" s="9">
        <v>0</v>
      </c>
      <c r="J6852" s="45">
        <v>0</v>
      </c>
      <c r="K6852" s="9">
        <v>0</v>
      </c>
      <c r="L6852" s="7">
        <v>0</v>
      </c>
      <c r="M6852" s="9">
        <v>0</v>
      </c>
      <c r="N6852" s="9">
        <v>0</v>
      </c>
      <c r="O6852" s="7"/>
      <c r="P6852" s="9">
        <v>0</v>
      </c>
      <c r="Q6852" s="9">
        <v>0</v>
      </c>
      <c r="R6852" s="9">
        <v>0</v>
      </c>
      <c r="S6852" s="8"/>
      <c r="T6852" s="15"/>
      <c r="U6852" s="9">
        <v>0</v>
      </c>
      <c r="V6852" s="9">
        <v>0</v>
      </c>
      <c r="W6852" s="9">
        <v>0</v>
      </c>
      <c r="X6852" s="9">
        <v>0</v>
      </c>
      <c r="Y6852" s="9">
        <v>0</v>
      </c>
      <c r="Z6852" s="9">
        <v>0</v>
      </c>
      <c r="AA6852" s="9">
        <v>0</v>
      </c>
      <c r="AC6852" s="38">
        <v>0</v>
      </c>
      <c r="AD6852" s="38">
        <v>0</v>
      </c>
    </row>
    <row r="6853" spans="1:30" x14ac:dyDescent="0.25">
      <c r="A6853" s="22">
        <v>45204</v>
      </c>
      <c r="B6853" s="9">
        <v>0</v>
      </c>
      <c r="C6853" s="9">
        <v>0</v>
      </c>
      <c r="D6853" s="9">
        <v>0</v>
      </c>
      <c r="E6853" s="7">
        <v>7.8000000000000016</v>
      </c>
      <c r="F6853" s="9">
        <v>3.1</v>
      </c>
      <c r="G6853" s="9">
        <v>4.75</v>
      </c>
      <c r="H6853" s="9">
        <v>5.0999999999999996</v>
      </c>
      <c r="I6853" s="9">
        <v>3.9</v>
      </c>
      <c r="J6853" s="45">
        <v>0</v>
      </c>
      <c r="K6853" s="9">
        <v>2</v>
      </c>
      <c r="L6853" s="7">
        <v>1</v>
      </c>
      <c r="M6853" s="9">
        <v>5.6</v>
      </c>
      <c r="N6853" s="9">
        <v>15.199999999999998</v>
      </c>
      <c r="O6853" s="7"/>
      <c r="P6853" s="9">
        <v>0</v>
      </c>
      <c r="Q6853" s="9">
        <v>0</v>
      </c>
      <c r="R6853" s="9">
        <v>4</v>
      </c>
      <c r="S6853" s="8"/>
      <c r="T6853" s="15"/>
      <c r="U6853" s="9">
        <v>8</v>
      </c>
      <c r="V6853" s="9">
        <v>2.2000000000000002</v>
      </c>
      <c r="W6853" s="9">
        <v>2.2999999999999998</v>
      </c>
      <c r="X6853" s="9">
        <v>4</v>
      </c>
      <c r="Y6853" s="9">
        <v>0</v>
      </c>
      <c r="Z6853" s="9">
        <v>0</v>
      </c>
      <c r="AA6853" s="9">
        <v>0</v>
      </c>
      <c r="AC6853" s="38">
        <v>0</v>
      </c>
      <c r="AD6853" s="38">
        <v>9.3999999999999968</v>
      </c>
    </row>
    <row r="6854" spans="1:30" x14ac:dyDescent="0.25">
      <c r="A6854" s="22">
        <v>45205</v>
      </c>
      <c r="B6854" s="9">
        <v>0</v>
      </c>
      <c r="C6854" s="9">
        <v>24.8</v>
      </c>
      <c r="D6854" s="9">
        <v>28</v>
      </c>
      <c r="E6854" s="7">
        <v>31.599999999999998</v>
      </c>
      <c r="F6854" s="9">
        <v>5.0999999999999996</v>
      </c>
      <c r="G6854" s="9">
        <v>16</v>
      </c>
      <c r="H6854" s="9">
        <v>7.2</v>
      </c>
      <c r="I6854" s="9">
        <v>18.399999999999999</v>
      </c>
      <c r="J6854" s="9">
        <v>16.399999999999999</v>
      </c>
      <c r="K6854" s="9">
        <v>18.8</v>
      </c>
      <c r="L6854" s="7">
        <v>13</v>
      </c>
      <c r="M6854" s="9">
        <v>8.4</v>
      </c>
      <c r="N6854" s="9">
        <v>1.9999999999999998</v>
      </c>
      <c r="O6854" s="7"/>
      <c r="P6854" s="9">
        <v>10</v>
      </c>
      <c r="Q6854" s="9">
        <v>12.4</v>
      </c>
      <c r="R6854" s="9">
        <v>8.1</v>
      </c>
      <c r="S6854" s="8"/>
      <c r="T6854" s="15"/>
      <c r="U6854" s="9">
        <v>32</v>
      </c>
      <c r="V6854" s="9">
        <v>5.2</v>
      </c>
      <c r="W6854" s="9">
        <v>16.2</v>
      </c>
      <c r="X6854" s="9">
        <v>6</v>
      </c>
      <c r="Y6854" s="9">
        <v>6.2</v>
      </c>
      <c r="Z6854" s="9">
        <v>4.5999999999999996</v>
      </c>
      <c r="AA6854" s="9">
        <v>12</v>
      </c>
      <c r="AC6854" s="38">
        <v>0</v>
      </c>
      <c r="AD6854" s="38">
        <v>1</v>
      </c>
    </row>
    <row r="6855" spans="1:30" x14ac:dyDescent="0.25">
      <c r="A6855" s="22">
        <v>45206</v>
      </c>
      <c r="B6855" s="9">
        <v>66</v>
      </c>
      <c r="C6855" s="9">
        <v>49</v>
      </c>
      <c r="D6855" s="9">
        <v>41</v>
      </c>
      <c r="E6855" s="7">
        <v>37.6</v>
      </c>
      <c r="F6855" s="9">
        <v>0</v>
      </c>
      <c r="G6855" s="9">
        <v>48.5</v>
      </c>
      <c r="H6855" s="9">
        <v>40.6</v>
      </c>
      <c r="I6855" s="9">
        <v>18.8</v>
      </c>
      <c r="J6855" s="9">
        <v>54.4</v>
      </c>
      <c r="K6855" s="9">
        <v>52</v>
      </c>
      <c r="L6855" s="7">
        <v>59.7</v>
      </c>
      <c r="M6855" s="9">
        <v>52.2</v>
      </c>
      <c r="N6855" s="9">
        <v>45.200000000000024</v>
      </c>
      <c r="O6855" s="7"/>
      <c r="P6855" s="9">
        <v>50</v>
      </c>
      <c r="Q6855" s="9">
        <v>61.9</v>
      </c>
      <c r="R6855" s="9">
        <v>58.1</v>
      </c>
      <c r="S6855" s="8"/>
      <c r="T6855" s="15"/>
      <c r="U6855" s="9">
        <v>58</v>
      </c>
      <c r="V6855" s="9">
        <v>15.3</v>
      </c>
      <c r="W6855" s="9">
        <v>18.3</v>
      </c>
      <c r="X6855" s="9">
        <v>38</v>
      </c>
      <c r="Y6855" s="9">
        <v>30.4</v>
      </c>
      <c r="Z6855" s="9">
        <v>28.6</v>
      </c>
      <c r="AA6855" s="9">
        <v>1.67</v>
      </c>
      <c r="AC6855" s="38">
        <v>0</v>
      </c>
      <c r="AD6855" s="38">
        <v>11.999999999999998</v>
      </c>
    </row>
    <row r="6856" spans="1:30" x14ac:dyDescent="0.25">
      <c r="A6856" s="22">
        <v>45207</v>
      </c>
      <c r="B6856" s="9">
        <v>0</v>
      </c>
      <c r="C6856" s="9">
        <v>4.2</v>
      </c>
      <c r="D6856" s="9">
        <v>0</v>
      </c>
      <c r="E6856" s="7">
        <v>0.6</v>
      </c>
      <c r="F6856" s="9">
        <v>0</v>
      </c>
      <c r="G6856" s="9">
        <v>0</v>
      </c>
      <c r="H6856" s="9">
        <v>0</v>
      </c>
      <c r="I6856" s="9">
        <v>0</v>
      </c>
      <c r="J6856" s="9">
        <v>4.4000000000000004</v>
      </c>
      <c r="K6856" s="9">
        <v>0.8</v>
      </c>
      <c r="L6856" s="7">
        <v>0</v>
      </c>
      <c r="M6856" s="9">
        <v>8.4</v>
      </c>
      <c r="N6856" s="9">
        <v>0.2</v>
      </c>
      <c r="O6856" s="7"/>
      <c r="P6856" s="9">
        <v>0</v>
      </c>
      <c r="Q6856" s="9">
        <v>0</v>
      </c>
      <c r="R6856" s="9">
        <v>7.6</v>
      </c>
      <c r="S6856" s="8"/>
      <c r="T6856" s="15"/>
      <c r="U6856" s="9">
        <v>0</v>
      </c>
      <c r="V6856" s="9">
        <v>0</v>
      </c>
      <c r="W6856" s="9">
        <v>0</v>
      </c>
      <c r="X6856" s="9">
        <v>0</v>
      </c>
      <c r="Y6856" s="9">
        <v>0</v>
      </c>
      <c r="Z6856" s="9">
        <v>0</v>
      </c>
      <c r="AA6856" s="9">
        <v>0</v>
      </c>
      <c r="AC6856" s="38">
        <v>0</v>
      </c>
      <c r="AD6856" s="38">
        <v>0.2</v>
      </c>
    </row>
    <row r="6857" spans="1:30" x14ac:dyDescent="0.25">
      <c r="A6857" s="22">
        <v>45208</v>
      </c>
      <c r="B6857" s="9">
        <v>0</v>
      </c>
      <c r="C6857" s="9">
        <v>1.2</v>
      </c>
      <c r="D6857" s="9">
        <v>0</v>
      </c>
      <c r="E6857" s="7">
        <v>0.2</v>
      </c>
      <c r="F6857" s="9">
        <v>7.1</v>
      </c>
      <c r="G6857" s="9">
        <v>5</v>
      </c>
      <c r="H6857" s="9">
        <v>7.1</v>
      </c>
      <c r="I6857" s="9">
        <v>0.9</v>
      </c>
      <c r="J6857" s="9">
        <v>2.5</v>
      </c>
      <c r="K6857" s="9">
        <v>0.3</v>
      </c>
      <c r="L6857" s="7">
        <v>0</v>
      </c>
      <c r="M6857" s="9">
        <v>0.4</v>
      </c>
      <c r="N6857" s="9">
        <v>0</v>
      </c>
      <c r="O6857" s="7"/>
      <c r="P6857" s="9">
        <v>0</v>
      </c>
      <c r="Q6857" s="9">
        <v>1.3</v>
      </c>
      <c r="R6857" s="9">
        <v>0</v>
      </c>
      <c r="S6857" s="8"/>
      <c r="T6857" s="15"/>
      <c r="U6857" s="9">
        <v>0</v>
      </c>
      <c r="V6857" s="9">
        <v>1.81</v>
      </c>
      <c r="W6857" s="9">
        <v>0</v>
      </c>
      <c r="X6857" s="9">
        <v>0</v>
      </c>
      <c r="Y6857" s="9">
        <v>0</v>
      </c>
      <c r="Z6857" s="9">
        <v>0</v>
      </c>
      <c r="AA6857" s="9">
        <v>0</v>
      </c>
      <c r="AC6857" s="38">
        <v>0</v>
      </c>
      <c r="AD6857" s="38">
        <v>0</v>
      </c>
    </row>
    <row r="6858" spans="1:30" x14ac:dyDescent="0.25">
      <c r="A6858" s="22">
        <v>45209</v>
      </c>
      <c r="B6858" s="9">
        <v>0</v>
      </c>
      <c r="C6858" s="9">
        <v>0</v>
      </c>
      <c r="D6858" s="9">
        <v>0</v>
      </c>
      <c r="E6858" s="7">
        <v>0</v>
      </c>
      <c r="F6858" s="9">
        <v>0</v>
      </c>
      <c r="G6858" s="9">
        <v>0</v>
      </c>
      <c r="H6858" s="9">
        <v>0</v>
      </c>
      <c r="I6858" s="9">
        <v>10</v>
      </c>
      <c r="J6858" s="9">
        <v>0</v>
      </c>
      <c r="K6858" s="9">
        <v>0</v>
      </c>
      <c r="L6858" s="7">
        <v>0</v>
      </c>
      <c r="M6858" s="9">
        <v>3.8</v>
      </c>
      <c r="N6858" s="9">
        <v>0</v>
      </c>
      <c r="O6858" s="7"/>
      <c r="P6858" s="9">
        <v>0</v>
      </c>
      <c r="Q6858" s="9">
        <v>0</v>
      </c>
      <c r="R6858" s="9">
        <v>0</v>
      </c>
      <c r="S6858" s="8"/>
      <c r="T6858" s="15"/>
      <c r="U6858" s="9">
        <v>0</v>
      </c>
      <c r="V6858" s="9">
        <v>0</v>
      </c>
      <c r="W6858" s="9">
        <v>0</v>
      </c>
      <c r="X6858" s="9">
        <v>0</v>
      </c>
      <c r="Y6858" s="9">
        <v>0</v>
      </c>
      <c r="Z6858" s="9">
        <v>0</v>
      </c>
      <c r="AA6858" s="9">
        <v>0</v>
      </c>
      <c r="AC6858" s="38">
        <v>0</v>
      </c>
      <c r="AD6858" s="38">
        <v>0</v>
      </c>
    </row>
    <row r="6859" spans="1:30" x14ac:dyDescent="0.25">
      <c r="A6859" s="22">
        <v>45210</v>
      </c>
      <c r="B6859" s="9">
        <v>0</v>
      </c>
      <c r="C6859" s="9">
        <v>1.2</v>
      </c>
      <c r="D6859" s="9">
        <v>0</v>
      </c>
      <c r="E6859" s="7">
        <v>0</v>
      </c>
      <c r="F6859" s="9">
        <v>0</v>
      </c>
      <c r="G6859" s="9">
        <v>1.4</v>
      </c>
      <c r="H6859" s="9">
        <v>0</v>
      </c>
      <c r="I6859" s="9">
        <v>0</v>
      </c>
      <c r="J6859" s="9">
        <v>0.7</v>
      </c>
      <c r="K6859" s="9">
        <v>0</v>
      </c>
      <c r="L6859" s="7">
        <v>0</v>
      </c>
      <c r="M6859" s="9">
        <v>0</v>
      </c>
      <c r="N6859" s="9">
        <v>0</v>
      </c>
      <c r="O6859" s="7"/>
      <c r="P6859" s="9">
        <v>0</v>
      </c>
      <c r="Q6859" s="9">
        <v>0</v>
      </c>
      <c r="R6859" s="9">
        <v>0</v>
      </c>
      <c r="S6859" s="8"/>
      <c r="T6859" s="15"/>
      <c r="U6859" s="9">
        <v>0</v>
      </c>
      <c r="V6859" s="9">
        <v>0.4</v>
      </c>
      <c r="W6859" s="9">
        <v>0.2</v>
      </c>
      <c r="X6859" s="9">
        <v>0</v>
      </c>
      <c r="Y6859" s="9">
        <v>0</v>
      </c>
      <c r="Z6859" s="9">
        <v>0</v>
      </c>
      <c r="AA6859" s="9">
        <v>0</v>
      </c>
      <c r="AC6859" s="38">
        <v>0</v>
      </c>
      <c r="AD6859" s="38">
        <v>0</v>
      </c>
    </row>
    <row r="6860" spans="1:30" x14ac:dyDescent="0.25">
      <c r="A6860" s="22">
        <v>45211</v>
      </c>
      <c r="B6860" s="9">
        <v>0</v>
      </c>
      <c r="C6860" s="9">
        <v>0</v>
      </c>
      <c r="D6860" s="9">
        <v>0</v>
      </c>
      <c r="E6860" s="7">
        <v>0.2</v>
      </c>
      <c r="F6860" s="9">
        <v>0</v>
      </c>
      <c r="G6860" s="9">
        <v>0</v>
      </c>
      <c r="H6860" s="9">
        <v>0</v>
      </c>
      <c r="I6860" s="9">
        <v>0</v>
      </c>
      <c r="J6860" s="9">
        <v>1.2</v>
      </c>
      <c r="K6860" s="9">
        <v>0</v>
      </c>
      <c r="L6860" s="7">
        <v>0</v>
      </c>
      <c r="M6860" s="9">
        <v>0</v>
      </c>
      <c r="N6860" s="9">
        <v>0</v>
      </c>
      <c r="O6860" s="7"/>
      <c r="P6860" s="9">
        <v>0</v>
      </c>
      <c r="Q6860" s="9">
        <v>0</v>
      </c>
      <c r="R6860" s="9">
        <v>0</v>
      </c>
      <c r="S6860" s="8"/>
      <c r="T6860" s="15"/>
      <c r="U6860" s="9">
        <v>0</v>
      </c>
      <c r="V6860" s="9">
        <v>0</v>
      </c>
      <c r="W6860" s="9">
        <v>0</v>
      </c>
      <c r="X6860" s="9">
        <v>0</v>
      </c>
      <c r="Y6860" s="9">
        <v>0</v>
      </c>
      <c r="Z6860" s="9">
        <v>0</v>
      </c>
      <c r="AA6860" s="9">
        <v>0</v>
      </c>
      <c r="AC6860" s="38">
        <v>0</v>
      </c>
      <c r="AD6860" s="38">
        <v>0</v>
      </c>
    </row>
    <row r="6861" spans="1:30" x14ac:dyDescent="0.25">
      <c r="A6861" s="22">
        <v>45212</v>
      </c>
      <c r="B6861" s="9">
        <v>0</v>
      </c>
      <c r="C6861" s="9">
        <v>0</v>
      </c>
      <c r="D6861" s="9">
        <v>0</v>
      </c>
      <c r="E6861" s="7">
        <v>0.4</v>
      </c>
      <c r="F6861" s="9">
        <v>0</v>
      </c>
      <c r="G6861" s="9">
        <v>1.2</v>
      </c>
      <c r="H6861" s="9">
        <v>0.9</v>
      </c>
      <c r="I6861" s="9">
        <v>2.6</v>
      </c>
      <c r="J6861" s="9">
        <v>1.2</v>
      </c>
      <c r="K6861" s="9">
        <v>0.2</v>
      </c>
      <c r="L6861" s="7">
        <v>0</v>
      </c>
      <c r="M6861" s="9">
        <v>2.6</v>
      </c>
      <c r="N6861" s="9">
        <v>0</v>
      </c>
      <c r="O6861" s="7"/>
      <c r="P6861" s="9">
        <v>0</v>
      </c>
      <c r="Q6861" s="9">
        <v>0</v>
      </c>
      <c r="R6861" s="9">
        <v>0</v>
      </c>
      <c r="S6861" s="10"/>
      <c r="T6861" s="15"/>
      <c r="U6861" s="9">
        <v>0</v>
      </c>
      <c r="V6861" s="9">
        <v>0</v>
      </c>
      <c r="W6861" s="9">
        <v>0</v>
      </c>
      <c r="X6861" s="9">
        <v>0</v>
      </c>
      <c r="Y6861" s="9">
        <v>0</v>
      </c>
      <c r="Z6861" s="9">
        <v>0</v>
      </c>
      <c r="AA6861" s="9">
        <v>0</v>
      </c>
      <c r="AC6861" s="38">
        <v>0</v>
      </c>
      <c r="AD6861" s="38">
        <v>0</v>
      </c>
    </row>
    <row r="6862" spans="1:30" x14ac:dyDescent="0.25">
      <c r="A6862" s="22">
        <v>45213</v>
      </c>
      <c r="B6862" s="9">
        <v>0</v>
      </c>
      <c r="C6862" s="9">
        <v>0</v>
      </c>
      <c r="D6862" s="9">
        <v>0</v>
      </c>
      <c r="E6862" s="7">
        <v>0</v>
      </c>
      <c r="F6862" s="9">
        <v>0</v>
      </c>
      <c r="G6862" s="9">
        <v>0.5</v>
      </c>
      <c r="H6862" s="9">
        <v>0</v>
      </c>
      <c r="I6862" s="9">
        <v>0.5</v>
      </c>
      <c r="J6862" s="9">
        <v>0</v>
      </c>
      <c r="K6862" s="9">
        <v>0</v>
      </c>
      <c r="L6862" s="7">
        <v>1.3</v>
      </c>
      <c r="M6862" s="9">
        <v>0</v>
      </c>
      <c r="N6862" s="9">
        <v>0</v>
      </c>
      <c r="O6862" s="7"/>
      <c r="P6862" s="9">
        <v>0</v>
      </c>
      <c r="Q6862" s="9">
        <v>0</v>
      </c>
      <c r="R6862" s="9">
        <v>0</v>
      </c>
      <c r="S6862" s="10"/>
      <c r="T6862" s="15"/>
      <c r="U6862" s="9">
        <v>0</v>
      </c>
      <c r="V6862" s="9">
        <v>0</v>
      </c>
      <c r="W6862" s="9">
        <v>0</v>
      </c>
      <c r="X6862" s="9">
        <v>0</v>
      </c>
      <c r="Y6862" s="9">
        <v>0</v>
      </c>
      <c r="Z6862" s="9">
        <v>0</v>
      </c>
      <c r="AA6862" s="9">
        <v>0</v>
      </c>
      <c r="AC6862" s="38">
        <v>0</v>
      </c>
      <c r="AD6862" s="38">
        <v>0</v>
      </c>
    </row>
    <row r="6863" spans="1:30" x14ac:dyDescent="0.25">
      <c r="A6863" s="22">
        <v>45214</v>
      </c>
      <c r="B6863" s="9">
        <v>0</v>
      </c>
      <c r="C6863" s="9">
        <v>0</v>
      </c>
      <c r="D6863" s="9">
        <v>0</v>
      </c>
      <c r="E6863" s="7">
        <v>0</v>
      </c>
      <c r="F6863" s="9">
        <v>0</v>
      </c>
      <c r="G6863" s="9">
        <v>2.5</v>
      </c>
      <c r="H6863" s="9">
        <v>0</v>
      </c>
      <c r="I6863" s="9">
        <v>2.2999999999999998</v>
      </c>
      <c r="J6863" s="9">
        <v>0</v>
      </c>
      <c r="K6863" s="9">
        <v>0</v>
      </c>
      <c r="L6863" s="7">
        <v>0</v>
      </c>
      <c r="M6863" s="9">
        <v>2.4</v>
      </c>
      <c r="N6863" s="9">
        <v>0</v>
      </c>
      <c r="O6863" s="7"/>
      <c r="P6863" s="9">
        <v>0</v>
      </c>
      <c r="Q6863" s="9">
        <v>0</v>
      </c>
      <c r="R6863" s="9">
        <v>0</v>
      </c>
      <c r="S6863" s="10"/>
      <c r="T6863" s="15"/>
      <c r="U6863" s="9">
        <v>0</v>
      </c>
      <c r="V6863" s="9">
        <v>0</v>
      </c>
      <c r="W6863" s="9">
        <v>0.2</v>
      </c>
      <c r="X6863" s="9">
        <v>0</v>
      </c>
      <c r="Y6863" s="9">
        <v>0</v>
      </c>
      <c r="Z6863" s="9">
        <v>0</v>
      </c>
      <c r="AA6863" s="9">
        <v>4</v>
      </c>
      <c r="AC6863" s="38">
        <v>0</v>
      </c>
      <c r="AD6863" s="38">
        <v>7.2</v>
      </c>
    </row>
    <row r="6864" spans="1:30" x14ac:dyDescent="0.25">
      <c r="A6864" s="22">
        <v>45215</v>
      </c>
      <c r="B6864" s="9">
        <v>0</v>
      </c>
      <c r="C6864" s="9">
        <v>0</v>
      </c>
      <c r="D6864" s="9">
        <v>0</v>
      </c>
      <c r="E6864" s="7">
        <v>0</v>
      </c>
      <c r="F6864" s="9">
        <v>0</v>
      </c>
      <c r="G6864" s="9">
        <v>0</v>
      </c>
      <c r="H6864" s="9">
        <v>0</v>
      </c>
      <c r="I6864" s="9">
        <v>2.8</v>
      </c>
      <c r="J6864" s="9">
        <v>0</v>
      </c>
      <c r="K6864" s="9">
        <v>0</v>
      </c>
      <c r="L6864" s="7">
        <v>0</v>
      </c>
      <c r="M6864" s="9">
        <v>6.2</v>
      </c>
      <c r="N6864" s="9">
        <v>0</v>
      </c>
      <c r="O6864" s="7"/>
      <c r="P6864" s="9">
        <v>0</v>
      </c>
      <c r="Q6864" s="9">
        <v>0</v>
      </c>
      <c r="R6864" s="9">
        <v>0</v>
      </c>
      <c r="S6864" s="10"/>
      <c r="T6864" s="15"/>
      <c r="U6864" s="9">
        <v>0</v>
      </c>
      <c r="V6864" s="9">
        <v>0</v>
      </c>
      <c r="W6864" s="9">
        <v>0</v>
      </c>
      <c r="X6864" s="9">
        <v>0</v>
      </c>
      <c r="Y6864" s="9">
        <v>0</v>
      </c>
      <c r="Z6864" s="9">
        <v>0</v>
      </c>
      <c r="AA6864" s="9">
        <v>0</v>
      </c>
      <c r="AC6864" s="38">
        <v>0</v>
      </c>
      <c r="AD6864" s="38">
        <v>0</v>
      </c>
    </row>
    <row r="6865" spans="1:30" x14ac:dyDescent="0.25">
      <c r="A6865" s="22">
        <v>45216</v>
      </c>
      <c r="B6865" s="9">
        <v>0</v>
      </c>
      <c r="C6865" s="9">
        <v>0</v>
      </c>
      <c r="D6865" s="9">
        <v>1.2</v>
      </c>
      <c r="E6865" s="7">
        <v>9.8000000000000007</v>
      </c>
      <c r="F6865" s="9">
        <v>0</v>
      </c>
      <c r="G6865" s="9">
        <v>3.5</v>
      </c>
      <c r="H6865" s="9">
        <v>3</v>
      </c>
      <c r="I6865" s="9">
        <v>1</v>
      </c>
      <c r="J6865" s="9">
        <v>4.4000000000000004</v>
      </c>
      <c r="K6865" s="9">
        <v>2</v>
      </c>
      <c r="L6865" s="7">
        <v>4.8</v>
      </c>
      <c r="M6865" s="9">
        <v>2.2999999999999998</v>
      </c>
      <c r="N6865" s="9">
        <v>3.6000000000000005</v>
      </c>
      <c r="O6865" s="7"/>
      <c r="P6865" s="9">
        <v>0</v>
      </c>
      <c r="Q6865" s="9">
        <v>2.2999999999999998</v>
      </c>
      <c r="R6865" s="9">
        <v>0</v>
      </c>
      <c r="S6865" s="10"/>
      <c r="T6865" s="15"/>
      <c r="U6865" s="9">
        <v>0</v>
      </c>
      <c r="V6865" s="9">
        <v>0</v>
      </c>
      <c r="W6865" s="9">
        <v>0</v>
      </c>
      <c r="X6865" s="9">
        <v>0</v>
      </c>
      <c r="Y6865" s="9">
        <v>0</v>
      </c>
      <c r="Z6865" s="9">
        <v>0</v>
      </c>
      <c r="AA6865" s="9">
        <v>0</v>
      </c>
      <c r="AC6865" s="38">
        <v>0</v>
      </c>
      <c r="AD6865" s="38">
        <v>0</v>
      </c>
    </row>
    <row r="6866" spans="1:30" x14ac:dyDescent="0.25">
      <c r="A6866" s="22">
        <v>45217</v>
      </c>
      <c r="B6866" s="9">
        <v>8.3000000000000007</v>
      </c>
      <c r="C6866" s="9">
        <v>8.4</v>
      </c>
      <c r="D6866" s="9">
        <v>8</v>
      </c>
      <c r="E6866" s="7">
        <v>2.4000000000000004</v>
      </c>
      <c r="F6866" s="9">
        <v>0</v>
      </c>
      <c r="G6866" s="9">
        <v>2.5</v>
      </c>
      <c r="H6866" s="9">
        <v>2</v>
      </c>
      <c r="I6866" s="9">
        <v>1.8</v>
      </c>
      <c r="J6866" s="9">
        <v>8.8000000000000007</v>
      </c>
      <c r="K6866" s="9">
        <v>0.8</v>
      </c>
      <c r="L6866" s="7">
        <v>4.8</v>
      </c>
      <c r="M6866" s="9">
        <v>3</v>
      </c>
      <c r="N6866" s="9">
        <v>2.8000000000000007</v>
      </c>
      <c r="O6866" s="7"/>
      <c r="P6866" s="9">
        <v>14</v>
      </c>
      <c r="Q6866" s="9">
        <v>8</v>
      </c>
      <c r="R6866" s="9">
        <v>6.2</v>
      </c>
      <c r="S6866" s="10"/>
      <c r="T6866" s="15"/>
      <c r="U6866" s="9">
        <v>0</v>
      </c>
      <c r="V6866" s="9">
        <v>4.2</v>
      </c>
      <c r="W6866" s="9">
        <v>6.1</v>
      </c>
      <c r="X6866" s="9">
        <v>0</v>
      </c>
      <c r="Y6866" s="9">
        <v>2</v>
      </c>
      <c r="Z6866" s="9">
        <v>2</v>
      </c>
      <c r="AA6866" s="9">
        <v>2</v>
      </c>
      <c r="AC6866" s="38">
        <v>0</v>
      </c>
      <c r="AD6866" s="38">
        <v>8.8000000000000007</v>
      </c>
    </row>
    <row r="6867" spans="1:30" x14ac:dyDescent="0.25">
      <c r="A6867" s="22">
        <v>45218</v>
      </c>
      <c r="B6867" s="9">
        <v>0</v>
      </c>
      <c r="C6867" s="9">
        <v>0</v>
      </c>
      <c r="D6867" s="9">
        <v>0</v>
      </c>
      <c r="E6867" s="7">
        <v>0.8</v>
      </c>
      <c r="F6867" s="9">
        <v>4.4000000000000004</v>
      </c>
      <c r="G6867" s="9">
        <v>0</v>
      </c>
      <c r="H6867" s="9">
        <v>0</v>
      </c>
      <c r="I6867" s="9">
        <v>0</v>
      </c>
      <c r="J6867" s="9">
        <v>1.6</v>
      </c>
      <c r="K6867" s="9">
        <v>0.1</v>
      </c>
      <c r="L6867" s="7">
        <v>0</v>
      </c>
      <c r="M6867" s="9">
        <v>0</v>
      </c>
      <c r="N6867" s="9">
        <v>10.199999999999999</v>
      </c>
      <c r="O6867" s="7"/>
      <c r="P6867" s="9">
        <v>10</v>
      </c>
      <c r="Q6867" s="9">
        <v>3</v>
      </c>
      <c r="R6867" s="9">
        <v>1.2</v>
      </c>
      <c r="S6867" s="10"/>
      <c r="T6867" s="15"/>
      <c r="U6867" s="9">
        <v>0</v>
      </c>
      <c r="V6867" s="9">
        <v>0</v>
      </c>
      <c r="W6867" s="9">
        <v>0</v>
      </c>
      <c r="X6867" s="9">
        <v>0</v>
      </c>
      <c r="Y6867" s="9">
        <v>0</v>
      </c>
      <c r="Z6867" s="9">
        <v>0</v>
      </c>
      <c r="AA6867" s="9">
        <v>10</v>
      </c>
      <c r="AC6867" s="38">
        <v>0</v>
      </c>
      <c r="AD6867" s="38">
        <v>10.6</v>
      </c>
    </row>
    <row r="6868" spans="1:30" x14ac:dyDescent="0.25">
      <c r="A6868" s="22">
        <v>45219</v>
      </c>
      <c r="B6868" s="9">
        <v>0</v>
      </c>
      <c r="C6868" s="9">
        <v>0</v>
      </c>
      <c r="D6868" s="9">
        <v>0</v>
      </c>
      <c r="E6868" s="7">
        <v>1.8</v>
      </c>
      <c r="F6868" s="9">
        <v>16.2</v>
      </c>
      <c r="G6868" s="9">
        <v>0</v>
      </c>
      <c r="H6868" s="9">
        <v>15.4</v>
      </c>
      <c r="I6868" s="9">
        <v>5.8</v>
      </c>
      <c r="J6868" s="9">
        <v>0</v>
      </c>
      <c r="K6868" s="9">
        <v>0.2</v>
      </c>
      <c r="L6868" s="7">
        <v>0</v>
      </c>
      <c r="M6868" s="9">
        <v>2.4</v>
      </c>
      <c r="N6868" s="9">
        <v>0</v>
      </c>
      <c r="O6868" s="7"/>
      <c r="P6868" s="9">
        <v>0</v>
      </c>
      <c r="Q6868" s="9">
        <v>1.5</v>
      </c>
      <c r="R6868" s="9">
        <v>9.9</v>
      </c>
      <c r="S6868" s="10"/>
      <c r="T6868" s="15"/>
      <c r="U6868" s="9">
        <v>48</v>
      </c>
      <c r="V6868" s="9">
        <v>0</v>
      </c>
      <c r="W6868" s="9">
        <v>12.1</v>
      </c>
      <c r="X6868" s="9">
        <v>0</v>
      </c>
      <c r="Y6868" s="9">
        <v>24</v>
      </c>
      <c r="Z6868" s="9">
        <v>22.6</v>
      </c>
      <c r="AA6868" s="9">
        <v>18</v>
      </c>
      <c r="AC6868" s="38">
        <v>17</v>
      </c>
      <c r="AD6868" s="38">
        <v>0</v>
      </c>
    </row>
    <row r="6869" spans="1:30" x14ac:dyDescent="0.25">
      <c r="A6869" s="22">
        <v>45220</v>
      </c>
      <c r="B6869" s="9">
        <v>0</v>
      </c>
      <c r="C6869" s="9">
        <v>0</v>
      </c>
      <c r="D6869" s="9">
        <v>0</v>
      </c>
      <c r="E6869" s="7">
        <v>0</v>
      </c>
      <c r="F6869" s="9">
        <v>0</v>
      </c>
      <c r="G6869" s="9">
        <v>0</v>
      </c>
      <c r="H6869" s="9">
        <v>1.2</v>
      </c>
      <c r="I6869" s="9">
        <v>0</v>
      </c>
      <c r="J6869" s="9">
        <v>0</v>
      </c>
      <c r="K6869" s="9">
        <v>0</v>
      </c>
      <c r="L6869" s="7">
        <v>0</v>
      </c>
      <c r="M6869" s="9">
        <v>0</v>
      </c>
      <c r="N6869" s="9">
        <v>0</v>
      </c>
      <c r="O6869" s="7"/>
      <c r="P6869" s="9">
        <v>0</v>
      </c>
      <c r="Q6869" s="9">
        <v>0</v>
      </c>
      <c r="R6869" s="9">
        <v>0</v>
      </c>
      <c r="S6869" s="10"/>
      <c r="T6869" s="15"/>
      <c r="U6869" s="9">
        <v>0</v>
      </c>
      <c r="V6869" s="9">
        <v>0</v>
      </c>
      <c r="W6869" s="9">
        <v>0</v>
      </c>
      <c r="X6869" s="9">
        <v>7</v>
      </c>
      <c r="Y6869" s="9">
        <v>2.2000000000000002</v>
      </c>
      <c r="Z6869" s="9">
        <v>0</v>
      </c>
      <c r="AA6869" s="9">
        <v>3.63</v>
      </c>
      <c r="AC6869" s="38">
        <v>0</v>
      </c>
      <c r="AD6869" s="38">
        <v>0</v>
      </c>
    </row>
    <row r="6870" spans="1:30" x14ac:dyDescent="0.25">
      <c r="A6870" s="22">
        <v>45221</v>
      </c>
      <c r="B6870" s="9">
        <v>0</v>
      </c>
      <c r="C6870" s="9">
        <v>0</v>
      </c>
      <c r="D6870" s="9">
        <v>1.2</v>
      </c>
      <c r="E6870" s="7">
        <v>22.599999999999994</v>
      </c>
      <c r="F6870" s="9">
        <v>69.2</v>
      </c>
      <c r="G6870" s="9">
        <v>32</v>
      </c>
      <c r="H6870" s="9">
        <v>92</v>
      </c>
      <c r="I6870" s="9">
        <v>51</v>
      </c>
      <c r="J6870" s="9">
        <v>18</v>
      </c>
      <c r="K6870" s="9">
        <v>14.2</v>
      </c>
      <c r="L6870" s="7">
        <v>1.27</v>
      </c>
      <c r="M6870" s="9">
        <v>94</v>
      </c>
      <c r="N6870" s="9">
        <v>43.600000000000009</v>
      </c>
      <c r="O6870" s="7"/>
      <c r="P6870" s="9">
        <v>1</v>
      </c>
      <c r="Q6870" s="9">
        <v>4.9000000000000004</v>
      </c>
      <c r="R6870" s="9">
        <v>24</v>
      </c>
      <c r="S6870" s="10"/>
      <c r="T6870" s="15"/>
      <c r="U6870" s="9">
        <v>60</v>
      </c>
      <c r="V6870" s="9">
        <v>34.299999999999997</v>
      </c>
      <c r="W6870" s="9">
        <v>36.299999999999997</v>
      </c>
      <c r="X6870" s="9">
        <v>122</v>
      </c>
      <c r="Y6870" s="9">
        <v>0</v>
      </c>
      <c r="Z6870" s="9">
        <v>0</v>
      </c>
      <c r="AA6870" s="9">
        <v>108</v>
      </c>
      <c r="AC6870" s="38">
        <v>13</v>
      </c>
      <c r="AD6870" s="38">
        <v>33.000000000000007</v>
      </c>
    </row>
    <row r="6871" spans="1:30" x14ac:dyDescent="0.25">
      <c r="A6871" s="22">
        <v>45222</v>
      </c>
      <c r="B6871" s="9">
        <v>0</v>
      </c>
      <c r="C6871" s="9">
        <v>0</v>
      </c>
      <c r="D6871" s="9">
        <v>0</v>
      </c>
      <c r="E6871" s="7">
        <v>0.2</v>
      </c>
      <c r="F6871" s="9">
        <v>4.4000000000000004</v>
      </c>
      <c r="G6871" s="9">
        <v>32</v>
      </c>
      <c r="H6871" s="9">
        <v>0</v>
      </c>
      <c r="I6871" s="9">
        <v>0.3</v>
      </c>
      <c r="J6871" s="9">
        <v>14.2</v>
      </c>
      <c r="K6871" s="9">
        <v>21.1</v>
      </c>
      <c r="L6871" s="7">
        <v>0</v>
      </c>
      <c r="M6871" s="9">
        <v>3.2</v>
      </c>
      <c r="N6871" s="9">
        <v>0.2</v>
      </c>
      <c r="O6871" s="7"/>
      <c r="P6871" s="9">
        <v>0</v>
      </c>
      <c r="Q6871" s="9">
        <v>13.6</v>
      </c>
      <c r="R6871" s="9">
        <v>6.1</v>
      </c>
      <c r="S6871" s="8"/>
      <c r="T6871" s="15"/>
      <c r="U6871" s="9">
        <v>0</v>
      </c>
      <c r="V6871" s="9">
        <v>5.2</v>
      </c>
      <c r="W6871" s="9">
        <v>0</v>
      </c>
      <c r="X6871" s="9">
        <v>13</v>
      </c>
      <c r="Y6871" s="9">
        <v>22</v>
      </c>
      <c r="Z6871" s="9">
        <v>26</v>
      </c>
      <c r="AA6871" s="9">
        <v>8</v>
      </c>
      <c r="AC6871" s="38">
        <v>0</v>
      </c>
      <c r="AD6871" s="38">
        <v>0</v>
      </c>
    </row>
    <row r="6872" spans="1:30" x14ac:dyDescent="0.25">
      <c r="A6872" s="22">
        <v>45223</v>
      </c>
      <c r="B6872" s="9">
        <v>0</v>
      </c>
      <c r="C6872" s="9">
        <v>2</v>
      </c>
      <c r="D6872" s="9">
        <v>16</v>
      </c>
      <c r="E6872" s="7">
        <v>0</v>
      </c>
      <c r="F6872" s="9">
        <v>0</v>
      </c>
      <c r="G6872" s="9">
        <v>0</v>
      </c>
      <c r="H6872" s="9">
        <v>0</v>
      </c>
      <c r="I6872" s="9">
        <v>1.3</v>
      </c>
      <c r="J6872" s="9">
        <v>10.1</v>
      </c>
      <c r="K6872" s="9">
        <v>5.4</v>
      </c>
      <c r="L6872" s="7">
        <v>0</v>
      </c>
      <c r="M6872" s="9">
        <v>0.8</v>
      </c>
      <c r="N6872" s="9">
        <v>13.2</v>
      </c>
      <c r="O6872" s="7"/>
      <c r="P6872" s="9">
        <v>0</v>
      </c>
      <c r="Q6872" s="9">
        <v>0</v>
      </c>
      <c r="R6872" s="9">
        <v>0</v>
      </c>
      <c r="S6872" s="8"/>
      <c r="T6872" s="15"/>
      <c r="U6872" s="9">
        <v>0</v>
      </c>
      <c r="V6872" s="9">
        <v>0</v>
      </c>
      <c r="W6872" s="9">
        <v>0</v>
      </c>
      <c r="X6872" s="9">
        <v>2</v>
      </c>
      <c r="Y6872" s="9">
        <v>0</v>
      </c>
      <c r="Z6872" s="9">
        <v>0</v>
      </c>
      <c r="AA6872" s="9">
        <v>0</v>
      </c>
      <c r="AC6872" s="38">
        <v>0</v>
      </c>
      <c r="AD6872" s="38">
        <v>0</v>
      </c>
    </row>
    <row r="6873" spans="1:30" x14ac:dyDescent="0.25">
      <c r="A6873" s="22">
        <v>45224</v>
      </c>
      <c r="B6873" s="9">
        <v>0</v>
      </c>
      <c r="C6873" s="9">
        <v>0</v>
      </c>
      <c r="D6873" s="9">
        <v>9.1999999999999993</v>
      </c>
      <c r="E6873" s="7">
        <v>56</v>
      </c>
      <c r="F6873" s="9">
        <v>0</v>
      </c>
      <c r="G6873" s="9">
        <v>2.5</v>
      </c>
      <c r="H6873" s="9">
        <v>1</v>
      </c>
      <c r="I6873" s="9">
        <v>5</v>
      </c>
      <c r="J6873" s="9">
        <v>16</v>
      </c>
      <c r="K6873" s="9">
        <v>9.4</v>
      </c>
      <c r="L6873" s="7">
        <v>0</v>
      </c>
      <c r="M6873" s="9">
        <v>2</v>
      </c>
      <c r="N6873" s="9">
        <v>28.199999999999996</v>
      </c>
      <c r="O6873" s="7"/>
      <c r="P6873" s="9">
        <v>0</v>
      </c>
      <c r="Q6873" s="9">
        <v>0</v>
      </c>
      <c r="R6873" s="9">
        <v>0</v>
      </c>
      <c r="S6873" s="8"/>
      <c r="T6873" s="15"/>
      <c r="U6873" s="9">
        <v>0</v>
      </c>
      <c r="V6873" s="9">
        <v>20.2</v>
      </c>
      <c r="W6873" s="9">
        <v>22.1</v>
      </c>
      <c r="X6873" s="9">
        <v>0</v>
      </c>
      <c r="Y6873" s="9">
        <v>0</v>
      </c>
      <c r="Z6873" s="9">
        <v>0</v>
      </c>
      <c r="AA6873" s="9">
        <v>0</v>
      </c>
      <c r="AC6873" s="38">
        <v>0</v>
      </c>
      <c r="AD6873" s="38">
        <v>14.599999999999996</v>
      </c>
    </row>
    <row r="6874" spans="1:30" x14ac:dyDescent="0.25">
      <c r="A6874" s="22">
        <v>45225</v>
      </c>
      <c r="B6874" s="9">
        <v>10</v>
      </c>
      <c r="C6874" s="9">
        <v>25.2</v>
      </c>
      <c r="D6874" s="9">
        <v>0</v>
      </c>
      <c r="E6874" s="7">
        <v>21.599999999999998</v>
      </c>
      <c r="F6874" s="9">
        <v>108.6</v>
      </c>
      <c r="G6874" s="9">
        <v>77</v>
      </c>
      <c r="H6874" s="9">
        <v>86.4</v>
      </c>
      <c r="I6874" s="9">
        <v>71.3</v>
      </c>
      <c r="J6874" s="9">
        <v>62.2</v>
      </c>
      <c r="K6874" s="9">
        <v>57</v>
      </c>
      <c r="L6874" s="7">
        <v>53.6</v>
      </c>
      <c r="M6874" s="9">
        <v>96.4</v>
      </c>
      <c r="N6874" s="9">
        <v>31.599999999999984</v>
      </c>
      <c r="O6874" s="7"/>
      <c r="P6874" s="9">
        <v>52</v>
      </c>
      <c r="Q6874" s="9">
        <v>16</v>
      </c>
      <c r="R6874" s="9">
        <v>14</v>
      </c>
      <c r="S6874" s="8"/>
      <c r="T6874" s="15"/>
      <c r="U6874" s="9">
        <v>54</v>
      </c>
      <c r="V6874" s="9">
        <v>40.5</v>
      </c>
      <c r="W6874" s="9">
        <v>55</v>
      </c>
      <c r="X6874" s="9">
        <v>26</v>
      </c>
      <c r="Y6874" s="9">
        <v>94</v>
      </c>
      <c r="Z6874" s="9">
        <v>98</v>
      </c>
      <c r="AA6874" s="9">
        <v>8</v>
      </c>
      <c r="AC6874" s="38">
        <v>0</v>
      </c>
      <c r="AD6874" s="38">
        <v>19.799999999999997</v>
      </c>
    </row>
    <row r="6875" spans="1:30" x14ac:dyDescent="0.25">
      <c r="A6875" s="22">
        <v>45226</v>
      </c>
      <c r="B6875" s="9">
        <v>0</v>
      </c>
      <c r="C6875" s="9">
        <v>0</v>
      </c>
      <c r="D6875" s="9">
        <v>0</v>
      </c>
      <c r="E6875" s="7">
        <v>2.4000000000000004</v>
      </c>
      <c r="F6875" s="9">
        <v>16.100000000000001</v>
      </c>
      <c r="G6875" s="9">
        <v>0.7</v>
      </c>
      <c r="H6875" s="9">
        <v>5.4</v>
      </c>
      <c r="I6875" s="9">
        <v>4.2</v>
      </c>
      <c r="J6875" s="9">
        <v>1.2</v>
      </c>
      <c r="K6875" s="9">
        <v>0.2</v>
      </c>
      <c r="L6875" s="7">
        <v>3.1</v>
      </c>
      <c r="M6875" s="9">
        <v>3</v>
      </c>
      <c r="N6875" s="9">
        <v>3</v>
      </c>
      <c r="O6875" s="7"/>
      <c r="P6875" s="9">
        <v>0</v>
      </c>
      <c r="Q6875" s="9">
        <v>11</v>
      </c>
      <c r="R6875" s="9">
        <v>5.0999999999999996</v>
      </c>
      <c r="S6875" s="8"/>
      <c r="T6875" s="15"/>
      <c r="U6875" s="9">
        <v>7</v>
      </c>
      <c r="V6875" s="9">
        <v>0</v>
      </c>
      <c r="W6875" s="9">
        <v>2</v>
      </c>
      <c r="X6875" s="9">
        <v>5</v>
      </c>
      <c r="Y6875" s="9">
        <v>8</v>
      </c>
      <c r="Z6875" s="9">
        <v>6</v>
      </c>
      <c r="AA6875" s="9">
        <v>56</v>
      </c>
      <c r="AC6875" s="38">
        <v>0</v>
      </c>
      <c r="AD6875" s="38">
        <v>1.5999999999999999</v>
      </c>
    </row>
    <row r="6876" spans="1:30" x14ac:dyDescent="0.25">
      <c r="A6876" s="22">
        <v>45227</v>
      </c>
      <c r="B6876" s="9">
        <v>0</v>
      </c>
      <c r="C6876" s="9">
        <v>6.4</v>
      </c>
      <c r="D6876" s="9">
        <v>4.0999999999999996</v>
      </c>
      <c r="E6876" s="7">
        <v>0</v>
      </c>
      <c r="F6876" s="9">
        <v>0</v>
      </c>
      <c r="G6876" s="9">
        <v>2</v>
      </c>
      <c r="H6876" s="9">
        <v>0</v>
      </c>
      <c r="I6876" s="9">
        <v>1.4</v>
      </c>
      <c r="J6876" s="9">
        <v>6.8</v>
      </c>
      <c r="K6876" s="9">
        <v>5.6</v>
      </c>
      <c r="L6876" s="7">
        <v>6.4</v>
      </c>
      <c r="M6876" s="9">
        <v>3</v>
      </c>
      <c r="N6876" s="9">
        <v>3.6000000000000005</v>
      </c>
      <c r="O6876" s="7"/>
      <c r="P6876" s="9">
        <v>10</v>
      </c>
      <c r="Q6876" s="9">
        <v>12.8</v>
      </c>
      <c r="R6876" s="9">
        <v>3</v>
      </c>
      <c r="S6876" s="8"/>
      <c r="T6876" s="15"/>
      <c r="U6876" s="9">
        <v>0</v>
      </c>
      <c r="V6876" s="9">
        <v>0</v>
      </c>
      <c r="W6876" s="9">
        <v>2</v>
      </c>
      <c r="X6876" s="9">
        <v>12.8</v>
      </c>
      <c r="Y6876" s="9">
        <v>3.4</v>
      </c>
      <c r="Z6876" s="9">
        <v>3</v>
      </c>
      <c r="AA6876" s="9">
        <v>0</v>
      </c>
      <c r="AC6876" s="38">
        <v>0</v>
      </c>
      <c r="AD6876" s="38">
        <v>0</v>
      </c>
    </row>
    <row r="6877" spans="1:30" x14ac:dyDescent="0.25">
      <c r="A6877" s="22">
        <v>45228</v>
      </c>
      <c r="B6877" s="9">
        <v>15</v>
      </c>
      <c r="C6877" s="9">
        <v>17</v>
      </c>
      <c r="D6877" s="9">
        <v>24.2</v>
      </c>
      <c r="E6877" s="7">
        <v>8.3999999999999986</v>
      </c>
      <c r="F6877" s="9">
        <v>14.4</v>
      </c>
      <c r="G6877" s="9">
        <v>9.5</v>
      </c>
      <c r="H6877" s="9">
        <v>9</v>
      </c>
      <c r="I6877" s="9">
        <v>5.4</v>
      </c>
      <c r="J6877" s="9">
        <v>46</v>
      </c>
      <c r="K6877" s="9">
        <v>37.200000000000003</v>
      </c>
      <c r="L6877" s="7">
        <v>0</v>
      </c>
      <c r="M6877" s="9">
        <v>9</v>
      </c>
      <c r="N6877" s="9">
        <v>40.6</v>
      </c>
      <c r="O6877" s="7"/>
      <c r="P6877" s="9">
        <v>0</v>
      </c>
      <c r="Q6877" s="9">
        <v>1.1000000000000001</v>
      </c>
      <c r="R6877" s="9">
        <v>10</v>
      </c>
      <c r="S6877" s="10"/>
      <c r="T6877" s="15"/>
      <c r="U6877" s="9">
        <v>15</v>
      </c>
      <c r="V6877" s="9">
        <v>12.4</v>
      </c>
      <c r="W6877" s="9">
        <v>18.3</v>
      </c>
      <c r="X6877" s="9">
        <v>2</v>
      </c>
      <c r="Y6877" s="9">
        <v>10</v>
      </c>
      <c r="Z6877" s="9">
        <v>8.5</v>
      </c>
      <c r="AA6877" s="9">
        <v>2</v>
      </c>
      <c r="AC6877" s="38">
        <v>0</v>
      </c>
      <c r="AD6877" s="38">
        <v>5.0000000000000009</v>
      </c>
    </row>
    <row r="6878" spans="1:30" x14ac:dyDescent="0.25">
      <c r="A6878" s="22">
        <v>45229</v>
      </c>
      <c r="B6878" s="9">
        <v>30</v>
      </c>
      <c r="C6878" s="9">
        <v>8.4</v>
      </c>
      <c r="D6878" s="9">
        <v>6.4</v>
      </c>
      <c r="E6878" s="7">
        <v>0.2</v>
      </c>
      <c r="F6878" s="9">
        <v>20.399999999999999</v>
      </c>
      <c r="G6878" s="9">
        <v>9.5</v>
      </c>
      <c r="H6878" s="9">
        <v>2.6</v>
      </c>
      <c r="I6878" s="9">
        <v>1.2</v>
      </c>
      <c r="J6878" s="9">
        <v>7.8</v>
      </c>
      <c r="K6878" s="9">
        <v>5.4</v>
      </c>
      <c r="L6878" s="7">
        <v>17.3</v>
      </c>
      <c r="M6878" s="9">
        <v>7</v>
      </c>
      <c r="N6878" s="9">
        <v>1.6</v>
      </c>
      <c r="O6878" s="7"/>
      <c r="P6878" s="9">
        <v>23</v>
      </c>
      <c r="Q6878" s="9">
        <v>19.3</v>
      </c>
      <c r="R6878" s="9">
        <v>10</v>
      </c>
      <c r="S6878" s="10"/>
      <c r="T6878" s="15"/>
      <c r="U6878" s="9">
        <v>10</v>
      </c>
      <c r="V6878" s="9">
        <v>1.82</v>
      </c>
      <c r="W6878" s="9">
        <v>0</v>
      </c>
      <c r="X6878" s="9">
        <v>14</v>
      </c>
      <c r="Y6878" s="9">
        <v>10.5</v>
      </c>
      <c r="Z6878" s="9">
        <v>9.8000000000000007</v>
      </c>
      <c r="AA6878" s="9">
        <v>20</v>
      </c>
      <c r="AC6878" s="38">
        <v>0</v>
      </c>
      <c r="AD6878" s="38">
        <v>6.6</v>
      </c>
    </row>
    <row r="6879" spans="1:30" x14ac:dyDescent="0.25">
      <c r="A6879" s="22">
        <v>45230</v>
      </c>
      <c r="B6879" s="9">
        <v>4</v>
      </c>
      <c r="C6879" s="7">
        <v>5.8</v>
      </c>
      <c r="D6879" s="9">
        <v>14</v>
      </c>
      <c r="E6879" s="7">
        <v>0</v>
      </c>
      <c r="F6879" s="9">
        <v>1.2</v>
      </c>
      <c r="G6879" s="9">
        <v>3.5</v>
      </c>
      <c r="H6879" s="9">
        <v>7</v>
      </c>
      <c r="I6879" s="9">
        <v>1</v>
      </c>
      <c r="J6879" s="9">
        <v>0.5</v>
      </c>
      <c r="K6879" s="9">
        <v>2</v>
      </c>
      <c r="L6879" s="9">
        <v>0</v>
      </c>
      <c r="M6879" s="9">
        <v>2.8</v>
      </c>
      <c r="N6879" s="9">
        <v>0.2</v>
      </c>
      <c r="O6879" s="7"/>
      <c r="P6879" s="9">
        <v>0</v>
      </c>
      <c r="Q6879" s="6">
        <v>0</v>
      </c>
      <c r="R6879" s="9">
        <v>0</v>
      </c>
      <c r="S6879" s="10"/>
      <c r="T6879" s="15"/>
      <c r="U6879" s="9">
        <v>4</v>
      </c>
      <c r="V6879" s="9">
        <v>0</v>
      </c>
      <c r="W6879" s="9">
        <v>2.4</v>
      </c>
      <c r="X6879" s="9">
        <v>0</v>
      </c>
      <c r="Y6879" s="9">
        <v>0</v>
      </c>
      <c r="Z6879" s="9">
        <v>0</v>
      </c>
      <c r="AA6879" s="9">
        <v>10</v>
      </c>
      <c r="AC6879" s="38">
        <v>0</v>
      </c>
      <c r="AD6879" s="38">
        <v>0.8</v>
      </c>
    </row>
    <row r="6880" spans="1:30" x14ac:dyDescent="0.25">
      <c r="A6880" s="22">
        <v>45231</v>
      </c>
      <c r="B6880" s="9">
        <v>0</v>
      </c>
      <c r="C6880" s="9">
        <v>0</v>
      </c>
      <c r="D6880" s="9">
        <v>0</v>
      </c>
      <c r="E6880" s="7">
        <v>2.2000000000000002</v>
      </c>
      <c r="F6880" s="9">
        <v>0</v>
      </c>
      <c r="G6880" s="9">
        <v>0</v>
      </c>
      <c r="H6880" s="9">
        <v>0</v>
      </c>
      <c r="I6880" s="9">
        <v>1.6</v>
      </c>
      <c r="J6880" s="45">
        <v>0</v>
      </c>
      <c r="K6880" s="9">
        <v>0</v>
      </c>
      <c r="L6880" s="9">
        <v>0</v>
      </c>
      <c r="M6880" s="9">
        <v>0</v>
      </c>
      <c r="N6880" s="9">
        <v>4.5999999999999996</v>
      </c>
      <c r="O6880" s="7"/>
      <c r="P6880" s="9">
        <v>0</v>
      </c>
      <c r="Q6880" s="9">
        <v>0</v>
      </c>
      <c r="R6880" s="9">
        <v>0</v>
      </c>
      <c r="S6880" s="8">
        <v>0</v>
      </c>
      <c r="T6880" s="15">
        <v>0</v>
      </c>
      <c r="U6880" s="9">
        <v>0</v>
      </c>
      <c r="V6880" s="9">
        <v>0</v>
      </c>
      <c r="W6880" s="9"/>
      <c r="X6880" s="9">
        <v>0</v>
      </c>
      <c r="Y6880" s="9">
        <v>0</v>
      </c>
      <c r="Z6880" s="9">
        <v>0</v>
      </c>
      <c r="AA6880" s="9">
        <v>10</v>
      </c>
      <c r="AC6880" s="38">
        <v>0</v>
      </c>
    </row>
    <row r="6881" spans="1:29" x14ac:dyDescent="0.25">
      <c r="A6881" s="22">
        <v>45232</v>
      </c>
      <c r="B6881" s="9">
        <v>20</v>
      </c>
      <c r="C6881" s="9">
        <v>55.2</v>
      </c>
      <c r="D6881" s="9">
        <v>36</v>
      </c>
      <c r="E6881" s="7">
        <v>7.6000000000000014</v>
      </c>
      <c r="F6881" s="9">
        <v>7</v>
      </c>
      <c r="G6881" s="9">
        <v>16.5</v>
      </c>
      <c r="H6881" s="9">
        <v>7</v>
      </c>
      <c r="I6881" s="9">
        <v>5.5</v>
      </c>
      <c r="J6881" s="45">
        <v>21.8</v>
      </c>
      <c r="K6881" s="9">
        <v>30.4</v>
      </c>
      <c r="L6881" s="9">
        <v>8.4</v>
      </c>
      <c r="M6881" s="9">
        <v>17.899999999999999</v>
      </c>
      <c r="N6881" s="9">
        <v>11.2</v>
      </c>
      <c r="O6881" s="7"/>
      <c r="P6881" s="9">
        <v>6</v>
      </c>
      <c r="Q6881" s="9">
        <v>9.5</v>
      </c>
      <c r="R6881" s="9">
        <v>19</v>
      </c>
      <c r="S6881" s="8">
        <v>1</v>
      </c>
      <c r="T6881" s="15">
        <v>0</v>
      </c>
      <c r="U6881" s="9">
        <v>35</v>
      </c>
      <c r="V6881" s="9">
        <v>0</v>
      </c>
      <c r="W6881" s="9"/>
      <c r="X6881" s="9">
        <v>4</v>
      </c>
      <c r="Y6881" s="9">
        <v>4</v>
      </c>
      <c r="Z6881" s="9">
        <v>2.5</v>
      </c>
      <c r="AA6881" s="9">
        <v>4</v>
      </c>
      <c r="AC6881" s="38">
        <v>0</v>
      </c>
    </row>
    <row r="6882" spans="1:29" x14ac:dyDescent="0.25">
      <c r="A6882" s="22">
        <v>45233</v>
      </c>
      <c r="B6882" s="9">
        <v>10</v>
      </c>
      <c r="C6882" s="9">
        <v>62.8</v>
      </c>
      <c r="D6882" s="9">
        <v>88</v>
      </c>
      <c r="E6882" s="7">
        <v>37.200000000000003</v>
      </c>
      <c r="F6882" s="9">
        <v>17.3</v>
      </c>
      <c r="G6882" s="9">
        <v>19.5</v>
      </c>
      <c r="H6882" s="9">
        <v>28.4</v>
      </c>
      <c r="I6882" s="9">
        <v>17.8</v>
      </c>
      <c r="J6882" s="45">
        <v>23</v>
      </c>
      <c r="K6882" s="9">
        <v>16.399999999999999</v>
      </c>
      <c r="L6882" s="9">
        <v>9.1</v>
      </c>
      <c r="M6882" s="9">
        <v>18.600000000000001</v>
      </c>
      <c r="N6882" s="9">
        <v>37.799999999999997</v>
      </c>
      <c r="O6882" s="7"/>
      <c r="P6882" s="9">
        <v>2</v>
      </c>
      <c r="Q6882" s="9">
        <v>32.5</v>
      </c>
      <c r="R6882" s="9">
        <v>18.2</v>
      </c>
      <c r="S6882" s="8">
        <v>0</v>
      </c>
      <c r="T6882" s="15">
        <v>0</v>
      </c>
      <c r="U6882" s="9">
        <v>42</v>
      </c>
      <c r="V6882" s="9">
        <v>5.3</v>
      </c>
      <c r="W6882" s="9"/>
      <c r="X6882" s="9">
        <v>21</v>
      </c>
      <c r="Y6882" s="9">
        <v>14.4</v>
      </c>
      <c r="Z6882" s="9">
        <v>14</v>
      </c>
      <c r="AA6882" s="9">
        <v>8</v>
      </c>
      <c r="AC6882" s="38">
        <v>0</v>
      </c>
    </row>
    <row r="6883" spans="1:29" x14ac:dyDescent="0.25">
      <c r="A6883" s="22">
        <v>45234</v>
      </c>
      <c r="B6883" s="9">
        <v>10</v>
      </c>
      <c r="C6883" s="9">
        <v>13.8</v>
      </c>
      <c r="D6883" s="9">
        <v>18.399999999999999</v>
      </c>
      <c r="E6883" s="7">
        <v>112.99999999999997</v>
      </c>
      <c r="F6883" s="9">
        <v>22.4</v>
      </c>
      <c r="G6883" s="9">
        <v>24</v>
      </c>
      <c r="H6883" s="9">
        <v>30.6</v>
      </c>
      <c r="I6883" s="9">
        <v>23.2</v>
      </c>
      <c r="J6883" s="45">
        <v>20.2</v>
      </c>
      <c r="K6883" s="9">
        <v>21.4</v>
      </c>
      <c r="L6883" s="9">
        <v>31.2</v>
      </c>
      <c r="M6883" s="9">
        <v>29.8</v>
      </c>
      <c r="N6883" s="9">
        <v>26.8</v>
      </c>
      <c r="O6883" s="7"/>
      <c r="P6883" s="9">
        <v>44</v>
      </c>
      <c r="Q6883" s="9">
        <v>17.100000000000001</v>
      </c>
      <c r="R6883" s="9">
        <v>7</v>
      </c>
      <c r="S6883" s="8">
        <v>0</v>
      </c>
      <c r="T6883" s="15">
        <v>0</v>
      </c>
      <c r="U6883" s="9">
        <v>38</v>
      </c>
      <c r="V6883" s="9">
        <v>10.3</v>
      </c>
      <c r="W6883" s="9"/>
      <c r="X6883" s="9">
        <v>14</v>
      </c>
      <c r="Y6883" s="9">
        <v>17.399999999999999</v>
      </c>
      <c r="Z6883" s="9">
        <v>16.8</v>
      </c>
      <c r="AA6883" s="9">
        <v>10</v>
      </c>
      <c r="AC6883" s="38">
        <v>0</v>
      </c>
    </row>
    <row r="6884" spans="1:29" x14ac:dyDescent="0.25">
      <c r="A6884" s="22">
        <v>45235</v>
      </c>
      <c r="B6884" s="9">
        <v>106</v>
      </c>
      <c r="C6884" s="9">
        <v>10</v>
      </c>
      <c r="D6884" s="9">
        <v>23.6</v>
      </c>
      <c r="E6884" s="7">
        <v>3.6</v>
      </c>
      <c r="F6884" s="9">
        <v>2.2000000000000002</v>
      </c>
      <c r="G6884" s="9">
        <v>2.5</v>
      </c>
      <c r="H6884" s="9">
        <v>1</v>
      </c>
      <c r="I6884" s="9">
        <v>0.9</v>
      </c>
      <c r="J6884" s="45">
        <v>1.4</v>
      </c>
      <c r="K6884" s="9">
        <v>5</v>
      </c>
      <c r="L6884" s="9">
        <v>64.3</v>
      </c>
      <c r="M6884" s="9">
        <v>3.7</v>
      </c>
      <c r="N6884" s="9">
        <v>7</v>
      </c>
      <c r="O6884" s="7"/>
      <c r="P6884" s="9">
        <v>57</v>
      </c>
      <c r="Q6884" s="9">
        <v>67</v>
      </c>
      <c r="R6884" s="9">
        <v>44</v>
      </c>
      <c r="S6884" s="8">
        <v>0</v>
      </c>
      <c r="T6884" s="15">
        <v>0</v>
      </c>
      <c r="U6884" s="9">
        <v>60</v>
      </c>
      <c r="V6884" s="9">
        <v>0</v>
      </c>
      <c r="W6884" s="9"/>
      <c r="X6884" s="9">
        <v>7</v>
      </c>
      <c r="Y6884" s="9">
        <v>2.5</v>
      </c>
      <c r="Z6884" s="9">
        <v>2</v>
      </c>
      <c r="AA6884" s="9">
        <v>58</v>
      </c>
      <c r="AC6884" s="38">
        <v>0</v>
      </c>
    </row>
    <row r="6885" spans="1:29" x14ac:dyDescent="0.25">
      <c r="A6885" s="22">
        <v>45236</v>
      </c>
      <c r="B6885" s="9">
        <v>8</v>
      </c>
      <c r="C6885" s="9">
        <v>4.2</v>
      </c>
      <c r="D6885" s="9">
        <v>8.8000000000000007</v>
      </c>
      <c r="E6885" s="7">
        <v>97.600000000000009</v>
      </c>
      <c r="F6885" s="9">
        <v>0.2</v>
      </c>
      <c r="G6885" s="9">
        <v>0</v>
      </c>
      <c r="H6885" s="9">
        <v>1.2</v>
      </c>
      <c r="I6885" s="9">
        <v>0.4</v>
      </c>
      <c r="J6885" s="9">
        <v>2</v>
      </c>
      <c r="K6885" s="9">
        <v>2</v>
      </c>
      <c r="L6885" s="9">
        <v>10.9</v>
      </c>
      <c r="M6885" s="9">
        <v>0</v>
      </c>
      <c r="N6885" s="9">
        <v>35</v>
      </c>
      <c r="O6885" s="7"/>
      <c r="P6885" s="9">
        <v>10</v>
      </c>
      <c r="Q6885" s="9">
        <v>1.1000000000000001</v>
      </c>
      <c r="R6885" s="9">
        <v>1.9</v>
      </c>
      <c r="S6885" s="8">
        <v>46</v>
      </c>
      <c r="T6885" s="15">
        <v>82</v>
      </c>
      <c r="U6885" s="9">
        <v>3</v>
      </c>
      <c r="V6885" s="9">
        <v>0.2</v>
      </c>
      <c r="W6885" s="9"/>
      <c r="X6885" s="9">
        <v>46</v>
      </c>
      <c r="Y6885" s="9">
        <v>2</v>
      </c>
      <c r="Z6885" s="9">
        <v>1.6</v>
      </c>
      <c r="AA6885" s="9">
        <v>8</v>
      </c>
      <c r="AC6885" s="38">
        <v>2</v>
      </c>
    </row>
    <row r="6886" spans="1:29" x14ac:dyDescent="0.25">
      <c r="A6886" s="22">
        <v>45237</v>
      </c>
      <c r="B6886" s="9">
        <v>70</v>
      </c>
      <c r="C6886" s="9">
        <v>55.2</v>
      </c>
      <c r="D6886" s="9">
        <v>63</v>
      </c>
      <c r="E6886" s="7">
        <v>30.599999999999987</v>
      </c>
      <c r="F6886" s="9">
        <v>41</v>
      </c>
      <c r="G6886" s="9">
        <v>45.5</v>
      </c>
      <c r="H6886" s="9">
        <v>34.5</v>
      </c>
      <c r="I6886" s="9">
        <v>31.8</v>
      </c>
      <c r="J6886" s="9">
        <v>34.4</v>
      </c>
      <c r="K6886" s="9">
        <v>52</v>
      </c>
      <c r="L6886" s="9">
        <v>61.2</v>
      </c>
      <c r="M6886" s="9">
        <v>34.700000000000003</v>
      </c>
      <c r="N6886" s="9">
        <v>26.8</v>
      </c>
      <c r="O6886" s="7"/>
      <c r="P6886" s="9">
        <v>63</v>
      </c>
      <c r="Q6886" s="9">
        <v>65.400000000000006</v>
      </c>
      <c r="R6886" s="9">
        <v>51</v>
      </c>
      <c r="S6886" s="8">
        <v>1</v>
      </c>
      <c r="T6886" s="15">
        <v>1</v>
      </c>
      <c r="U6886" s="9">
        <v>70</v>
      </c>
      <c r="V6886" s="9">
        <v>35.299999999999997</v>
      </c>
      <c r="W6886" s="9"/>
      <c r="X6886" s="9">
        <v>37</v>
      </c>
      <c r="Y6886" s="9">
        <v>38.5</v>
      </c>
      <c r="Z6886" s="9">
        <v>36</v>
      </c>
      <c r="AA6886" s="9">
        <v>34</v>
      </c>
      <c r="AC6886" s="38">
        <v>18</v>
      </c>
    </row>
    <row r="6887" spans="1:29" x14ac:dyDescent="0.25">
      <c r="A6887" s="22">
        <v>45238</v>
      </c>
      <c r="B6887" s="9">
        <v>70</v>
      </c>
      <c r="C6887" s="9">
        <v>16.399999999999999</v>
      </c>
      <c r="D6887" s="9">
        <v>9.4</v>
      </c>
      <c r="E6887" s="7">
        <v>0</v>
      </c>
      <c r="F6887" s="9">
        <v>12.4</v>
      </c>
      <c r="G6887" s="9">
        <v>10</v>
      </c>
      <c r="H6887" s="9">
        <v>11.25</v>
      </c>
      <c r="I6887" s="9">
        <v>21</v>
      </c>
      <c r="J6887" s="9">
        <v>14.5</v>
      </c>
      <c r="K6887" s="9">
        <v>7.6</v>
      </c>
      <c r="L6887" s="9">
        <v>21.6</v>
      </c>
      <c r="M6887" s="9">
        <v>9.6</v>
      </c>
      <c r="N6887" s="9">
        <v>0.8</v>
      </c>
      <c r="O6887" s="7"/>
      <c r="P6887" s="9">
        <v>63</v>
      </c>
      <c r="Q6887" s="9">
        <v>14.2</v>
      </c>
      <c r="R6887" s="9">
        <v>16</v>
      </c>
      <c r="S6887" s="8">
        <v>22</v>
      </c>
      <c r="T6887" s="15">
        <v>10</v>
      </c>
      <c r="U6887" s="9">
        <v>20</v>
      </c>
      <c r="V6887" s="9">
        <v>3</v>
      </c>
      <c r="W6887" s="9"/>
      <c r="X6887" s="9">
        <v>17</v>
      </c>
      <c r="Y6887" s="9">
        <v>14</v>
      </c>
      <c r="Z6887" s="9">
        <v>16.2</v>
      </c>
      <c r="AA6887" s="9">
        <v>58</v>
      </c>
      <c r="AC6887" s="38">
        <v>0</v>
      </c>
    </row>
    <row r="6888" spans="1:29" x14ac:dyDescent="0.25">
      <c r="A6888" s="22">
        <v>45239</v>
      </c>
      <c r="B6888" s="9">
        <v>0</v>
      </c>
      <c r="C6888" s="9">
        <v>1.2</v>
      </c>
      <c r="D6888" s="9">
        <v>0</v>
      </c>
      <c r="E6888" s="7">
        <v>0.60000000000000009</v>
      </c>
      <c r="F6888" s="9">
        <v>0</v>
      </c>
      <c r="G6888" s="9">
        <v>1.5</v>
      </c>
      <c r="H6888" s="9">
        <v>0</v>
      </c>
      <c r="I6888" s="9">
        <v>0.2</v>
      </c>
      <c r="J6888" s="9">
        <v>2.2000000000000002</v>
      </c>
      <c r="K6888" s="9">
        <v>5</v>
      </c>
      <c r="L6888" s="9">
        <v>0</v>
      </c>
      <c r="M6888" s="9">
        <v>0</v>
      </c>
      <c r="N6888" s="9">
        <v>13.6</v>
      </c>
      <c r="O6888" s="7"/>
      <c r="P6888" s="9">
        <v>0</v>
      </c>
      <c r="Q6888" s="9">
        <v>2</v>
      </c>
      <c r="R6888" s="9">
        <v>2</v>
      </c>
      <c r="S6888" s="8">
        <v>0</v>
      </c>
      <c r="T6888" s="15">
        <v>0</v>
      </c>
      <c r="U6888" s="9">
        <v>0</v>
      </c>
      <c r="V6888" s="9">
        <v>2.2000000000000002</v>
      </c>
      <c r="W6888" s="9"/>
      <c r="X6888" s="9">
        <v>2</v>
      </c>
      <c r="Y6888" s="9">
        <v>0</v>
      </c>
      <c r="Z6888" s="9">
        <v>0</v>
      </c>
      <c r="AA6888" s="9">
        <v>4</v>
      </c>
      <c r="AC6888" s="38">
        <v>0</v>
      </c>
    </row>
    <row r="6889" spans="1:29" x14ac:dyDescent="0.25">
      <c r="A6889" s="22">
        <v>45240</v>
      </c>
      <c r="B6889" s="9">
        <v>20</v>
      </c>
      <c r="C6889" s="9">
        <v>20.6</v>
      </c>
      <c r="D6889" s="9">
        <v>29.4</v>
      </c>
      <c r="E6889" s="7">
        <v>19.799999999999997</v>
      </c>
      <c r="F6889" s="9">
        <v>17.399999999999999</v>
      </c>
      <c r="G6889" s="9">
        <v>19</v>
      </c>
      <c r="H6889" s="9">
        <v>16.399999999999999</v>
      </c>
      <c r="I6889" s="9">
        <v>16.600000000000001</v>
      </c>
      <c r="J6889" s="9">
        <v>22</v>
      </c>
      <c r="K6889" s="9">
        <v>24</v>
      </c>
      <c r="L6889" s="9">
        <v>8</v>
      </c>
      <c r="M6889" s="9">
        <v>21.2</v>
      </c>
      <c r="N6889" s="9">
        <v>44.6</v>
      </c>
      <c r="O6889" s="7"/>
      <c r="P6889" s="9">
        <v>10</v>
      </c>
      <c r="Q6889" s="9">
        <v>6.7</v>
      </c>
      <c r="R6889" s="9">
        <v>2.5</v>
      </c>
      <c r="S6889" s="8">
        <v>1</v>
      </c>
      <c r="T6889" s="15">
        <v>0</v>
      </c>
      <c r="U6889" s="9">
        <v>30</v>
      </c>
      <c r="V6889" s="9">
        <v>5.2</v>
      </c>
      <c r="W6889" s="9"/>
      <c r="X6889" s="9">
        <v>11</v>
      </c>
      <c r="Y6889" s="9">
        <v>12.5</v>
      </c>
      <c r="Z6889" s="9">
        <v>12</v>
      </c>
      <c r="AA6889" s="9">
        <v>6</v>
      </c>
      <c r="AC6889" s="38">
        <v>3</v>
      </c>
    </row>
    <row r="6890" spans="1:29" x14ac:dyDescent="0.25">
      <c r="A6890" s="22">
        <v>45241</v>
      </c>
      <c r="B6890" s="9">
        <v>10</v>
      </c>
      <c r="C6890" s="9">
        <v>50.8</v>
      </c>
      <c r="D6890" s="9">
        <v>74</v>
      </c>
      <c r="E6890" s="7">
        <v>57.000000000000007</v>
      </c>
      <c r="F6890" s="9">
        <v>32</v>
      </c>
      <c r="G6890" s="9">
        <v>44.5</v>
      </c>
      <c r="H6890" s="9">
        <v>46.8</v>
      </c>
      <c r="I6890" s="9">
        <v>39.6</v>
      </c>
      <c r="J6890" s="9">
        <v>36.4</v>
      </c>
      <c r="K6890" s="9">
        <v>56.8</v>
      </c>
      <c r="L6890" s="9">
        <v>69.3</v>
      </c>
      <c r="M6890" s="9">
        <v>39.799999999999997</v>
      </c>
      <c r="N6890" s="9">
        <v>59.8</v>
      </c>
      <c r="O6890" s="7"/>
      <c r="P6890" s="9">
        <v>94</v>
      </c>
      <c r="Q6890" s="9">
        <v>58.3</v>
      </c>
      <c r="R6890" s="9">
        <v>50.4</v>
      </c>
      <c r="S6890" s="8">
        <v>0</v>
      </c>
      <c r="T6890" s="15">
        <v>0</v>
      </c>
      <c r="U6890" s="9">
        <v>103</v>
      </c>
      <c r="V6890" s="9">
        <v>65.5</v>
      </c>
      <c r="W6890" s="9"/>
      <c r="X6890" s="9">
        <v>79</v>
      </c>
      <c r="Y6890" s="9">
        <v>32.200000000000003</v>
      </c>
      <c r="Z6890" s="9">
        <v>34.6</v>
      </c>
      <c r="AA6890" s="9">
        <v>0</v>
      </c>
      <c r="AC6890" s="38">
        <v>34</v>
      </c>
    </row>
    <row r="6891" spans="1:29" x14ac:dyDescent="0.25">
      <c r="A6891" s="22">
        <v>45242</v>
      </c>
      <c r="B6891" s="9">
        <v>21</v>
      </c>
      <c r="C6891" s="9"/>
      <c r="D6891" s="9">
        <v>73</v>
      </c>
      <c r="E6891" s="7">
        <v>4.3999999999999995</v>
      </c>
      <c r="F6891" s="9">
        <v>30</v>
      </c>
      <c r="G6891" s="9">
        <v>49.5</v>
      </c>
      <c r="H6891" s="9">
        <v>31</v>
      </c>
      <c r="I6891" s="9">
        <v>51.1</v>
      </c>
      <c r="J6891" s="9">
        <v>47</v>
      </c>
      <c r="K6891" s="9">
        <v>30.8</v>
      </c>
      <c r="L6891" s="9">
        <v>17.100000000000001</v>
      </c>
      <c r="M6891" s="9">
        <v>39.799999999999997</v>
      </c>
      <c r="N6891" s="9">
        <v>28.4</v>
      </c>
      <c r="O6891" s="7"/>
      <c r="P6891" s="9">
        <v>31</v>
      </c>
      <c r="Q6891" s="9">
        <v>50.2</v>
      </c>
      <c r="R6891" s="9">
        <v>47</v>
      </c>
      <c r="S6891" s="8">
        <v>0</v>
      </c>
      <c r="T6891" s="15">
        <v>0</v>
      </c>
      <c r="U6891" s="9">
        <v>40</v>
      </c>
      <c r="V6891" s="9">
        <v>9</v>
      </c>
      <c r="W6891" s="9"/>
      <c r="X6891" s="9">
        <v>19</v>
      </c>
      <c r="Y6891" s="9">
        <v>26.5</v>
      </c>
      <c r="Z6891" s="9">
        <v>24</v>
      </c>
      <c r="AA6891" s="9">
        <v>58</v>
      </c>
      <c r="AC6891" s="38">
        <v>19</v>
      </c>
    </row>
    <row r="6892" spans="1:29" x14ac:dyDescent="0.25">
      <c r="A6892" s="22">
        <v>45243</v>
      </c>
      <c r="B6892" s="9">
        <v>14</v>
      </c>
      <c r="C6892" s="9">
        <v>27.8</v>
      </c>
      <c r="D6892" s="9">
        <v>42.8</v>
      </c>
      <c r="E6892" s="7">
        <v>16.999999999999996</v>
      </c>
      <c r="F6892" s="9">
        <v>38</v>
      </c>
      <c r="G6892" s="9">
        <v>47.5</v>
      </c>
      <c r="H6892" s="9">
        <v>46.2</v>
      </c>
      <c r="I6892" s="9">
        <v>40</v>
      </c>
      <c r="J6892" s="9">
        <v>43.8</v>
      </c>
      <c r="K6892" s="9">
        <v>32</v>
      </c>
      <c r="L6892" s="9">
        <v>6</v>
      </c>
      <c r="M6892" s="9">
        <v>49</v>
      </c>
      <c r="N6892" s="9">
        <v>7</v>
      </c>
      <c r="O6892" s="7"/>
      <c r="P6892" s="9">
        <v>11</v>
      </c>
      <c r="Q6892" s="9">
        <v>14</v>
      </c>
      <c r="R6892" s="9">
        <v>10</v>
      </c>
      <c r="S6892" s="10">
        <v>27.5</v>
      </c>
      <c r="T6892" s="15">
        <v>22</v>
      </c>
      <c r="U6892" s="9">
        <v>35</v>
      </c>
      <c r="V6892" s="9">
        <v>20.2</v>
      </c>
      <c r="W6892" s="9"/>
      <c r="X6892" s="9">
        <v>25</v>
      </c>
      <c r="Y6892" s="9">
        <v>17</v>
      </c>
      <c r="Z6892" s="9">
        <v>16.600000000000001</v>
      </c>
      <c r="AA6892" s="9">
        <v>6</v>
      </c>
      <c r="AC6892" s="38">
        <v>53</v>
      </c>
    </row>
    <row r="6893" spans="1:29" x14ac:dyDescent="0.25">
      <c r="A6893" s="22">
        <v>45244</v>
      </c>
      <c r="B6893" s="9">
        <v>11</v>
      </c>
      <c r="C6893" s="9">
        <v>2</v>
      </c>
      <c r="D6893" s="9">
        <v>8.4</v>
      </c>
      <c r="E6893" s="7">
        <v>0.6</v>
      </c>
      <c r="F6893" s="9">
        <v>7.1</v>
      </c>
      <c r="G6893" s="9">
        <v>6.5</v>
      </c>
      <c r="H6893" s="9">
        <v>12.4</v>
      </c>
      <c r="I6893" s="9">
        <v>3.8</v>
      </c>
      <c r="J6893" s="9">
        <v>10.6</v>
      </c>
      <c r="K6893" s="9">
        <v>7.4</v>
      </c>
      <c r="L6893" s="9">
        <v>8.9</v>
      </c>
      <c r="M6893" s="9">
        <v>6.8</v>
      </c>
      <c r="N6893" s="9">
        <v>0.8</v>
      </c>
      <c r="O6893" s="7"/>
      <c r="P6893" s="9">
        <v>4</v>
      </c>
      <c r="Q6893" s="9">
        <v>4</v>
      </c>
      <c r="R6893" s="9">
        <v>4.5</v>
      </c>
      <c r="S6893" s="10">
        <v>0.5</v>
      </c>
      <c r="T6893" s="15">
        <v>10</v>
      </c>
      <c r="U6893" s="9">
        <v>5</v>
      </c>
      <c r="V6893" s="9">
        <v>4.2</v>
      </c>
      <c r="W6893" s="9"/>
      <c r="X6893" s="9">
        <v>4</v>
      </c>
      <c r="Y6893" s="9">
        <v>1.2</v>
      </c>
      <c r="Z6893" s="9">
        <v>6</v>
      </c>
      <c r="AA6893" s="9">
        <v>10</v>
      </c>
      <c r="AC6893" s="38">
        <v>6</v>
      </c>
    </row>
    <row r="6894" spans="1:29" x14ac:dyDescent="0.25">
      <c r="A6894" s="22">
        <v>45245</v>
      </c>
      <c r="B6894" s="9">
        <v>0</v>
      </c>
      <c r="C6894" s="9">
        <v>2.4</v>
      </c>
      <c r="D6894" s="9">
        <v>2.8</v>
      </c>
      <c r="E6894" s="7">
        <v>1.2000000000000002</v>
      </c>
      <c r="F6894" s="9">
        <v>1.4</v>
      </c>
      <c r="G6894" s="9">
        <v>6.5</v>
      </c>
      <c r="H6894" s="9">
        <v>2</v>
      </c>
      <c r="I6894" s="9">
        <v>2</v>
      </c>
      <c r="J6894" s="9">
        <v>0</v>
      </c>
      <c r="K6894" s="9">
        <v>1</v>
      </c>
      <c r="L6894" s="9">
        <v>1.5</v>
      </c>
      <c r="M6894" s="9">
        <v>3</v>
      </c>
      <c r="N6894" s="9">
        <v>0.4</v>
      </c>
      <c r="O6894" s="7"/>
      <c r="P6894" s="9">
        <v>0</v>
      </c>
      <c r="Q6894" s="9">
        <v>0</v>
      </c>
      <c r="R6894" s="9">
        <v>0</v>
      </c>
      <c r="S6894" s="10">
        <v>0</v>
      </c>
      <c r="T6894" s="15">
        <v>0</v>
      </c>
      <c r="U6894" s="9">
        <v>3</v>
      </c>
      <c r="V6894" s="9">
        <v>0</v>
      </c>
      <c r="W6894" s="9"/>
      <c r="X6894" s="9">
        <v>0</v>
      </c>
      <c r="Y6894" s="9"/>
      <c r="Z6894" s="9">
        <v>0</v>
      </c>
      <c r="AA6894" s="9">
        <v>6</v>
      </c>
      <c r="AC6894" s="38">
        <v>4</v>
      </c>
    </row>
    <row r="6895" spans="1:29" x14ac:dyDescent="0.25">
      <c r="A6895" s="22">
        <v>45246</v>
      </c>
      <c r="B6895" s="9">
        <v>20</v>
      </c>
      <c r="C6895" s="9">
        <v>23.6</v>
      </c>
      <c r="D6895" s="9">
        <v>21</v>
      </c>
      <c r="E6895" s="7">
        <v>55.199999999999989</v>
      </c>
      <c r="F6895" s="9">
        <v>14.4</v>
      </c>
      <c r="G6895" s="9">
        <v>11.5</v>
      </c>
      <c r="H6895" s="9">
        <v>8.6</v>
      </c>
      <c r="I6895" s="9">
        <v>6.3</v>
      </c>
      <c r="J6895" s="9">
        <v>24</v>
      </c>
      <c r="K6895" s="9">
        <v>21.1</v>
      </c>
      <c r="L6895" s="9">
        <v>12.2</v>
      </c>
      <c r="M6895" s="9">
        <v>8.6999999999999993</v>
      </c>
      <c r="N6895" s="9">
        <v>44.4</v>
      </c>
      <c r="O6895" s="7"/>
      <c r="P6895" s="9">
        <v>20</v>
      </c>
      <c r="Q6895" s="9">
        <v>19.5</v>
      </c>
      <c r="R6895" s="9">
        <v>18.899999999999999</v>
      </c>
      <c r="S6895" s="10">
        <v>3.5</v>
      </c>
      <c r="T6895" s="15">
        <v>18</v>
      </c>
      <c r="U6895" s="9">
        <v>22</v>
      </c>
      <c r="V6895" s="9">
        <v>10.199999999999999</v>
      </c>
      <c r="W6895" s="9"/>
      <c r="X6895" s="9">
        <v>17</v>
      </c>
      <c r="Y6895" s="9">
        <v>14</v>
      </c>
      <c r="Z6895" s="9">
        <v>12.5</v>
      </c>
      <c r="AA6895" s="9">
        <v>4</v>
      </c>
      <c r="AC6895" s="38">
        <v>10</v>
      </c>
    </row>
    <row r="6896" spans="1:29" x14ac:dyDescent="0.25">
      <c r="A6896" s="22">
        <v>45247</v>
      </c>
      <c r="B6896" s="9">
        <v>42.5</v>
      </c>
      <c r="C6896" s="9">
        <v>42.6</v>
      </c>
      <c r="D6896" s="9">
        <v>47.4</v>
      </c>
      <c r="E6896" s="7">
        <v>4</v>
      </c>
      <c r="F6896" s="9">
        <v>20.3</v>
      </c>
      <c r="G6896" s="9">
        <v>26.5</v>
      </c>
      <c r="H6896" s="9">
        <v>20.6</v>
      </c>
      <c r="I6896" s="9">
        <v>19.2</v>
      </c>
      <c r="J6896" s="9">
        <v>25.9</v>
      </c>
      <c r="K6896" s="9">
        <v>26.4</v>
      </c>
      <c r="L6896" s="9">
        <v>28.4</v>
      </c>
      <c r="M6896" s="9">
        <v>26</v>
      </c>
      <c r="N6896" s="9">
        <v>6</v>
      </c>
      <c r="O6896" s="7"/>
      <c r="P6896" s="9">
        <v>26</v>
      </c>
      <c r="Q6896" s="9">
        <v>30.1</v>
      </c>
      <c r="R6896" s="9">
        <v>22.1</v>
      </c>
      <c r="S6896" s="10">
        <v>19.5</v>
      </c>
      <c r="T6896" s="15">
        <v>5</v>
      </c>
      <c r="U6896" s="9">
        <v>40</v>
      </c>
      <c r="V6896" s="9">
        <v>5.3</v>
      </c>
      <c r="W6896" s="9"/>
      <c r="X6896" s="9">
        <v>34</v>
      </c>
      <c r="Y6896" s="9">
        <v>32.4</v>
      </c>
      <c r="Z6896" s="9">
        <v>28</v>
      </c>
      <c r="AA6896" s="9">
        <v>4</v>
      </c>
      <c r="AC6896" s="38">
        <v>11</v>
      </c>
    </row>
    <row r="6897" spans="1:30" x14ac:dyDescent="0.25">
      <c r="A6897" s="22">
        <v>45248</v>
      </c>
      <c r="B6897" s="9">
        <v>0</v>
      </c>
      <c r="C6897" s="9">
        <v>0</v>
      </c>
      <c r="D6897" s="9">
        <v>1.2</v>
      </c>
      <c r="E6897" s="7">
        <v>0</v>
      </c>
      <c r="F6897" s="9">
        <v>0</v>
      </c>
      <c r="G6897" s="9">
        <v>0</v>
      </c>
      <c r="H6897" s="9">
        <v>0.4</v>
      </c>
      <c r="I6897" s="9">
        <v>0.2</v>
      </c>
      <c r="J6897" s="9">
        <v>0.2</v>
      </c>
      <c r="K6897" s="9">
        <v>0</v>
      </c>
      <c r="L6897" s="9">
        <v>0</v>
      </c>
      <c r="M6897" s="9">
        <v>0</v>
      </c>
      <c r="N6897" s="9">
        <v>0.2</v>
      </c>
      <c r="O6897" s="7"/>
      <c r="P6897" s="9">
        <v>0</v>
      </c>
      <c r="Q6897" s="9">
        <v>0</v>
      </c>
      <c r="R6897" s="9">
        <v>0</v>
      </c>
      <c r="S6897" s="10">
        <v>0</v>
      </c>
      <c r="T6897" s="15">
        <v>0</v>
      </c>
      <c r="U6897" s="9">
        <v>0</v>
      </c>
      <c r="V6897" s="9">
        <v>2.2000000000000002</v>
      </c>
      <c r="W6897" s="9"/>
      <c r="X6897" s="9">
        <v>0</v>
      </c>
      <c r="Y6897" s="9">
        <v>0</v>
      </c>
      <c r="Z6897" s="9">
        <v>0</v>
      </c>
      <c r="AA6897" s="9">
        <v>6</v>
      </c>
      <c r="AC6897" s="38">
        <v>9</v>
      </c>
    </row>
    <row r="6898" spans="1:30" x14ac:dyDescent="0.25">
      <c r="A6898" s="22">
        <v>45249</v>
      </c>
      <c r="B6898" s="9">
        <v>0</v>
      </c>
      <c r="C6898" s="9">
        <v>0</v>
      </c>
      <c r="D6898" s="9">
        <v>0</v>
      </c>
      <c r="E6898" s="7">
        <v>0</v>
      </c>
      <c r="F6898" s="9">
        <v>0</v>
      </c>
      <c r="G6898" s="9">
        <v>0</v>
      </c>
      <c r="H6898" s="9">
        <v>0</v>
      </c>
      <c r="I6898" s="9">
        <v>0</v>
      </c>
      <c r="J6898" s="9">
        <v>0</v>
      </c>
      <c r="K6898" s="9">
        <v>0</v>
      </c>
      <c r="L6898" s="9">
        <v>0</v>
      </c>
      <c r="M6898" s="9">
        <v>0</v>
      </c>
      <c r="N6898" s="9">
        <v>0</v>
      </c>
      <c r="O6898" s="7"/>
      <c r="P6898" s="9">
        <v>0</v>
      </c>
      <c r="Q6898" s="9">
        <v>0</v>
      </c>
      <c r="R6898" s="9">
        <v>0</v>
      </c>
      <c r="S6898" s="10">
        <v>0</v>
      </c>
      <c r="T6898" s="15">
        <v>0</v>
      </c>
      <c r="U6898" s="9">
        <v>5</v>
      </c>
      <c r="V6898" s="9">
        <v>0</v>
      </c>
      <c r="W6898" s="9"/>
      <c r="X6898" s="9">
        <v>0</v>
      </c>
      <c r="Y6898" s="9">
        <v>0</v>
      </c>
      <c r="Z6898" s="9">
        <v>0</v>
      </c>
      <c r="AA6898" s="9">
        <v>0</v>
      </c>
      <c r="AC6898" s="38">
        <v>0</v>
      </c>
    </row>
    <row r="6899" spans="1:30" x14ac:dyDescent="0.25">
      <c r="A6899" s="22">
        <v>45250</v>
      </c>
      <c r="B6899" s="9">
        <v>4</v>
      </c>
      <c r="C6899" s="9">
        <v>0</v>
      </c>
      <c r="D6899" s="9">
        <v>1</v>
      </c>
      <c r="E6899" s="7">
        <v>1</v>
      </c>
      <c r="F6899" s="9">
        <v>0</v>
      </c>
      <c r="G6899" s="9">
        <v>0</v>
      </c>
      <c r="H6899" s="9">
        <v>0</v>
      </c>
      <c r="I6899" s="9">
        <v>0.1</v>
      </c>
      <c r="J6899" s="9">
        <v>0</v>
      </c>
      <c r="K6899" s="9">
        <v>0</v>
      </c>
      <c r="L6899" s="9">
        <v>0</v>
      </c>
      <c r="M6899" s="9">
        <v>0</v>
      </c>
      <c r="N6899" s="9">
        <v>0</v>
      </c>
      <c r="O6899" s="7"/>
      <c r="P6899" s="9">
        <v>0</v>
      </c>
      <c r="Q6899" s="9">
        <v>1</v>
      </c>
      <c r="R6899" s="9">
        <v>1.9</v>
      </c>
      <c r="S6899" s="10">
        <v>0</v>
      </c>
      <c r="T6899" s="15">
        <v>0</v>
      </c>
      <c r="U6899" s="9">
        <v>1</v>
      </c>
      <c r="V6899" s="9">
        <v>0</v>
      </c>
      <c r="W6899" s="9"/>
      <c r="X6899" s="9">
        <v>0</v>
      </c>
      <c r="Y6899" s="9">
        <v>0</v>
      </c>
      <c r="Z6899" s="9">
        <v>0</v>
      </c>
      <c r="AA6899" s="9">
        <v>0</v>
      </c>
      <c r="AC6899" s="38">
        <v>0</v>
      </c>
    </row>
    <row r="6900" spans="1:30" x14ac:dyDescent="0.25">
      <c r="A6900" s="22">
        <v>45251</v>
      </c>
      <c r="B6900" s="9">
        <v>2</v>
      </c>
      <c r="C6900" s="9">
        <v>8.4</v>
      </c>
      <c r="D6900" s="9">
        <v>8</v>
      </c>
      <c r="E6900" s="7">
        <v>4.5999999999999996</v>
      </c>
      <c r="F6900" s="9">
        <v>0</v>
      </c>
      <c r="G6900" s="9">
        <v>2.5</v>
      </c>
      <c r="H6900" s="9">
        <v>0</v>
      </c>
      <c r="I6900" s="9">
        <v>0.3</v>
      </c>
      <c r="J6900" s="9">
        <v>0.3</v>
      </c>
      <c r="K6900" s="9">
        <v>1</v>
      </c>
      <c r="L6900" s="9">
        <v>2</v>
      </c>
      <c r="M6900" s="9">
        <v>0</v>
      </c>
      <c r="N6900" s="9">
        <v>0</v>
      </c>
      <c r="O6900" s="7"/>
      <c r="P6900" s="9">
        <v>3</v>
      </c>
      <c r="Q6900" s="9">
        <v>1.6</v>
      </c>
      <c r="R6900" s="9">
        <v>0</v>
      </c>
      <c r="S6900" s="10">
        <v>2</v>
      </c>
      <c r="T6900" s="15">
        <v>2</v>
      </c>
      <c r="U6900" s="9">
        <v>0</v>
      </c>
      <c r="V6900" s="9">
        <v>0</v>
      </c>
      <c r="W6900" s="9"/>
      <c r="X6900" s="9">
        <v>2</v>
      </c>
      <c r="Y6900" s="9">
        <v>0</v>
      </c>
      <c r="Z6900" s="9">
        <v>0</v>
      </c>
      <c r="AA6900" s="9">
        <v>2</v>
      </c>
      <c r="AC6900" s="38">
        <v>0</v>
      </c>
    </row>
    <row r="6901" spans="1:30" x14ac:dyDescent="0.25">
      <c r="A6901" s="22">
        <v>45252</v>
      </c>
      <c r="B6901" s="9">
        <v>7</v>
      </c>
      <c r="C6901" s="9">
        <v>1.2</v>
      </c>
      <c r="D6901" s="9">
        <v>1</v>
      </c>
      <c r="E6901" s="7">
        <v>6.8</v>
      </c>
      <c r="F6901" s="9">
        <v>9</v>
      </c>
      <c r="G6901" s="9">
        <v>13</v>
      </c>
      <c r="H6901" s="9">
        <v>13.2</v>
      </c>
      <c r="I6901" s="9">
        <v>11.1</v>
      </c>
      <c r="J6901" s="9">
        <v>4.4000000000000004</v>
      </c>
      <c r="K6901" s="9">
        <v>1.4</v>
      </c>
      <c r="L6901" s="9">
        <v>3.5</v>
      </c>
      <c r="M6901" s="9">
        <v>26.4</v>
      </c>
      <c r="N6901" s="9">
        <v>0</v>
      </c>
      <c r="O6901" s="7"/>
      <c r="P6901" s="9">
        <v>0</v>
      </c>
      <c r="Q6901" s="9">
        <v>1.7</v>
      </c>
      <c r="R6901" s="9">
        <v>2</v>
      </c>
      <c r="S6901" s="10">
        <v>0</v>
      </c>
      <c r="T6901" s="15">
        <v>1</v>
      </c>
      <c r="U6901" s="9">
        <v>7</v>
      </c>
      <c r="V6901" s="9">
        <v>0</v>
      </c>
      <c r="W6901" s="9"/>
      <c r="X6901" s="9">
        <v>0</v>
      </c>
      <c r="Y6901" s="9">
        <v>6.5</v>
      </c>
      <c r="Z6901" s="9">
        <v>6.5</v>
      </c>
      <c r="AA6901" s="9">
        <v>0</v>
      </c>
      <c r="AC6901" s="38">
        <v>0</v>
      </c>
    </row>
    <row r="6902" spans="1:30" x14ac:dyDescent="0.25">
      <c r="A6902" s="22">
        <v>45253</v>
      </c>
      <c r="B6902" s="9">
        <v>10</v>
      </c>
      <c r="C6902" s="9">
        <v>12.4</v>
      </c>
      <c r="D6902" s="9">
        <v>16</v>
      </c>
      <c r="E6902" s="7">
        <v>33.20000000000001</v>
      </c>
      <c r="F6902" s="9">
        <v>11.3</v>
      </c>
      <c r="G6902" s="9">
        <v>7.5</v>
      </c>
      <c r="H6902" s="9">
        <v>14</v>
      </c>
      <c r="I6902" s="9">
        <v>4</v>
      </c>
      <c r="J6902" s="9">
        <v>17</v>
      </c>
      <c r="K6902" s="9">
        <v>19.600000000000001</v>
      </c>
      <c r="L6902" s="9">
        <v>1.1000000000000001</v>
      </c>
      <c r="M6902" s="9">
        <v>4.2</v>
      </c>
      <c r="N6902" s="9">
        <v>0</v>
      </c>
      <c r="O6902" s="7"/>
      <c r="P6902" s="9"/>
      <c r="Q6902" s="9">
        <v>9.6999999999999993</v>
      </c>
      <c r="R6902" s="9">
        <v>7</v>
      </c>
      <c r="S6902" s="8">
        <v>30</v>
      </c>
      <c r="T6902" s="15">
        <v>40</v>
      </c>
      <c r="U6902" s="9">
        <v>34</v>
      </c>
      <c r="V6902" s="9">
        <v>3.2</v>
      </c>
      <c r="W6902" s="9"/>
      <c r="X6902" s="9">
        <v>7</v>
      </c>
      <c r="Y6902" s="9">
        <v>16.5</v>
      </c>
      <c r="Z6902" s="9">
        <v>18</v>
      </c>
      <c r="AA6902" s="9">
        <v>8</v>
      </c>
      <c r="AC6902" s="38">
        <v>0</v>
      </c>
    </row>
    <row r="6903" spans="1:30" x14ac:dyDescent="0.25">
      <c r="A6903" s="22">
        <v>45254</v>
      </c>
      <c r="B6903" s="9">
        <v>27</v>
      </c>
      <c r="C6903" s="9">
        <v>18.899999999999999</v>
      </c>
      <c r="D6903" s="9">
        <v>26</v>
      </c>
      <c r="E6903" s="7">
        <v>0</v>
      </c>
      <c r="F6903" s="9">
        <v>12</v>
      </c>
      <c r="G6903" s="9">
        <v>6.5</v>
      </c>
      <c r="H6903" s="9">
        <v>3.6</v>
      </c>
      <c r="I6903" s="9">
        <v>5.5</v>
      </c>
      <c r="J6903" s="9">
        <v>5.8</v>
      </c>
      <c r="K6903" s="9">
        <v>16.2</v>
      </c>
      <c r="L6903" s="9">
        <v>17</v>
      </c>
      <c r="M6903" s="9">
        <v>2.8</v>
      </c>
      <c r="N6903" s="9">
        <v>2.2000000000000002</v>
      </c>
      <c r="O6903" s="7"/>
      <c r="P6903" s="9">
        <v>7</v>
      </c>
      <c r="Q6903" s="9">
        <v>26.7</v>
      </c>
      <c r="R6903" s="9">
        <v>18.2</v>
      </c>
      <c r="S6903" s="8">
        <v>0.5</v>
      </c>
      <c r="T6903" s="15">
        <v>1</v>
      </c>
      <c r="U6903" s="9">
        <v>7</v>
      </c>
      <c r="V6903" s="9">
        <v>2.2000000000000002</v>
      </c>
      <c r="W6903" s="9"/>
      <c r="X6903" s="9">
        <v>4</v>
      </c>
      <c r="Y6903" s="9">
        <v>14.5</v>
      </c>
      <c r="Z6903" s="9">
        <v>14</v>
      </c>
      <c r="AA6903" s="9">
        <v>10</v>
      </c>
      <c r="AC6903" s="38">
        <v>0</v>
      </c>
    </row>
    <row r="6904" spans="1:30" x14ac:dyDescent="0.25">
      <c r="A6904" s="22">
        <v>45255</v>
      </c>
      <c r="B6904" s="9">
        <v>0</v>
      </c>
      <c r="C6904" s="9"/>
      <c r="D6904" s="9">
        <v>0</v>
      </c>
      <c r="E6904" s="7">
        <v>11.600000000000001</v>
      </c>
      <c r="F6904" s="9">
        <v>0</v>
      </c>
      <c r="G6904" s="9">
        <v>0</v>
      </c>
      <c r="H6904" s="9">
        <v>0</v>
      </c>
      <c r="I6904" s="9">
        <v>0</v>
      </c>
      <c r="J6904" s="9">
        <v>0</v>
      </c>
      <c r="K6904" s="9">
        <v>0</v>
      </c>
      <c r="L6904" s="9">
        <v>1</v>
      </c>
      <c r="M6904" s="9">
        <v>2.8</v>
      </c>
      <c r="N6904" s="9">
        <v>2.2000000000000002</v>
      </c>
      <c r="O6904" s="7"/>
      <c r="P6904" s="9">
        <v>0</v>
      </c>
      <c r="Q6904" s="9">
        <v>0</v>
      </c>
      <c r="R6904" s="9">
        <v>0</v>
      </c>
      <c r="S6904" s="8">
        <v>0</v>
      </c>
      <c r="T6904" s="15">
        <v>0</v>
      </c>
      <c r="U6904" s="9">
        <v>0</v>
      </c>
      <c r="V6904" s="9">
        <v>0</v>
      </c>
      <c r="W6904" s="9"/>
      <c r="X6904" s="9">
        <v>0</v>
      </c>
      <c r="Y6904" s="9">
        <v>0</v>
      </c>
      <c r="Z6904" s="9">
        <v>0</v>
      </c>
      <c r="AA6904" s="9">
        <v>4</v>
      </c>
      <c r="AC6904" s="38">
        <v>0</v>
      </c>
    </row>
    <row r="6905" spans="1:30" x14ac:dyDescent="0.25">
      <c r="A6905" s="22">
        <v>45256</v>
      </c>
      <c r="B6905" s="9">
        <v>0</v>
      </c>
      <c r="C6905" s="9">
        <v>4.8</v>
      </c>
      <c r="D6905" s="9">
        <v>3</v>
      </c>
      <c r="E6905" s="7">
        <v>0</v>
      </c>
      <c r="F6905" s="9">
        <v>0.4</v>
      </c>
      <c r="G6905" s="9">
        <v>6.5</v>
      </c>
      <c r="H6905" s="9">
        <v>0</v>
      </c>
      <c r="I6905" s="9">
        <v>1.7</v>
      </c>
      <c r="J6905" s="9">
        <v>2.8</v>
      </c>
      <c r="K6905" s="9">
        <v>2.6</v>
      </c>
      <c r="L6905" s="9">
        <v>0</v>
      </c>
      <c r="M6905" s="9">
        <v>0.4</v>
      </c>
      <c r="N6905" s="9">
        <v>1.2</v>
      </c>
      <c r="O6905" s="7"/>
      <c r="P6905" s="9">
        <v>0</v>
      </c>
      <c r="Q6905" s="9">
        <v>2.2000000000000002</v>
      </c>
      <c r="R6905" s="9">
        <v>0</v>
      </c>
      <c r="S6905" s="8">
        <v>0</v>
      </c>
      <c r="T6905" s="15">
        <v>0</v>
      </c>
      <c r="U6905" s="9">
        <v>0</v>
      </c>
      <c r="V6905" s="9">
        <v>0</v>
      </c>
      <c r="W6905" s="9"/>
      <c r="X6905" s="9">
        <v>0</v>
      </c>
      <c r="Y6905" s="9">
        <v>0</v>
      </c>
      <c r="Z6905" s="9">
        <v>0</v>
      </c>
      <c r="AA6905" s="9">
        <v>0</v>
      </c>
      <c r="AC6905" s="38">
        <v>0</v>
      </c>
    </row>
    <row r="6906" spans="1:30" x14ac:dyDescent="0.25">
      <c r="A6906" s="22">
        <v>45257</v>
      </c>
      <c r="B6906" s="9">
        <v>0</v>
      </c>
      <c r="C6906" s="9">
        <v>2.4</v>
      </c>
      <c r="D6906" s="9">
        <v>4.0999999999999996</v>
      </c>
      <c r="E6906" s="34"/>
      <c r="F6906" s="9">
        <v>2</v>
      </c>
      <c r="G6906" s="9">
        <v>7.5</v>
      </c>
      <c r="H6906" s="9">
        <v>5</v>
      </c>
      <c r="I6906" s="9">
        <v>6.4</v>
      </c>
      <c r="J6906" s="9">
        <v>3</v>
      </c>
      <c r="K6906" s="9">
        <v>2</v>
      </c>
      <c r="L6906" s="9">
        <v>1</v>
      </c>
      <c r="M6906" s="9">
        <v>1.4</v>
      </c>
      <c r="N6906" s="9">
        <v>7.8</v>
      </c>
      <c r="O6906" s="7"/>
      <c r="P6906" s="9"/>
      <c r="Q6906" s="9">
        <v>11.6</v>
      </c>
      <c r="R6906" s="9">
        <v>12.9</v>
      </c>
      <c r="S6906" s="8">
        <v>0</v>
      </c>
      <c r="T6906" s="15">
        <v>2</v>
      </c>
      <c r="U6906" s="9">
        <v>5</v>
      </c>
      <c r="V6906" s="9">
        <v>2.2000000000000002</v>
      </c>
      <c r="W6906" s="9"/>
      <c r="X6906" s="9"/>
      <c r="Y6906" s="9">
        <v>0</v>
      </c>
      <c r="Z6906" s="9">
        <v>2</v>
      </c>
      <c r="AA6906" s="9">
        <v>12</v>
      </c>
      <c r="AC6906" s="38">
        <v>0</v>
      </c>
    </row>
    <row r="6907" spans="1:30" x14ac:dyDescent="0.25">
      <c r="A6907" s="22">
        <v>45258</v>
      </c>
      <c r="B6907" s="9">
        <v>0</v>
      </c>
      <c r="C6907" s="9">
        <v>12.8</v>
      </c>
      <c r="D6907" s="9">
        <v>6.8</v>
      </c>
      <c r="E6907" s="7">
        <v>0</v>
      </c>
      <c r="F6907" s="9">
        <v>2.4</v>
      </c>
      <c r="G6907" s="9">
        <v>3.5</v>
      </c>
      <c r="H6907" s="9">
        <v>2</v>
      </c>
      <c r="I6907" s="9">
        <v>1.9</v>
      </c>
      <c r="J6907" s="9">
        <v>0.4</v>
      </c>
      <c r="K6907" s="9">
        <v>2.6</v>
      </c>
      <c r="L6907" s="9">
        <v>0</v>
      </c>
      <c r="M6907" s="9">
        <v>2.2000000000000002</v>
      </c>
      <c r="N6907" s="9">
        <v>0.4</v>
      </c>
      <c r="O6907" s="7"/>
      <c r="P6907" s="9">
        <v>0</v>
      </c>
      <c r="Q6907" s="9">
        <v>12.8</v>
      </c>
      <c r="R6907" s="9">
        <v>6.2</v>
      </c>
      <c r="S6907" s="8">
        <v>0</v>
      </c>
      <c r="T6907" s="15">
        <v>2</v>
      </c>
      <c r="U6907" s="9">
        <v>1</v>
      </c>
      <c r="V6907" s="9">
        <v>0</v>
      </c>
      <c r="W6907" s="9"/>
      <c r="X6907" s="9">
        <v>2</v>
      </c>
      <c r="Y6907" s="9">
        <v>0</v>
      </c>
      <c r="Z6907" s="9">
        <v>0</v>
      </c>
      <c r="AA6907" s="9">
        <v>0</v>
      </c>
      <c r="AC6907" s="38">
        <v>0</v>
      </c>
    </row>
    <row r="6908" spans="1:30" x14ac:dyDescent="0.25">
      <c r="A6908" s="22">
        <v>45259</v>
      </c>
      <c r="B6908" s="9">
        <v>10.5</v>
      </c>
      <c r="C6908" s="9">
        <v>2.4</v>
      </c>
      <c r="D6908" s="9">
        <v>10</v>
      </c>
      <c r="E6908" s="7">
        <v>3.4000000000000004</v>
      </c>
      <c r="F6908" s="9">
        <v>0.2</v>
      </c>
      <c r="G6908" s="9">
        <v>5.5</v>
      </c>
      <c r="H6908" s="9">
        <v>0.5</v>
      </c>
      <c r="I6908" s="9">
        <v>1.6</v>
      </c>
      <c r="J6908" s="9">
        <v>2.6</v>
      </c>
      <c r="K6908" s="9">
        <v>1.6</v>
      </c>
      <c r="L6908" s="9">
        <v>6.1</v>
      </c>
      <c r="M6908" s="9">
        <v>0</v>
      </c>
      <c r="N6908" s="9">
        <v>2</v>
      </c>
      <c r="O6908" s="7"/>
      <c r="P6908" s="9">
        <v>5</v>
      </c>
      <c r="Q6908" s="9">
        <v>1</v>
      </c>
      <c r="R6908" s="9">
        <v>0</v>
      </c>
      <c r="S6908" s="10">
        <v>6.5</v>
      </c>
      <c r="T6908" s="15">
        <v>1</v>
      </c>
      <c r="U6908" s="9">
        <v>3</v>
      </c>
      <c r="V6908" s="9">
        <v>4</v>
      </c>
      <c r="W6908" s="9"/>
      <c r="X6908" s="9">
        <v>0</v>
      </c>
      <c r="Y6908" s="9">
        <v>0</v>
      </c>
      <c r="Z6908" s="9">
        <v>0</v>
      </c>
      <c r="AA6908" s="9">
        <v>0</v>
      </c>
      <c r="AC6908" s="38">
        <v>0</v>
      </c>
    </row>
    <row r="6909" spans="1:30" x14ac:dyDescent="0.25">
      <c r="A6909" s="22">
        <v>45260</v>
      </c>
      <c r="B6909" s="9">
        <v>0</v>
      </c>
      <c r="C6909" s="9">
        <v>0</v>
      </c>
      <c r="D6909" s="9">
        <v>0</v>
      </c>
      <c r="E6909" s="7">
        <v>0.4</v>
      </c>
      <c r="F6909" s="9">
        <v>0</v>
      </c>
      <c r="G6909" s="9">
        <v>5.5</v>
      </c>
      <c r="H6909" s="9">
        <v>0</v>
      </c>
      <c r="I6909" s="9">
        <v>0.7</v>
      </c>
      <c r="J6909" s="9">
        <v>1</v>
      </c>
      <c r="K6909" s="9">
        <v>1.6</v>
      </c>
      <c r="L6909" s="9">
        <v>6.4</v>
      </c>
      <c r="M6909" s="9">
        <v>0</v>
      </c>
      <c r="N6909" s="9">
        <v>0.8</v>
      </c>
      <c r="O6909" s="7"/>
      <c r="P6909" s="9">
        <v>0</v>
      </c>
      <c r="Q6909" s="9">
        <v>0</v>
      </c>
      <c r="R6909" s="9">
        <v>0</v>
      </c>
      <c r="S6909" s="10">
        <v>0</v>
      </c>
      <c r="T6909" s="15">
        <v>1</v>
      </c>
      <c r="U6909" s="9">
        <v>2</v>
      </c>
      <c r="V6909" s="9">
        <v>0</v>
      </c>
      <c r="W6909" s="9"/>
      <c r="X6909" s="9">
        <v>6</v>
      </c>
      <c r="Y6909" s="9">
        <v>0</v>
      </c>
      <c r="Z6909" s="9">
        <v>0</v>
      </c>
      <c r="AA6909" s="9">
        <v>0</v>
      </c>
      <c r="AC6909" s="38">
        <v>0</v>
      </c>
    </row>
    <row r="6910" spans="1:30" x14ac:dyDescent="0.25">
      <c r="A6910" s="22">
        <v>45261</v>
      </c>
      <c r="B6910" s="9">
        <v>0</v>
      </c>
      <c r="C6910" s="9">
        <v>1.2</v>
      </c>
      <c r="D6910" s="9">
        <v>10</v>
      </c>
      <c r="E6910" s="7">
        <v>0.2</v>
      </c>
      <c r="F6910" s="9">
        <v>0</v>
      </c>
      <c r="G6910" s="9">
        <v>0.2</v>
      </c>
      <c r="H6910" s="9">
        <v>1</v>
      </c>
      <c r="I6910" s="9">
        <v>1.6</v>
      </c>
      <c r="J6910" s="9">
        <v>4.2</v>
      </c>
      <c r="K6910" s="9">
        <v>1.8</v>
      </c>
      <c r="L6910" s="9">
        <v>3.556</v>
      </c>
      <c r="M6910" s="9">
        <v>0</v>
      </c>
      <c r="N6910" s="9">
        <v>1.4</v>
      </c>
      <c r="O6910" s="7"/>
      <c r="P6910" s="9">
        <v>3</v>
      </c>
      <c r="Q6910" s="9">
        <v>0</v>
      </c>
      <c r="R6910" s="9">
        <v>2</v>
      </c>
      <c r="S6910" s="10">
        <v>2</v>
      </c>
      <c r="T6910" s="17">
        <v>3</v>
      </c>
      <c r="U6910" s="9">
        <v>0</v>
      </c>
      <c r="V6910" s="9">
        <v>0</v>
      </c>
      <c r="W6910" s="9">
        <v>0</v>
      </c>
      <c r="X6910" s="9">
        <v>0</v>
      </c>
      <c r="Y6910" s="9">
        <v>0</v>
      </c>
      <c r="Z6910" s="9">
        <v>0</v>
      </c>
      <c r="AA6910" s="9">
        <v>2</v>
      </c>
      <c r="AC6910" s="42">
        <v>-6519</v>
      </c>
      <c r="AD6910" s="38">
        <v>0</v>
      </c>
    </row>
    <row r="6911" spans="1:30" x14ac:dyDescent="0.25">
      <c r="A6911" s="22">
        <v>45262</v>
      </c>
      <c r="B6911" s="9">
        <v>0</v>
      </c>
      <c r="C6911" s="9">
        <v>0.8</v>
      </c>
      <c r="D6911" s="9">
        <v>1</v>
      </c>
      <c r="E6911" s="7">
        <v>0.2</v>
      </c>
      <c r="F6911" s="9">
        <v>0</v>
      </c>
      <c r="G6911" s="9">
        <v>0</v>
      </c>
      <c r="H6911" s="9">
        <v>0</v>
      </c>
      <c r="I6911" s="9">
        <v>0.1</v>
      </c>
      <c r="J6911" s="9">
        <v>4.2</v>
      </c>
      <c r="K6911" s="9">
        <v>0</v>
      </c>
      <c r="L6911" s="9">
        <v>0</v>
      </c>
      <c r="M6911" s="9">
        <v>0</v>
      </c>
      <c r="N6911" s="9">
        <v>0</v>
      </c>
      <c r="O6911" s="7"/>
      <c r="P6911" s="9">
        <v>0</v>
      </c>
      <c r="Q6911" s="9">
        <v>1.2</v>
      </c>
      <c r="R6911" s="9">
        <v>0</v>
      </c>
      <c r="S6911" s="8">
        <v>0</v>
      </c>
      <c r="T6911" s="17">
        <v>0</v>
      </c>
      <c r="U6911" s="9">
        <v>0</v>
      </c>
      <c r="V6911" s="9">
        <v>0</v>
      </c>
      <c r="W6911" s="9">
        <v>0</v>
      </c>
      <c r="X6911" s="9">
        <v>0</v>
      </c>
      <c r="Y6911" s="9">
        <v>0</v>
      </c>
      <c r="Z6911" s="9">
        <v>0</v>
      </c>
      <c r="AA6911" s="9">
        <v>2</v>
      </c>
      <c r="AC6911" s="38">
        <v>0</v>
      </c>
      <c r="AD6911" s="38">
        <v>1.4</v>
      </c>
    </row>
    <row r="6912" spans="1:30" x14ac:dyDescent="0.25">
      <c r="A6912" s="22">
        <v>45263</v>
      </c>
      <c r="B6912" s="9">
        <v>0</v>
      </c>
      <c r="C6912" s="9">
        <v>1.2</v>
      </c>
      <c r="D6912" s="9">
        <v>1.6</v>
      </c>
      <c r="E6912" s="7">
        <v>3.8</v>
      </c>
      <c r="F6912" s="9">
        <v>0</v>
      </c>
      <c r="G6912" s="9">
        <v>0.5</v>
      </c>
      <c r="H6912" s="9">
        <v>0</v>
      </c>
      <c r="I6912" s="9">
        <v>0</v>
      </c>
      <c r="J6912" s="9">
        <v>1.8</v>
      </c>
      <c r="K6912" s="9">
        <v>3</v>
      </c>
      <c r="L6912" s="9">
        <v>0.50800000000000001</v>
      </c>
      <c r="M6912" s="9">
        <v>3.6</v>
      </c>
      <c r="N6912" s="9">
        <v>2.1999999999999997</v>
      </c>
      <c r="O6912" s="7"/>
      <c r="P6912" s="9">
        <v>0</v>
      </c>
      <c r="Q6912" s="9">
        <v>0.7</v>
      </c>
      <c r="R6912" s="9">
        <v>2.9</v>
      </c>
      <c r="S6912" s="8">
        <v>0</v>
      </c>
      <c r="T6912" s="17">
        <v>0</v>
      </c>
      <c r="U6912" s="9">
        <v>5</v>
      </c>
      <c r="V6912" s="9">
        <v>0</v>
      </c>
      <c r="W6912" s="9">
        <v>0</v>
      </c>
      <c r="X6912" s="9">
        <v>0</v>
      </c>
      <c r="Y6912" s="9">
        <v>0</v>
      </c>
      <c r="Z6912" s="9">
        <v>0</v>
      </c>
      <c r="AA6912" s="9">
        <v>0</v>
      </c>
      <c r="AC6912" s="38">
        <v>0</v>
      </c>
      <c r="AD6912" s="38">
        <v>1.9999999999999998</v>
      </c>
    </row>
    <row r="6913" spans="1:30" x14ac:dyDescent="0.25">
      <c r="A6913" s="22">
        <v>45264</v>
      </c>
      <c r="B6913" s="9">
        <v>0</v>
      </c>
      <c r="C6913" s="9">
        <v>8.8000000000000007</v>
      </c>
      <c r="D6913" s="9">
        <v>6.4</v>
      </c>
      <c r="E6913" s="7">
        <v>0</v>
      </c>
      <c r="F6913" s="9">
        <v>1.2</v>
      </c>
      <c r="G6913" s="9">
        <v>10</v>
      </c>
      <c r="H6913" s="9">
        <v>1</v>
      </c>
      <c r="I6913" s="9">
        <v>1.8</v>
      </c>
      <c r="J6913" s="9">
        <v>17.8</v>
      </c>
      <c r="K6913" s="9">
        <v>13.6</v>
      </c>
      <c r="L6913" s="9">
        <v>5.8419999999999996</v>
      </c>
      <c r="M6913" s="9">
        <v>1.9</v>
      </c>
      <c r="N6913" s="9">
        <v>13.999999999999998</v>
      </c>
      <c r="O6913" s="7"/>
      <c r="P6913" s="9">
        <v>0</v>
      </c>
      <c r="Q6913" s="9">
        <v>0.6</v>
      </c>
      <c r="R6913" s="9">
        <v>0</v>
      </c>
      <c r="S6913" s="8">
        <v>0</v>
      </c>
      <c r="T6913" s="17">
        <v>2</v>
      </c>
      <c r="U6913" s="9">
        <v>7</v>
      </c>
      <c r="V6913" s="9">
        <v>5.2</v>
      </c>
      <c r="W6913" s="9">
        <v>10</v>
      </c>
      <c r="X6913" s="9">
        <v>3</v>
      </c>
      <c r="Y6913" s="9">
        <v>10.5</v>
      </c>
      <c r="Z6913" s="9">
        <v>0</v>
      </c>
      <c r="AA6913" s="9">
        <v>2</v>
      </c>
      <c r="AC6913" s="38">
        <v>0</v>
      </c>
      <c r="AD6913" s="38">
        <v>1.7999999999999998</v>
      </c>
    </row>
    <row r="6914" spans="1:30" x14ac:dyDescent="0.25">
      <c r="A6914" s="22">
        <v>45265</v>
      </c>
      <c r="B6914" s="9">
        <v>23.5</v>
      </c>
      <c r="C6914" s="9">
        <v>2</v>
      </c>
      <c r="D6914" s="9">
        <v>0</v>
      </c>
      <c r="E6914" s="7">
        <v>2</v>
      </c>
      <c r="F6914" s="9">
        <v>0</v>
      </c>
      <c r="G6914" s="9">
        <v>1.5</v>
      </c>
      <c r="H6914" s="9">
        <v>0</v>
      </c>
      <c r="I6914" s="9">
        <v>0.1</v>
      </c>
      <c r="J6914" s="9">
        <v>0.3</v>
      </c>
      <c r="K6914" s="9">
        <v>13.6</v>
      </c>
      <c r="L6914" s="9">
        <v>3.556</v>
      </c>
      <c r="M6914" s="9">
        <v>0</v>
      </c>
      <c r="N6914" s="9">
        <v>0</v>
      </c>
      <c r="O6914" s="7"/>
      <c r="P6914" s="9">
        <v>4</v>
      </c>
      <c r="Q6914" s="9">
        <v>0.9</v>
      </c>
      <c r="R6914" s="9">
        <v>1.2</v>
      </c>
      <c r="S6914" s="8">
        <v>0</v>
      </c>
      <c r="T6914" s="17">
        <v>0</v>
      </c>
      <c r="U6914" s="9">
        <v>0</v>
      </c>
      <c r="V6914" s="9">
        <v>0</v>
      </c>
      <c r="W6914" s="9">
        <v>0</v>
      </c>
      <c r="X6914" s="9">
        <v>2</v>
      </c>
      <c r="Y6914" s="9">
        <v>0</v>
      </c>
      <c r="Z6914" s="9">
        <v>0</v>
      </c>
      <c r="AA6914" s="9">
        <v>4</v>
      </c>
      <c r="AC6914" s="38">
        <v>0</v>
      </c>
      <c r="AD6914" s="38">
        <v>0</v>
      </c>
    </row>
    <row r="6915" spans="1:30" x14ac:dyDescent="0.25">
      <c r="A6915" s="22">
        <v>45266</v>
      </c>
      <c r="B6915" s="9">
        <v>2</v>
      </c>
      <c r="C6915" s="9">
        <v>2</v>
      </c>
      <c r="D6915" s="9">
        <v>1.6</v>
      </c>
      <c r="E6915" s="7">
        <v>4.8000000000000007</v>
      </c>
      <c r="F6915" s="9">
        <v>0.1</v>
      </c>
      <c r="G6915" s="9">
        <v>3</v>
      </c>
      <c r="H6915" s="9">
        <v>1</v>
      </c>
      <c r="I6915" s="9">
        <v>1</v>
      </c>
      <c r="J6915" s="9">
        <v>2.8</v>
      </c>
      <c r="K6915" s="9">
        <v>3</v>
      </c>
      <c r="L6915" s="9">
        <v>1.016</v>
      </c>
      <c r="M6915" s="9">
        <v>1.1000000000000001</v>
      </c>
      <c r="N6915" s="9">
        <v>8.3999999999999986</v>
      </c>
      <c r="O6915" s="7"/>
      <c r="P6915" s="9">
        <v>0</v>
      </c>
      <c r="Q6915" s="9">
        <v>24.7</v>
      </c>
      <c r="R6915" s="9">
        <v>2</v>
      </c>
      <c r="S6915" s="8">
        <v>0</v>
      </c>
      <c r="T6915" s="17">
        <v>1</v>
      </c>
      <c r="U6915" s="9">
        <v>1</v>
      </c>
      <c r="V6915" s="9">
        <v>0</v>
      </c>
      <c r="W6915" s="9">
        <v>0</v>
      </c>
      <c r="X6915" s="9">
        <v>0</v>
      </c>
      <c r="Y6915" s="9">
        <v>1.2</v>
      </c>
      <c r="Z6915" s="9">
        <v>0</v>
      </c>
      <c r="AA6915" s="9">
        <v>0</v>
      </c>
      <c r="AC6915" s="38">
        <v>0</v>
      </c>
      <c r="AD6915" s="38">
        <v>3.0000000000000004</v>
      </c>
    </row>
    <row r="6916" spans="1:30" x14ac:dyDescent="0.25">
      <c r="A6916" s="22">
        <v>45267</v>
      </c>
      <c r="B6916" s="9">
        <v>14</v>
      </c>
      <c r="C6916" s="9">
        <v>31.2</v>
      </c>
      <c r="D6916" s="9">
        <v>48.4</v>
      </c>
      <c r="E6916" s="7">
        <v>57.400000000000013</v>
      </c>
      <c r="F6916" s="9">
        <v>24.2</v>
      </c>
      <c r="G6916" s="9">
        <v>19</v>
      </c>
      <c r="H6916" s="9">
        <v>24.1</v>
      </c>
      <c r="I6916" s="9">
        <v>17</v>
      </c>
      <c r="J6916" s="9">
        <v>25.8</v>
      </c>
      <c r="K6916" s="9">
        <v>26</v>
      </c>
      <c r="L6916" s="9">
        <v>10.16</v>
      </c>
      <c r="M6916" s="9">
        <v>10.6</v>
      </c>
      <c r="N6916" s="9">
        <v>46</v>
      </c>
      <c r="O6916" s="7"/>
      <c r="P6916" s="9">
        <v>16</v>
      </c>
      <c r="Q6916" s="9">
        <v>64</v>
      </c>
      <c r="R6916" s="9">
        <v>5.9</v>
      </c>
      <c r="S6916" s="8">
        <v>1</v>
      </c>
      <c r="T6916" s="17">
        <v>11</v>
      </c>
      <c r="U6916" s="9">
        <v>47</v>
      </c>
      <c r="V6916" s="9">
        <v>8.1999999999999993</v>
      </c>
      <c r="W6916" s="9">
        <v>25</v>
      </c>
      <c r="X6916" s="9">
        <v>21</v>
      </c>
      <c r="Y6916" s="9">
        <v>28.8</v>
      </c>
      <c r="Z6916" s="9">
        <v>38.6</v>
      </c>
      <c r="AA6916" s="9">
        <v>14</v>
      </c>
      <c r="AC6916" s="38">
        <v>0</v>
      </c>
      <c r="AD6916" s="38">
        <v>11.799999999999997</v>
      </c>
    </row>
    <row r="6917" spans="1:30" x14ac:dyDescent="0.25">
      <c r="A6917" s="22">
        <v>45268</v>
      </c>
      <c r="B6917" s="9">
        <v>0</v>
      </c>
      <c r="C6917" s="9">
        <v>51</v>
      </c>
      <c r="D6917" s="9">
        <v>51</v>
      </c>
      <c r="E6917" s="7">
        <v>21.999999999999996</v>
      </c>
      <c r="F6917" s="9">
        <v>38</v>
      </c>
      <c r="G6917" s="9">
        <v>19</v>
      </c>
      <c r="H6917" s="9">
        <v>32.799999999999997</v>
      </c>
      <c r="I6917" s="9">
        <v>17</v>
      </c>
      <c r="J6917" s="9">
        <v>13</v>
      </c>
      <c r="K6917" s="9">
        <v>14.6</v>
      </c>
      <c r="L6917" s="9">
        <v>21.335999999999999</v>
      </c>
      <c r="M6917" s="9">
        <v>38.6</v>
      </c>
      <c r="N6917" s="9">
        <v>34.799999999999997</v>
      </c>
      <c r="O6917" s="7"/>
      <c r="P6917" s="9">
        <v>34</v>
      </c>
      <c r="Q6917" s="9">
        <v>5.9</v>
      </c>
      <c r="R6917" s="9">
        <v>24.4</v>
      </c>
      <c r="S6917" s="8">
        <v>2</v>
      </c>
      <c r="T6917" s="17">
        <v>0</v>
      </c>
      <c r="U6917" s="9">
        <v>10</v>
      </c>
      <c r="V6917" s="9">
        <v>5.2</v>
      </c>
      <c r="W6917" s="9">
        <v>19</v>
      </c>
      <c r="X6917" s="9">
        <v>28</v>
      </c>
      <c r="Y6917" s="9">
        <v>39.4</v>
      </c>
      <c r="Z6917" s="9">
        <v>40</v>
      </c>
      <c r="AA6917" s="9">
        <v>126</v>
      </c>
      <c r="AC6917" s="38">
        <v>0</v>
      </c>
      <c r="AD6917" s="38">
        <v>24.199999999999996</v>
      </c>
    </row>
    <row r="6918" spans="1:30" x14ac:dyDescent="0.25">
      <c r="A6918" s="22">
        <v>45269</v>
      </c>
      <c r="B6918" s="9">
        <v>0</v>
      </c>
      <c r="C6918" s="9">
        <v>25.2</v>
      </c>
      <c r="D6918" s="9">
        <v>39.200000000000003</v>
      </c>
      <c r="E6918" s="7">
        <v>9.3999999999999986</v>
      </c>
      <c r="F6918" s="9">
        <v>19</v>
      </c>
      <c r="G6918" s="9">
        <v>32.5</v>
      </c>
      <c r="H6918" s="9">
        <v>22.4</v>
      </c>
      <c r="I6918" s="9">
        <v>31.2</v>
      </c>
      <c r="J6918" s="9">
        <v>0</v>
      </c>
      <c r="K6918" s="9">
        <v>14.6</v>
      </c>
      <c r="L6918" s="9">
        <v>3.556</v>
      </c>
      <c r="M6918" s="9">
        <v>18.2</v>
      </c>
      <c r="N6918" s="9">
        <v>16.600000000000001</v>
      </c>
      <c r="O6918" s="7"/>
      <c r="P6918" s="9">
        <v>6</v>
      </c>
      <c r="Q6918" s="9">
        <v>4</v>
      </c>
      <c r="R6918" s="9">
        <v>0</v>
      </c>
      <c r="S6918" s="8">
        <v>0</v>
      </c>
      <c r="T6918" s="17">
        <v>0</v>
      </c>
      <c r="U6918" s="9">
        <v>56</v>
      </c>
      <c r="V6918" s="9">
        <v>20.5</v>
      </c>
      <c r="W6918" s="9">
        <v>30.4</v>
      </c>
      <c r="X6918" s="9">
        <v>34</v>
      </c>
      <c r="Y6918" s="9">
        <v>24.6</v>
      </c>
      <c r="Z6918" s="9">
        <v>20</v>
      </c>
      <c r="AA6918" s="9">
        <v>8</v>
      </c>
      <c r="AC6918" s="38">
        <v>0</v>
      </c>
      <c r="AD6918" s="38">
        <v>7.0000000000000036</v>
      </c>
    </row>
    <row r="6919" spans="1:30" x14ac:dyDescent="0.25">
      <c r="A6919" s="22">
        <v>45270</v>
      </c>
      <c r="B6919" s="7">
        <v>10</v>
      </c>
      <c r="C6919" s="7">
        <v>4</v>
      </c>
      <c r="D6919" s="7">
        <v>9</v>
      </c>
      <c r="E6919" s="7">
        <v>1</v>
      </c>
      <c r="F6919" s="7">
        <v>7.1</v>
      </c>
      <c r="G6919" s="7">
        <v>12.5</v>
      </c>
      <c r="H6919" s="7">
        <v>10</v>
      </c>
      <c r="I6919" s="7">
        <v>3.8</v>
      </c>
      <c r="J6919" s="7">
        <v>0</v>
      </c>
      <c r="K6919" s="7">
        <v>19.3</v>
      </c>
      <c r="L6919" s="7">
        <v>6.35</v>
      </c>
      <c r="M6919" s="7">
        <v>8.8000000000000007</v>
      </c>
      <c r="N6919" s="7">
        <v>13.2</v>
      </c>
      <c r="O6919" s="7"/>
      <c r="P6919" s="7">
        <v>11</v>
      </c>
      <c r="Q6919" s="7">
        <v>2.6</v>
      </c>
      <c r="R6919" s="7">
        <v>6</v>
      </c>
      <c r="S6919" s="7">
        <v>0</v>
      </c>
      <c r="T6919" s="7">
        <v>0</v>
      </c>
      <c r="U6919" s="7">
        <v>12</v>
      </c>
      <c r="V6919" s="7">
        <v>9</v>
      </c>
      <c r="W6919" s="7">
        <v>12</v>
      </c>
      <c r="X6919" s="7">
        <v>14</v>
      </c>
      <c r="Y6919" s="7">
        <v>0.6</v>
      </c>
      <c r="Z6919" s="7">
        <v>4</v>
      </c>
      <c r="AA6919" s="7">
        <v>0</v>
      </c>
      <c r="AC6919" s="38">
        <v>0</v>
      </c>
      <c r="AD6919" s="38">
        <v>9.9999999999999982</v>
      </c>
    </row>
    <row r="6920" spans="1:30" x14ac:dyDescent="0.25">
      <c r="A6920" s="22">
        <v>45271</v>
      </c>
      <c r="B6920" s="7">
        <v>13</v>
      </c>
      <c r="C6920" s="7">
        <v>4.4000000000000004</v>
      </c>
      <c r="D6920" s="7">
        <v>4</v>
      </c>
      <c r="E6920" s="7">
        <v>0.4</v>
      </c>
      <c r="F6920" s="7">
        <v>2</v>
      </c>
      <c r="G6920" s="7">
        <v>5.5</v>
      </c>
      <c r="H6920" s="7">
        <v>2.5</v>
      </c>
      <c r="I6920" s="7">
        <v>3.6</v>
      </c>
      <c r="J6920" s="7">
        <v>10.4</v>
      </c>
      <c r="K6920" s="7">
        <v>7</v>
      </c>
      <c r="L6920" s="7">
        <v>0.50800000000000001</v>
      </c>
      <c r="M6920" s="7">
        <v>2.8</v>
      </c>
      <c r="N6920" s="7">
        <v>3.0000000000000004</v>
      </c>
      <c r="O6920" s="7"/>
      <c r="P6920" s="7">
        <v>2</v>
      </c>
      <c r="Q6920" s="7">
        <v>3</v>
      </c>
      <c r="R6920" s="7">
        <v>6.1</v>
      </c>
      <c r="S6920" s="7">
        <v>2.5</v>
      </c>
      <c r="T6920" s="7">
        <v>46</v>
      </c>
      <c r="U6920" s="7">
        <v>5</v>
      </c>
      <c r="V6920" s="7">
        <v>0.2</v>
      </c>
      <c r="W6920" s="7">
        <v>3.5</v>
      </c>
      <c r="X6920" s="7">
        <v>2</v>
      </c>
      <c r="Y6920" s="7">
        <v>4.4000000000000004</v>
      </c>
      <c r="Z6920" s="9">
        <v>10</v>
      </c>
      <c r="AA6920" s="9">
        <v>52</v>
      </c>
      <c r="AC6920" s="38">
        <v>0</v>
      </c>
      <c r="AD6920" s="38">
        <v>4.8000000000000016</v>
      </c>
    </row>
    <row r="6921" spans="1:30" x14ac:dyDescent="0.25">
      <c r="A6921" s="22">
        <v>45272</v>
      </c>
      <c r="B6921" s="7">
        <v>0</v>
      </c>
      <c r="C6921" s="7">
        <v>2</v>
      </c>
      <c r="D6921" s="7">
        <v>3</v>
      </c>
      <c r="E6921" s="7">
        <v>0</v>
      </c>
      <c r="F6921" s="7">
        <v>0</v>
      </c>
      <c r="G6921" s="7">
        <v>6.5</v>
      </c>
      <c r="H6921" s="7">
        <v>7.2</v>
      </c>
      <c r="I6921" s="7">
        <v>5.4</v>
      </c>
      <c r="J6921" s="7">
        <v>2.4</v>
      </c>
      <c r="K6921" s="7">
        <v>1.8</v>
      </c>
      <c r="L6921" s="7">
        <v>3.556</v>
      </c>
      <c r="M6921" s="7">
        <v>3.2</v>
      </c>
      <c r="N6921" s="7">
        <v>1.7999999999999998</v>
      </c>
      <c r="O6921" s="7"/>
      <c r="P6921" s="7">
        <v>4</v>
      </c>
      <c r="Q6921" s="7">
        <v>2.4</v>
      </c>
      <c r="R6921" s="7">
        <v>0</v>
      </c>
      <c r="S6921" s="7">
        <v>2.5</v>
      </c>
      <c r="T6921" s="7">
        <v>0</v>
      </c>
      <c r="U6921" s="7">
        <v>3</v>
      </c>
      <c r="V6921" s="7">
        <v>2.2000000000000002</v>
      </c>
      <c r="W6921" s="7">
        <v>4.0999999999999996</v>
      </c>
      <c r="X6921" s="7">
        <v>2</v>
      </c>
      <c r="Y6921" s="7">
        <v>4</v>
      </c>
      <c r="Z6921" s="9">
        <v>2.8</v>
      </c>
      <c r="AA6921" s="9">
        <v>0</v>
      </c>
      <c r="AC6921" s="38">
        <v>0</v>
      </c>
      <c r="AD6921" s="38">
        <v>3.8000000000000012</v>
      </c>
    </row>
    <row r="6922" spans="1:30" x14ac:dyDescent="0.25">
      <c r="A6922" s="22">
        <v>45273</v>
      </c>
      <c r="B6922" s="7">
        <v>0</v>
      </c>
      <c r="C6922" s="7">
        <v>1.2</v>
      </c>
      <c r="D6922" s="7">
        <v>2.8</v>
      </c>
      <c r="E6922" s="7">
        <v>4.4000000000000004</v>
      </c>
      <c r="F6922" s="7">
        <v>3</v>
      </c>
      <c r="G6922" s="7">
        <v>8.5</v>
      </c>
      <c r="H6922" s="7">
        <v>4</v>
      </c>
      <c r="I6922" s="7">
        <v>7.6</v>
      </c>
      <c r="J6922" s="7">
        <v>10.199999999999999</v>
      </c>
      <c r="K6922" s="7">
        <v>9.6</v>
      </c>
      <c r="L6922" s="7">
        <v>3.8099999999999996</v>
      </c>
      <c r="M6922" s="7">
        <v>1.3</v>
      </c>
      <c r="N6922" s="7">
        <v>13.399999999999999</v>
      </c>
      <c r="O6922" s="7"/>
      <c r="P6922" s="7">
        <v>0</v>
      </c>
      <c r="Q6922" s="7">
        <v>0</v>
      </c>
      <c r="R6922" s="7">
        <v>0</v>
      </c>
      <c r="S6922" s="7">
        <v>0</v>
      </c>
      <c r="T6922" s="7">
        <v>8</v>
      </c>
      <c r="U6922" s="7">
        <v>10</v>
      </c>
      <c r="V6922" s="7">
        <v>10.199999999999999</v>
      </c>
      <c r="W6922" s="7">
        <v>4.2</v>
      </c>
      <c r="X6922" s="7">
        <v>3</v>
      </c>
      <c r="Y6922" s="7">
        <v>4</v>
      </c>
      <c r="Z6922" s="9">
        <v>3.6</v>
      </c>
      <c r="AA6922" s="9">
        <v>8</v>
      </c>
      <c r="AC6922" s="38">
        <v>0</v>
      </c>
      <c r="AD6922" s="38">
        <v>2.6</v>
      </c>
    </row>
    <row r="6923" spans="1:30" x14ac:dyDescent="0.25">
      <c r="A6923" s="22">
        <v>45274</v>
      </c>
      <c r="B6923" s="7">
        <v>0</v>
      </c>
      <c r="C6923" s="7">
        <v>0</v>
      </c>
      <c r="D6923" s="7">
        <v>0</v>
      </c>
      <c r="E6923" s="7">
        <v>0</v>
      </c>
      <c r="F6923" s="7">
        <v>0</v>
      </c>
      <c r="G6923" s="7">
        <v>0.2</v>
      </c>
      <c r="H6923" s="7">
        <v>0</v>
      </c>
      <c r="I6923" s="7">
        <v>0.5</v>
      </c>
      <c r="J6923" s="7">
        <v>5</v>
      </c>
      <c r="K6923" s="7">
        <v>1.4</v>
      </c>
      <c r="L6923" s="7">
        <v>0</v>
      </c>
      <c r="M6923" s="7">
        <v>0.8</v>
      </c>
      <c r="N6923" s="7">
        <v>0</v>
      </c>
      <c r="O6923" s="7"/>
      <c r="P6923" s="7">
        <v>0</v>
      </c>
      <c r="Q6923" s="7">
        <v>0.8</v>
      </c>
      <c r="R6923" s="7">
        <v>0</v>
      </c>
      <c r="S6923" s="7">
        <v>0</v>
      </c>
      <c r="T6923" s="7">
        <v>0</v>
      </c>
      <c r="U6923" s="7">
        <v>0</v>
      </c>
      <c r="V6923" s="7">
        <v>0.2</v>
      </c>
      <c r="W6923" s="7">
        <v>0</v>
      </c>
      <c r="X6923" s="7">
        <v>0</v>
      </c>
      <c r="Y6923" s="7">
        <v>0</v>
      </c>
      <c r="Z6923" s="7">
        <v>0</v>
      </c>
      <c r="AA6923" s="7">
        <v>0</v>
      </c>
      <c r="AC6923" s="38">
        <v>0</v>
      </c>
      <c r="AD6923" s="38">
        <v>0</v>
      </c>
    </row>
    <row r="6924" spans="1:30" x14ac:dyDescent="0.25">
      <c r="A6924" s="22">
        <v>45275</v>
      </c>
      <c r="B6924" s="7">
        <v>15.5</v>
      </c>
      <c r="C6924" s="7">
        <v>3.6</v>
      </c>
      <c r="D6924" s="7">
        <v>3.4</v>
      </c>
      <c r="E6924" s="14">
        <v>15.6</v>
      </c>
      <c r="F6924" s="14">
        <v>0</v>
      </c>
      <c r="G6924" s="14">
        <v>1.5</v>
      </c>
      <c r="H6924" s="14">
        <v>8.8000000000000007</v>
      </c>
      <c r="I6924" s="14">
        <v>0.8</v>
      </c>
      <c r="J6924" s="14">
        <v>3</v>
      </c>
      <c r="K6924" s="14">
        <v>1</v>
      </c>
      <c r="L6924" s="14">
        <v>2.2859999999999996</v>
      </c>
      <c r="M6924" s="14">
        <v>0</v>
      </c>
      <c r="N6924" s="14">
        <v>13.2</v>
      </c>
      <c r="O6924" s="14"/>
      <c r="P6924" s="14">
        <v>2</v>
      </c>
      <c r="Q6924" s="14">
        <v>1</v>
      </c>
      <c r="R6924" s="14">
        <v>0</v>
      </c>
      <c r="S6924" s="14">
        <v>0</v>
      </c>
      <c r="T6924" s="14">
        <v>0</v>
      </c>
      <c r="U6924" s="14">
        <v>2</v>
      </c>
      <c r="V6924" s="7">
        <v>2.2000000000000002</v>
      </c>
      <c r="W6924" s="7">
        <v>0</v>
      </c>
      <c r="X6924" s="14">
        <v>9</v>
      </c>
      <c r="Y6924" s="7">
        <v>0</v>
      </c>
      <c r="Z6924" s="7">
        <v>0</v>
      </c>
      <c r="AA6924" s="7">
        <v>0</v>
      </c>
      <c r="AC6924" s="38">
        <v>0</v>
      </c>
      <c r="AD6924" s="38">
        <v>2.8000000000000003</v>
      </c>
    </row>
    <row r="6925" spans="1:30" x14ac:dyDescent="0.25">
      <c r="A6925" s="22">
        <v>45276</v>
      </c>
      <c r="B6925" s="9">
        <v>0</v>
      </c>
      <c r="C6925" s="9">
        <v>4.2</v>
      </c>
      <c r="D6925" s="9">
        <v>8</v>
      </c>
      <c r="E6925" s="34"/>
      <c r="F6925" s="9">
        <v>2.2000000000000002</v>
      </c>
      <c r="G6925" s="9">
        <v>18.5</v>
      </c>
      <c r="H6925" s="9">
        <v>2.2999999999999998</v>
      </c>
      <c r="I6925" s="9">
        <v>5.2</v>
      </c>
      <c r="J6925" s="9">
        <v>16.2</v>
      </c>
      <c r="K6925" s="9">
        <v>14.2</v>
      </c>
      <c r="L6925" s="9">
        <v>0.7619999999999999</v>
      </c>
      <c r="M6925" s="9">
        <v>22.8</v>
      </c>
      <c r="N6925" s="9">
        <v>6.2000000000000011</v>
      </c>
      <c r="O6925" s="7"/>
      <c r="P6925" s="9">
        <v>0</v>
      </c>
      <c r="Q6925" s="9">
        <v>2</v>
      </c>
      <c r="R6925" s="9">
        <v>1.5</v>
      </c>
      <c r="S6925" s="8">
        <v>0</v>
      </c>
      <c r="T6925" s="15">
        <v>0</v>
      </c>
      <c r="U6925" s="16">
        <v>20</v>
      </c>
      <c r="V6925" s="9">
        <v>4.2</v>
      </c>
      <c r="W6925" s="9">
        <v>8.1999999999999993</v>
      </c>
      <c r="X6925" s="9">
        <v>0</v>
      </c>
      <c r="Y6925" s="9">
        <v>0</v>
      </c>
      <c r="Z6925" s="9">
        <v>0</v>
      </c>
      <c r="AA6925" s="9">
        <v>0</v>
      </c>
      <c r="AC6925" s="38">
        <v>0</v>
      </c>
      <c r="AD6925" s="38">
        <v>1.7999999999999998</v>
      </c>
    </row>
    <row r="6926" spans="1:30" x14ac:dyDescent="0.25">
      <c r="A6926" s="22">
        <v>45277</v>
      </c>
      <c r="B6926" s="9">
        <v>45</v>
      </c>
      <c r="C6926" s="9">
        <v>2</v>
      </c>
      <c r="D6926" s="9">
        <v>5.4</v>
      </c>
      <c r="E6926" s="7">
        <v>12</v>
      </c>
      <c r="F6926" s="9">
        <v>7.3</v>
      </c>
      <c r="G6926" s="9">
        <v>10</v>
      </c>
      <c r="H6926" s="9">
        <v>8.1</v>
      </c>
      <c r="I6926" s="9">
        <v>3.5</v>
      </c>
      <c r="J6926" s="9">
        <v>8</v>
      </c>
      <c r="K6926" s="9">
        <v>2.4</v>
      </c>
      <c r="L6926" s="9">
        <v>1.27</v>
      </c>
      <c r="M6926" s="9">
        <v>8</v>
      </c>
      <c r="N6926" s="9">
        <v>25.999999999999993</v>
      </c>
      <c r="O6926" s="7"/>
      <c r="P6926" s="9">
        <v>7</v>
      </c>
      <c r="Q6926" s="9">
        <v>18.5</v>
      </c>
      <c r="R6926" s="9">
        <v>0</v>
      </c>
      <c r="S6926" s="8">
        <v>0</v>
      </c>
      <c r="T6926" s="15">
        <v>0</v>
      </c>
      <c r="U6926" s="16">
        <v>15</v>
      </c>
      <c r="V6926" s="9">
        <v>6.2</v>
      </c>
      <c r="W6926" s="9">
        <v>2.2999999999999998</v>
      </c>
      <c r="X6926" s="9">
        <v>4</v>
      </c>
      <c r="Y6926" s="9">
        <v>0.6</v>
      </c>
      <c r="Z6926" s="9">
        <v>8</v>
      </c>
      <c r="AA6926" s="9">
        <v>0</v>
      </c>
      <c r="AC6926" s="38">
        <v>0</v>
      </c>
      <c r="AD6926" s="38">
        <v>2.1999999999999997</v>
      </c>
    </row>
    <row r="6927" spans="1:30" x14ac:dyDescent="0.25">
      <c r="A6927" s="22">
        <v>45278</v>
      </c>
      <c r="B6927" s="9">
        <v>16</v>
      </c>
      <c r="C6927" s="9">
        <v>24.4</v>
      </c>
      <c r="D6927" s="9">
        <v>56</v>
      </c>
      <c r="E6927" s="7">
        <v>36.4</v>
      </c>
      <c r="F6927" s="9">
        <v>14.4</v>
      </c>
      <c r="G6927" s="9">
        <v>24.5</v>
      </c>
      <c r="H6927" s="9">
        <v>9.9</v>
      </c>
      <c r="I6927" s="9">
        <v>7.5</v>
      </c>
      <c r="J6927" s="9">
        <v>48</v>
      </c>
      <c r="K6927" s="9">
        <v>50.8</v>
      </c>
      <c r="L6927" s="9">
        <v>9.9060000000000006</v>
      </c>
      <c r="M6927" s="9">
        <v>10.6</v>
      </c>
      <c r="N6927" s="9">
        <v>26.599999999999998</v>
      </c>
      <c r="O6927" s="7"/>
      <c r="P6927" s="9">
        <v>22</v>
      </c>
      <c r="Q6927" s="9">
        <v>29.9</v>
      </c>
      <c r="R6927" s="9">
        <v>0</v>
      </c>
      <c r="S6927" s="8">
        <v>26</v>
      </c>
      <c r="T6927" s="15">
        <v>9</v>
      </c>
      <c r="U6927" s="16">
        <v>60</v>
      </c>
      <c r="V6927" s="9">
        <v>10.3</v>
      </c>
      <c r="W6927" s="9">
        <v>22.1</v>
      </c>
      <c r="X6927" s="9">
        <v>19</v>
      </c>
      <c r="Y6927" s="9">
        <v>14</v>
      </c>
      <c r="Z6927" s="9">
        <v>16</v>
      </c>
      <c r="AA6927" s="9">
        <v>20</v>
      </c>
      <c r="AC6927" s="38">
        <v>0</v>
      </c>
      <c r="AD6927" s="38">
        <v>1.5999999999999999</v>
      </c>
    </row>
    <row r="6928" spans="1:30" x14ac:dyDescent="0.25">
      <c r="A6928" s="22">
        <v>45279</v>
      </c>
      <c r="B6928" s="9">
        <v>150</v>
      </c>
      <c r="C6928" s="9">
        <v>0.4</v>
      </c>
      <c r="D6928" s="9">
        <v>4.2</v>
      </c>
      <c r="E6928" s="7">
        <v>193.60000000000005</v>
      </c>
      <c r="F6928" s="9">
        <v>6</v>
      </c>
      <c r="G6928" s="9">
        <v>0.5</v>
      </c>
      <c r="H6928" s="9">
        <v>2</v>
      </c>
      <c r="I6928" s="9">
        <v>6.6</v>
      </c>
      <c r="J6928" s="9">
        <v>0</v>
      </c>
      <c r="K6928" s="9">
        <v>0.2</v>
      </c>
      <c r="L6928" s="9">
        <v>276.86</v>
      </c>
      <c r="M6928" s="9">
        <v>3.8</v>
      </c>
      <c r="N6928" s="9">
        <v>10.999999999999996</v>
      </c>
      <c r="O6928" s="7"/>
      <c r="P6928" s="9">
        <v>156</v>
      </c>
      <c r="Q6928" s="9">
        <v>78.7</v>
      </c>
      <c r="R6928" s="9">
        <v>74</v>
      </c>
      <c r="S6928" s="8">
        <v>4</v>
      </c>
      <c r="T6928" s="15">
        <v>5</v>
      </c>
      <c r="U6928" s="16">
        <v>10</v>
      </c>
      <c r="V6928" s="9">
        <v>2.2000000000000002</v>
      </c>
      <c r="W6928" s="9">
        <v>0</v>
      </c>
      <c r="X6928" s="9">
        <v>27</v>
      </c>
      <c r="Y6928" s="9">
        <v>13.2</v>
      </c>
      <c r="Z6928" s="9">
        <v>15.4</v>
      </c>
      <c r="AA6928" s="9">
        <v>32</v>
      </c>
      <c r="AC6928" s="38">
        <v>0</v>
      </c>
      <c r="AD6928" s="38">
        <v>0.4</v>
      </c>
    </row>
    <row r="6929" spans="1:30" x14ac:dyDescent="0.25">
      <c r="A6929" s="22">
        <v>45280</v>
      </c>
      <c r="B6929" s="9">
        <v>7</v>
      </c>
      <c r="C6929" s="9">
        <v>4.4000000000000004</v>
      </c>
      <c r="D6929" s="9">
        <v>2</v>
      </c>
      <c r="E6929" s="7">
        <v>5</v>
      </c>
      <c r="F6929" s="9">
        <v>8.1999999999999993</v>
      </c>
      <c r="G6929" s="9">
        <v>5.3</v>
      </c>
      <c r="H6929" s="9">
        <v>18.899999999999999</v>
      </c>
      <c r="I6929" s="9">
        <v>1.5</v>
      </c>
      <c r="J6929" s="9">
        <v>0</v>
      </c>
      <c r="K6929" s="9">
        <v>1.4</v>
      </c>
      <c r="L6929" s="9">
        <v>9.6519999999999992</v>
      </c>
      <c r="M6929" s="9">
        <v>16.600000000000001</v>
      </c>
      <c r="N6929" s="9">
        <v>30.4</v>
      </c>
      <c r="O6929" s="7"/>
      <c r="P6929" s="9">
        <v>166</v>
      </c>
      <c r="Q6929" s="9">
        <v>22.5</v>
      </c>
      <c r="R6929" s="9">
        <v>6.3</v>
      </c>
      <c r="S6929" s="8">
        <v>2</v>
      </c>
      <c r="T6929" s="15">
        <v>11</v>
      </c>
      <c r="U6929" s="16">
        <v>40</v>
      </c>
      <c r="V6929" s="9">
        <v>0</v>
      </c>
      <c r="W6929" s="9">
        <v>0</v>
      </c>
      <c r="X6929" s="9">
        <v>65</v>
      </c>
      <c r="Y6929" s="9">
        <v>22</v>
      </c>
      <c r="Z6929" s="9">
        <v>24.6</v>
      </c>
      <c r="AA6929" s="9">
        <v>0</v>
      </c>
      <c r="AC6929" s="38">
        <v>0</v>
      </c>
      <c r="AD6929" s="38">
        <v>3.2</v>
      </c>
    </row>
    <row r="6930" spans="1:30" x14ac:dyDescent="0.25">
      <c r="A6930" s="22">
        <v>45281</v>
      </c>
      <c r="B6930" s="9">
        <v>0</v>
      </c>
      <c r="C6930" s="9">
        <v>7.4</v>
      </c>
      <c r="D6930" s="9">
        <v>10</v>
      </c>
      <c r="E6930" s="7">
        <v>2</v>
      </c>
      <c r="F6930" s="9">
        <v>16.2</v>
      </c>
      <c r="G6930" s="9">
        <v>4.5</v>
      </c>
      <c r="H6930" s="9">
        <v>19</v>
      </c>
      <c r="I6930" s="9">
        <v>13.8</v>
      </c>
      <c r="J6930" s="9">
        <v>31</v>
      </c>
      <c r="K6930" s="9">
        <v>32.799999999999997</v>
      </c>
      <c r="L6930" s="9">
        <v>1.27</v>
      </c>
      <c r="M6930" s="9">
        <v>22.6</v>
      </c>
      <c r="N6930" s="9">
        <v>29.399999999999988</v>
      </c>
      <c r="O6930" s="7"/>
      <c r="P6930" s="9">
        <v>0</v>
      </c>
      <c r="Q6930" s="9">
        <v>1.7</v>
      </c>
      <c r="R6930" s="9">
        <v>1.4</v>
      </c>
      <c r="S6930" s="8">
        <v>0</v>
      </c>
      <c r="T6930" s="15">
        <v>0</v>
      </c>
      <c r="U6930" s="16">
        <v>52</v>
      </c>
      <c r="V6930" s="9">
        <v>5.2</v>
      </c>
      <c r="W6930" s="9">
        <v>14.2</v>
      </c>
      <c r="X6930" s="9">
        <v>35</v>
      </c>
      <c r="Y6930" s="9">
        <v>14</v>
      </c>
      <c r="Z6930" s="9">
        <v>30</v>
      </c>
      <c r="AA6930" s="9">
        <v>8</v>
      </c>
      <c r="AC6930" s="38">
        <v>0</v>
      </c>
      <c r="AD6930" s="38">
        <v>3.6000000000000005</v>
      </c>
    </row>
    <row r="6931" spans="1:30" x14ac:dyDescent="0.25">
      <c r="A6931" s="22">
        <v>45282</v>
      </c>
      <c r="B6931" s="9">
        <v>8</v>
      </c>
      <c r="C6931" s="9">
        <v>2.8</v>
      </c>
      <c r="D6931" s="9">
        <v>4</v>
      </c>
      <c r="E6931" s="7">
        <v>13.2</v>
      </c>
      <c r="F6931" s="9">
        <v>2.2000000000000002</v>
      </c>
      <c r="G6931" s="9">
        <v>1.5</v>
      </c>
      <c r="H6931" s="9">
        <v>3</v>
      </c>
      <c r="I6931" s="9">
        <v>1.6</v>
      </c>
      <c r="J6931" s="9">
        <v>5</v>
      </c>
      <c r="K6931" s="9">
        <v>5</v>
      </c>
      <c r="L6931" s="9">
        <v>9.1439999999999984</v>
      </c>
      <c r="M6931" s="9">
        <v>8.1999999999999993</v>
      </c>
      <c r="N6931" s="9">
        <v>29.999999999999996</v>
      </c>
      <c r="O6931" s="7"/>
      <c r="P6931" s="9">
        <v>0</v>
      </c>
      <c r="Q6931" s="9">
        <v>4.7</v>
      </c>
      <c r="R6931" s="9">
        <v>0</v>
      </c>
      <c r="S6931" s="8">
        <v>0</v>
      </c>
      <c r="T6931" s="15">
        <v>0</v>
      </c>
      <c r="U6931" s="16">
        <v>7</v>
      </c>
      <c r="V6931" s="9">
        <v>0</v>
      </c>
      <c r="W6931" s="9">
        <v>0.2</v>
      </c>
      <c r="X6931" s="9">
        <v>4</v>
      </c>
      <c r="Y6931" s="9">
        <v>2</v>
      </c>
      <c r="Z6931" s="9">
        <v>4</v>
      </c>
      <c r="AA6931" s="9">
        <v>30</v>
      </c>
      <c r="AC6931" s="38">
        <v>0</v>
      </c>
      <c r="AD6931" s="38">
        <v>0.4</v>
      </c>
    </row>
    <row r="6932" spans="1:30" x14ac:dyDescent="0.25">
      <c r="A6932" s="22">
        <v>45283</v>
      </c>
      <c r="B6932" s="9">
        <v>0</v>
      </c>
      <c r="C6932" s="9">
        <v>2.8</v>
      </c>
      <c r="D6932" s="9">
        <v>36</v>
      </c>
      <c r="E6932" s="7">
        <v>0.4</v>
      </c>
      <c r="F6932" s="9">
        <v>24.2</v>
      </c>
      <c r="G6932" s="9">
        <v>5</v>
      </c>
      <c r="H6932" s="9">
        <v>13.7</v>
      </c>
      <c r="I6932" s="9">
        <v>1</v>
      </c>
      <c r="J6932" s="9">
        <v>15</v>
      </c>
      <c r="K6932" s="9">
        <v>20.8</v>
      </c>
      <c r="L6932" s="9">
        <v>4.8259999999999996</v>
      </c>
      <c r="M6932" s="9">
        <v>2</v>
      </c>
      <c r="N6932" s="9">
        <v>7.2000000000000011</v>
      </c>
      <c r="O6932" s="7"/>
      <c r="P6932" s="9">
        <v>16</v>
      </c>
      <c r="Q6932" s="9">
        <v>0</v>
      </c>
      <c r="R6932" s="9">
        <v>0</v>
      </c>
      <c r="S6932" s="8">
        <v>0</v>
      </c>
      <c r="T6932" s="15">
        <v>0</v>
      </c>
      <c r="U6932" s="16">
        <v>30</v>
      </c>
      <c r="V6932" s="9">
        <v>0</v>
      </c>
      <c r="W6932" s="9">
        <v>0</v>
      </c>
      <c r="X6932" s="9">
        <v>15</v>
      </c>
      <c r="Y6932" s="9">
        <v>20</v>
      </c>
      <c r="Z6932" s="9">
        <v>18.600000000000001</v>
      </c>
      <c r="AA6932" s="9">
        <v>0</v>
      </c>
      <c r="AC6932" s="38">
        <v>0</v>
      </c>
      <c r="AD6932" s="38">
        <v>0</v>
      </c>
    </row>
    <row r="6933" spans="1:30" x14ac:dyDescent="0.25">
      <c r="A6933" s="22">
        <v>45284</v>
      </c>
      <c r="B6933" s="9">
        <v>56</v>
      </c>
      <c r="C6933" s="9">
        <v>0.2</v>
      </c>
      <c r="D6933" s="9">
        <v>2</v>
      </c>
      <c r="E6933" s="7">
        <v>0</v>
      </c>
      <c r="F6933" s="9">
        <v>0</v>
      </c>
      <c r="G6933" s="9">
        <v>0</v>
      </c>
      <c r="H6933" s="9">
        <v>0</v>
      </c>
      <c r="I6933" s="9">
        <v>0</v>
      </c>
      <c r="J6933" s="9">
        <v>0</v>
      </c>
      <c r="K6933" s="9">
        <v>2.6</v>
      </c>
      <c r="L6933" s="9">
        <v>2.2859999999999996</v>
      </c>
      <c r="M6933" s="9">
        <v>0</v>
      </c>
      <c r="N6933" s="9">
        <v>1.4</v>
      </c>
      <c r="O6933" s="7"/>
      <c r="P6933" s="9">
        <v>0</v>
      </c>
      <c r="Q6933" s="9">
        <v>0</v>
      </c>
      <c r="R6933" s="9">
        <v>0</v>
      </c>
      <c r="S6933" s="8">
        <v>0</v>
      </c>
      <c r="T6933" s="15">
        <v>0</v>
      </c>
      <c r="U6933" s="16">
        <v>10</v>
      </c>
      <c r="V6933" s="9">
        <v>0</v>
      </c>
      <c r="W6933" s="9">
        <v>0</v>
      </c>
      <c r="X6933" s="9">
        <v>3</v>
      </c>
      <c r="Y6933" s="9">
        <v>0</v>
      </c>
      <c r="Z6933" s="9">
        <v>0</v>
      </c>
      <c r="AA6933" s="9">
        <v>0</v>
      </c>
      <c r="AC6933" s="42">
        <v>-8738</v>
      </c>
      <c r="AD6933" s="38">
        <v>0.2</v>
      </c>
    </row>
    <row r="6934" spans="1:30" x14ac:dyDescent="0.25">
      <c r="A6934" s="22">
        <v>45285</v>
      </c>
      <c r="B6934" s="9">
        <v>0</v>
      </c>
      <c r="C6934" s="9">
        <v>0</v>
      </c>
      <c r="D6934" s="9">
        <v>0</v>
      </c>
      <c r="E6934" s="7">
        <v>0</v>
      </c>
      <c r="F6934" s="9">
        <v>0</v>
      </c>
      <c r="G6934" s="9">
        <v>0</v>
      </c>
      <c r="H6934" s="9">
        <v>0</v>
      </c>
      <c r="I6934" s="9">
        <v>0</v>
      </c>
      <c r="J6934" s="9">
        <v>1.6</v>
      </c>
      <c r="K6934" s="9">
        <v>0</v>
      </c>
      <c r="L6934" s="9">
        <v>0</v>
      </c>
      <c r="M6934" s="9">
        <v>0</v>
      </c>
      <c r="N6934" s="9">
        <v>0</v>
      </c>
      <c r="O6934" s="7"/>
      <c r="P6934" s="9">
        <v>1</v>
      </c>
      <c r="Q6934" s="9">
        <v>0</v>
      </c>
      <c r="R6934" s="9">
        <v>4</v>
      </c>
      <c r="S6934" s="8">
        <v>0</v>
      </c>
      <c r="T6934" s="15">
        <v>0</v>
      </c>
      <c r="U6934" s="16">
        <v>0</v>
      </c>
      <c r="V6934" s="9">
        <v>0</v>
      </c>
      <c r="W6934" s="9">
        <v>0</v>
      </c>
      <c r="X6934" s="9">
        <v>0</v>
      </c>
      <c r="Y6934" s="9">
        <v>0</v>
      </c>
      <c r="Z6934" s="9">
        <v>0</v>
      </c>
      <c r="AA6934" s="9">
        <v>10</v>
      </c>
      <c r="AC6934" s="38">
        <v>0</v>
      </c>
      <c r="AD6934" s="38">
        <v>0.2</v>
      </c>
    </row>
    <row r="6935" spans="1:30" x14ac:dyDescent="0.25">
      <c r="A6935" s="22">
        <v>45286</v>
      </c>
      <c r="B6935" s="9">
        <v>0</v>
      </c>
      <c r="C6935" s="9">
        <v>0</v>
      </c>
      <c r="D6935" s="9">
        <v>0</v>
      </c>
      <c r="E6935" s="7">
        <v>11.6</v>
      </c>
      <c r="F6935" s="9">
        <v>0</v>
      </c>
      <c r="G6935" s="9">
        <v>0</v>
      </c>
      <c r="H6935" s="9">
        <v>0</v>
      </c>
      <c r="I6935" s="9">
        <v>1</v>
      </c>
      <c r="J6935" s="9">
        <v>0</v>
      </c>
      <c r="K6935" s="9">
        <v>0</v>
      </c>
      <c r="L6935" s="9">
        <v>0</v>
      </c>
      <c r="M6935" s="9">
        <v>0</v>
      </c>
      <c r="N6935" s="9">
        <v>0</v>
      </c>
      <c r="O6935" s="7"/>
      <c r="P6935" s="9">
        <v>0</v>
      </c>
      <c r="Q6935" s="9">
        <v>0</v>
      </c>
      <c r="R6935" s="9">
        <v>0</v>
      </c>
      <c r="S6935" s="8">
        <v>0</v>
      </c>
      <c r="T6935" s="15">
        <v>0</v>
      </c>
      <c r="U6935" s="16">
        <v>0</v>
      </c>
      <c r="V6935" s="9">
        <v>0</v>
      </c>
      <c r="W6935" s="9">
        <v>0</v>
      </c>
      <c r="X6935" s="9">
        <v>0</v>
      </c>
      <c r="Y6935" s="9">
        <v>0</v>
      </c>
      <c r="Z6935" s="9">
        <v>0</v>
      </c>
      <c r="AA6935" s="9">
        <v>0</v>
      </c>
      <c r="AC6935" s="38">
        <v>0</v>
      </c>
      <c r="AD6935" s="38">
        <v>0</v>
      </c>
    </row>
    <row r="6936" spans="1:30" x14ac:dyDescent="0.25">
      <c r="A6936" s="22">
        <v>45287</v>
      </c>
      <c r="B6936" s="9">
        <v>1</v>
      </c>
      <c r="C6936" s="9">
        <v>0</v>
      </c>
      <c r="D6936" s="9">
        <v>0</v>
      </c>
      <c r="E6936" s="7">
        <v>0</v>
      </c>
      <c r="F6936" s="9">
        <v>0</v>
      </c>
      <c r="G6936" s="9">
        <v>0</v>
      </c>
      <c r="H6936" s="9">
        <v>0</v>
      </c>
      <c r="I6936" s="9">
        <v>0</v>
      </c>
      <c r="J6936" s="9">
        <v>0</v>
      </c>
      <c r="K6936" s="9">
        <v>0</v>
      </c>
      <c r="L6936" s="9">
        <v>0.7619999999999999</v>
      </c>
      <c r="M6936" s="9">
        <v>0</v>
      </c>
      <c r="N6936" s="9">
        <v>0</v>
      </c>
      <c r="O6936" s="7"/>
      <c r="P6936" s="9">
        <v>0</v>
      </c>
      <c r="Q6936" s="9">
        <v>0</v>
      </c>
      <c r="R6936" s="9">
        <v>0</v>
      </c>
      <c r="S6936" s="8">
        <v>0</v>
      </c>
      <c r="T6936" s="15">
        <v>0</v>
      </c>
      <c r="U6936" s="16">
        <v>0</v>
      </c>
      <c r="V6936" s="9">
        <v>0</v>
      </c>
      <c r="W6936" s="9">
        <v>0</v>
      </c>
      <c r="X6936" s="9">
        <v>0</v>
      </c>
      <c r="Y6936" s="9">
        <v>0</v>
      </c>
      <c r="Z6936" s="9">
        <v>0</v>
      </c>
      <c r="AA6936" s="9">
        <v>0</v>
      </c>
      <c r="AC6936" s="38">
        <v>0</v>
      </c>
      <c r="AD6936" s="38">
        <v>0.2</v>
      </c>
    </row>
    <row r="6937" spans="1:30" x14ac:dyDescent="0.25">
      <c r="A6937" s="22">
        <v>45288</v>
      </c>
      <c r="B6937" s="9">
        <v>0</v>
      </c>
      <c r="C6937" s="9">
        <v>0</v>
      </c>
      <c r="D6937" s="9">
        <v>0</v>
      </c>
      <c r="E6937" s="7">
        <v>0.4</v>
      </c>
      <c r="F6937" s="9">
        <v>0</v>
      </c>
      <c r="G6937" s="9">
        <v>0</v>
      </c>
      <c r="H6937" s="9">
        <v>0</v>
      </c>
      <c r="I6937" s="9">
        <v>0</v>
      </c>
      <c r="J6937" s="9">
        <v>0</v>
      </c>
      <c r="K6937" s="9">
        <v>0</v>
      </c>
      <c r="L6937" s="9">
        <v>3.0479999999999996</v>
      </c>
      <c r="M6937" s="9">
        <v>0</v>
      </c>
      <c r="N6937" s="9">
        <v>0</v>
      </c>
      <c r="O6937" s="7"/>
      <c r="P6937" s="9">
        <v>0</v>
      </c>
      <c r="Q6937" s="9">
        <v>15.9</v>
      </c>
      <c r="R6937" s="9">
        <v>5.2</v>
      </c>
      <c r="S6937" s="10"/>
      <c r="T6937" s="15"/>
      <c r="U6937" s="16">
        <v>0</v>
      </c>
      <c r="V6937" s="9">
        <v>0</v>
      </c>
      <c r="W6937" s="9">
        <v>0</v>
      </c>
      <c r="X6937" s="9">
        <v>0</v>
      </c>
      <c r="Y6937" s="9">
        <v>0</v>
      </c>
      <c r="Z6937" s="9">
        <v>0</v>
      </c>
      <c r="AA6937" s="9">
        <v>0</v>
      </c>
      <c r="AC6937" s="38">
        <v>0</v>
      </c>
      <c r="AD6937" s="38">
        <v>0.2</v>
      </c>
    </row>
    <row r="6938" spans="1:30" x14ac:dyDescent="0.25">
      <c r="A6938" s="22">
        <v>45289</v>
      </c>
      <c r="B6938" s="9">
        <v>5</v>
      </c>
      <c r="C6938" s="9">
        <v>0</v>
      </c>
      <c r="D6938" s="9">
        <v>0</v>
      </c>
      <c r="E6938" s="7">
        <v>0.8</v>
      </c>
      <c r="F6938" s="9">
        <v>1.1000000000000001</v>
      </c>
      <c r="G6938" s="9">
        <v>0</v>
      </c>
      <c r="H6938" s="9">
        <v>3</v>
      </c>
      <c r="I6938" s="9">
        <v>0</v>
      </c>
      <c r="J6938" s="9">
        <v>2</v>
      </c>
      <c r="K6938" s="9">
        <v>1</v>
      </c>
      <c r="L6938" s="9">
        <v>1.27</v>
      </c>
      <c r="M6938" s="9">
        <v>0</v>
      </c>
      <c r="N6938" s="9">
        <v>0</v>
      </c>
      <c r="O6938" s="7"/>
      <c r="P6938" s="9">
        <v>0</v>
      </c>
      <c r="Q6938" s="9">
        <v>0.7</v>
      </c>
      <c r="R6938" s="9">
        <v>0</v>
      </c>
      <c r="S6938" s="10"/>
      <c r="T6938" s="15"/>
      <c r="U6938" s="16">
        <v>4</v>
      </c>
      <c r="V6938" s="9">
        <v>0</v>
      </c>
      <c r="W6938" s="9">
        <v>0</v>
      </c>
      <c r="X6938" s="9">
        <v>0</v>
      </c>
      <c r="Y6938" s="9">
        <v>0</v>
      </c>
      <c r="Z6938" s="9">
        <v>0</v>
      </c>
      <c r="AA6938" s="9">
        <v>0</v>
      </c>
      <c r="AC6938" s="38">
        <v>0</v>
      </c>
      <c r="AD6938" s="38">
        <v>0</v>
      </c>
    </row>
    <row r="6939" spans="1:30" x14ac:dyDescent="0.25">
      <c r="A6939" s="22">
        <v>45290</v>
      </c>
      <c r="B6939" s="9">
        <v>6</v>
      </c>
      <c r="C6939" s="9">
        <v>5</v>
      </c>
      <c r="D6939" s="9">
        <v>13</v>
      </c>
      <c r="E6939" s="7">
        <v>0.8</v>
      </c>
      <c r="F6939" s="9">
        <v>0</v>
      </c>
      <c r="G6939" s="9">
        <v>22.5</v>
      </c>
      <c r="H6939" s="9">
        <v>3.3</v>
      </c>
      <c r="I6939" s="9">
        <v>8.5</v>
      </c>
      <c r="J6939" s="9">
        <v>31</v>
      </c>
      <c r="K6939" s="9">
        <v>73</v>
      </c>
      <c r="L6939" s="9">
        <v>0.254</v>
      </c>
      <c r="M6939" s="9">
        <v>0</v>
      </c>
      <c r="N6939" s="9">
        <v>0</v>
      </c>
      <c r="O6939" s="7"/>
      <c r="P6939" s="9">
        <v>0</v>
      </c>
      <c r="Q6939" s="9">
        <v>0</v>
      </c>
      <c r="R6939" s="9">
        <v>0</v>
      </c>
      <c r="S6939" s="10"/>
      <c r="T6939" s="15"/>
      <c r="U6939" s="16">
        <v>8</v>
      </c>
      <c r="V6939" s="9">
        <v>10.3</v>
      </c>
      <c r="W6939" s="9">
        <v>12.4</v>
      </c>
      <c r="X6939" s="9">
        <v>0</v>
      </c>
      <c r="Y6939" s="9">
        <v>0</v>
      </c>
      <c r="Z6939" s="9">
        <v>0</v>
      </c>
      <c r="AA6939" s="9">
        <v>0</v>
      </c>
      <c r="AC6939" s="38">
        <v>0</v>
      </c>
      <c r="AD6939" s="38">
        <v>0</v>
      </c>
    </row>
    <row r="6940" spans="1:30" x14ac:dyDescent="0.25">
      <c r="A6940" s="22">
        <v>45291</v>
      </c>
      <c r="B6940" s="9">
        <v>0</v>
      </c>
      <c r="C6940" s="9">
        <v>0</v>
      </c>
      <c r="D6940" s="9">
        <v>0</v>
      </c>
      <c r="E6940" s="7">
        <v>0</v>
      </c>
      <c r="F6940" s="9">
        <v>0</v>
      </c>
      <c r="G6940" s="9">
        <v>0</v>
      </c>
      <c r="H6940" s="9">
        <v>0</v>
      </c>
      <c r="I6940" s="9">
        <v>0.1</v>
      </c>
      <c r="J6940" s="9">
        <v>1</v>
      </c>
      <c r="K6940" s="9">
        <v>0</v>
      </c>
      <c r="L6940" s="9">
        <v>0</v>
      </c>
      <c r="M6940" s="9">
        <v>2.6</v>
      </c>
      <c r="N6940" s="9">
        <v>0</v>
      </c>
      <c r="O6940" s="7"/>
      <c r="P6940" s="9">
        <v>0</v>
      </c>
      <c r="Q6940" s="9">
        <v>2.2000000000000002</v>
      </c>
      <c r="R6940" s="9">
        <v>0</v>
      </c>
      <c r="S6940" s="10"/>
      <c r="T6940" s="15"/>
      <c r="U6940" s="16">
        <v>0</v>
      </c>
      <c r="V6940" s="9">
        <v>0</v>
      </c>
      <c r="W6940" s="9">
        <v>0</v>
      </c>
      <c r="X6940" s="9">
        <v>0</v>
      </c>
      <c r="Y6940" s="9">
        <v>0</v>
      </c>
      <c r="Z6940" s="9">
        <v>0</v>
      </c>
      <c r="AA6940" s="9">
        <v>0</v>
      </c>
      <c r="AC6940" s="38">
        <v>0</v>
      </c>
      <c r="AD6940" s="38">
        <v>0.2</v>
      </c>
    </row>
    <row r="6941" spans="1:30" x14ac:dyDescent="0.25">
      <c r="A6941" s="22">
        <v>45292</v>
      </c>
      <c r="B6941" s="33">
        <v>10</v>
      </c>
      <c r="C6941" s="33">
        <v>2.4</v>
      </c>
      <c r="D6941" s="33">
        <v>8.1999999999999993</v>
      </c>
      <c r="E6941" s="33">
        <v>4</v>
      </c>
      <c r="F6941" s="33">
        <v>0</v>
      </c>
      <c r="G6941" s="33">
        <v>0</v>
      </c>
      <c r="H6941" s="33">
        <v>22.5</v>
      </c>
      <c r="I6941" s="33">
        <v>0</v>
      </c>
      <c r="J6941" s="33">
        <v>1</v>
      </c>
      <c r="K6941" s="33">
        <v>0</v>
      </c>
      <c r="L6941" s="33">
        <v>6.4</v>
      </c>
      <c r="M6941" s="33">
        <v>9.8000000000000007</v>
      </c>
      <c r="N6941" s="33">
        <v>24.2</v>
      </c>
      <c r="O6941" s="33"/>
      <c r="P6941" s="33"/>
      <c r="Q6941" s="33">
        <v>2.2000000000000002</v>
      </c>
      <c r="R6941" s="33">
        <v>5.2</v>
      </c>
      <c r="S6941" s="33"/>
      <c r="T6941" s="33"/>
      <c r="U6941" s="33">
        <v>0</v>
      </c>
      <c r="V6941" s="33">
        <v>0</v>
      </c>
      <c r="W6941" s="33">
        <v>0</v>
      </c>
      <c r="X6941" s="33">
        <v>0</v>
      </c>
      <c r="Y6941" s="33">
        <v>14</v>
      </c>
      <c r="Z6941" s="33">
        <v>6</v>
      </c>
      <c r="AA6941" s="33">
        <v>0</v>
      </c>
      <c r="AC6941" s="38">
        <v>0</v>
      </c>
      <c r="AD6941" s="38">
        <v>0.2</v>
      </c>
    </row>
    <row r="6942" spans="1:30" x14ac:dyDescent="0.25">
      <c r="A6942" s="22">
        <v>45293</v>
      </c>
      <c r="B6942" s="33">
        <v>5</v>
      </c>
      <c r="C6942" s="33">
        <v>5.2</v>
      </c>
      <c r="D6942" s="33">
        <v>3.4</v>
      </c>
      <c r="E6942" s="33">
        <v>10.4</v>
      </c>
      <c r="F6942" s="33">
        <v>0</v>
      </c>
      <c r="G6942" s="33">
        <v>7.5</v>
      </c>
      <c r="H6942" s="33">
        <v>0.4</v>
      </c>
      <c r="I6942" s="33">
        <v>6.4</v>
      </c>
      <c r="J6942" s="33">
        <v>5</v>
      </c>
      <c r="K6942" s="33">
        <v>8</v>
      </c>
      <c r="L6942" s="33">
        <v>1.3</v>
      </c>
      <c r="M6942" s="33">
        <v>0</v>
      </c>
      <c r="N6942" s="33">
        <v>36.4</v>
      </c>
      <c r="O6942" s="33"/>
      <c r="P6942" s="33">
        <v>0</v>
      </c>
      <c r="Q6942" s="33">
        <v>3.6</v>
      </c>
      <c r="R6942" s="33">
        <v>0</v>
      </c>
      <c r="S6942" s="33"/>
      <c r="T6942" s="33"/>
      <c r="U6942" s="33">
        <v>6</v>
      </c>
      <c r="V6942" s="33">
        <v>2.2000000000000002</v>
      </c>
      <c r="W6942" s="33">
        <v>4.4000000000000004</v>
      </c>
      <c r="X6942" s="33">
        <v>4</v>
      </c>
      <c r="Y6942" s="33">
        <v>0</v>
      </c>
      <c r="Z6942" s="33">
        <v>1.2</v>
      </c>
      <c r="AA6942" s="33">
        <v>0</v>
      </c>
      <c r="AC6942" s="38">
        <v>0</v>
      </c>
      <c r="AD6942" s="38">
        <v>0</v>
      </c>
    </row>
    <row r="6943" spans="1:30" x14ac:dyDescent="0.25">
      <c r="A6943" s="22">
        <v>45294</v>
      </c>
      <c r="B6943" s="33">
        <v>48</v>
      </c>
      <c r="C6943" s="33">
        <v>0</v>
      </c>
      <c r="D6943" s="33">
        <v>10.199999999999999</v>
      </c>
      <c r="E6943" s="33">
        <v>61.6</v>
      </c>
      <c r="F6943" s="33">
        <v>11.3</v>
      </c>
      <c r="G6943" s="33">
        <v>9</v>
      </c>
      <c r="H6943" s="33">
        <v>11</v>
      </c>
      <c r="I6943" s="33">
        <v>3.2</v>
      </c>
      <c r="J6943" s="33">
        <v>9</v>
      </c>
      <c r="K6943" s="33">
        <v>11.6</v>
      </c>
      <c r="L6943" s="33">
        <v>10.9</v>
      </c>
      <c r="M6943" s="33">
        <v>8.1999999999999993</v>
      </c>
      <c r="N6943" s="33">
        <v>4.6000000000000014</v>
      </c>
      <c r="O6943" s="33"/>
      <c r="P6943" s="33">
        <v>2</v>
      </c>
      <c r="Q6943" s="33">
        <v>12.7</v>
      </c>
      <c r="R6943" s="33">
        <v>0</v>
      </c>
      <c r="S6943" s="33"/>
      <c r="T6943" s="33"/>
      <c r="U6943" s="33">
        <v>10</v>
      </c>
      <c r="V6943" s="33">
        <v>4.2</v>
      </c>
      <c r="W6943" s="33">
        <v>2.2000000000000002</v>
      </c>
      <c r="X6943" s="33">
        <v>2</v>
      </c>
      <c r="Y6943" s="33">
        <v>12.4</v>
      </c>
      <c r="Z6943" s="33">
        <v>16</v>
      </c>
      <c r="AA6943" s="33">
        <v>4</v>
      </c>
      <c r="AC6943" s="38">
        <v>0</v>
      </c>
      <c r="AD6943" s="38">
        <v>0</v>
      </c>
    </row>
    <row r="6944" spans="1:30" x14ac:dyDescent="0.25">
      <c r="A6944" s="22">
        <v>45295</v>
      </c>
      <c r="B6944" s="33">
        <v>0</v>
      </c>
      <c r="C6944" s="33">
        <v>0</v>
      </c>
      <c r="D6944" s="33">
        <v>3</v>
      </c>
      <c r="E6944" s="33">
        <v>0.2</v>
      </c>
      <c r="F6944" s="33">
        <v>0</v>
      </c>
      <c r="G6944" s="33">
        <v>1.5</v>
      </c>
      <c r="H6944" s="33">
        <v>1</v>
      </c>
      <c r="I6944" s="33">
        <v>0.1</v>
      </c>
      <c r="J6944" s="33">
        <v>1.8</v>
      </c>
      <c r="K6944" s="33">
        <v>0</v>
      </c>
      <c r="L6944" s="33">
        <v>0</v>
      </c>
      <c r="M6944" s="33">
        <v>2.2000000000000002</v>
      </c>
      <c r="N6944" s="33">
        <v>11.799999999999997</v>
      </c>
      <c r="O6944" s="33"/>
      <c r="P6944" s="33">
        <v>0</v>
      </c>
      <c r="Q6944" s="33">
        <v>0</v>
      </c>
      <c r="R6944" s="33">
        <v>0</v>
      </c>
      <c r="S6944" s="33"/>
      <c r="T6944" s="33"/>
      <c r="U6944" s="33">
        <v>3</v>
      </c>
      <c r="V6944" s="33">
        <v>0.2</v>
      </c>
      <c r="W6944" s="33">
        <v>0</v>
      </c>
      <c r="X6944" s="33">
        <v>2</v>
      </c>
      <c r="Y6944" s="33">
        <v>0</v>
      </c>
      <c r="Z6944" s="33">
        <v>12</v>
      </c>
      <c r="AA6944" s="33">
        <v>0</v>
      </c>
      <c r="AC6944" s="38">
        <v>0</v>
      </c>
      <c r="AD6944" s="38">
        <v>0.2</v>
      </c>
    </row>
    <row r="6945" spans="1:30" x14ac:dyDescent="0.25">
      <c r="A6945" s="22">
        <v>45296</v>
      </c>
      <c r="B6945" s="33">
        <v>0</v>
      </c>
      <c r="C6945" s="33">
        <v>0</v>
      </c>
      <c r="D6945" s="33">
        <v>0</v>
      </c>
      <c r="E6945" s="33">
        <v>3</v>
      </c>
      <c r="F6945" s="33">
        <v>0</v>
      </c>
      <c r="G6945" s="33">
        <v>0</v>
      </c>
      <c r="H6945" s="33">
        <v>0</v>
      </c>
      <c r="I6945" s="33">
        <v>0.8</v>
      </c>
      <c r="J6945" s="33">
        <v>1</v>
      </c>
      <c r="K6945" s="33">
        <v>1.8</v>
      </c>
      <c r="L6945" s="33">
        <v>0</v>
      </c>
      <c r="M6945" s="33">
        <v>0</v>
      </c>
      <c r="N6945" s="33">
        <v>0.2</v>
      </c>
      <c r="O6945" s="33"/>
      <c r="P6945" s="33">
        <v>4</v>
      </c>
      <c r="Q6945" s="33">
        <v>0</v>
      </c>
      <c r="R6945" s="33">
        <v>0</v>
      </c>
      <c r="S6945" s="33"/>
      <c r="T6945" s="33"/>
      <c r="U6945" s="33">
        <v>0</v>
      </c>
      <c r="V6945" s="33">
        <v>0</v>
      </c>
      <c r="W6945" s="33">
        <v>0</v>
      </c>
      <c r="X6945" s="33">
        <v>1</v>
      </c>
      <c r="Y6945" s="33">
        <v>0</v>
      </c>
      <c r="Z6945" s="33">
        <v>0</v>
      </c>
      <c r="AA6945" s="33">
        <v>0</v>
      </c>
      <c r="AC6945" s="38">
        <v>0</v>
      </c>
      <c r="AD6945" s="38">
        <v>0.2</v>
      </c>
    </row>
    <row r="6946" spans="1:30" x14ac:dyDescent="0.25">
      <c r="A6946" s="22">
        <v>45297</v>
      </c>
      <c r="B6946" s="33">
        <v>0</v>
      </c>
      <c r="C6946" s="33">
        <v>0</v>
      </c>
      <c r="D6946" s="33">
        <v>0</v>
      </c>
      <c r="E6946" s="33">
        <v>4</v>
      </c>
      <c r="F6946" s="33">
        <v>0</v>
      </c>
      <c r="G6946" s="33">
        <v>0</v>
      </c>
      <c r="H6946" s="33">
        <v>0.9</v>
      </c>
      <c r="I6946" s="33">
        <v>1.6</v>
      </c>
      <c r="J6946" s="33">
        <v>0</v>
      </c>
      <c r="K6946" s="33">
        <v>0</v>
      </c>
      <c r="L6946" s="33">
        <v>0</v>
      </c>
      <c r="M6946" s="33">
        <v>0</v>
      </c>
      <c r="N6946" s="33">
        <v>29.999999999999989</v>
      </c>
      <c r="O6946" s="33"/>
      <c r="P6946" s="33"/>
      <c r="Q6946" s="33">
        <v>3.1</v>
      </c>
      <c r="R6946" s="33">
        <v>0</v>
      </c>
      <c r="S6946" s="33"/>
      <c r="T6946" s="33"/>
      <c r="U6946" s="33">
        <v>0</v>
      </c>
      <c r="V6946" s="33">
        <v>0</v>
      </c>
      <c r="W6946" s="33">
        <v>0</v>
      </c>
      <c r="X6946" s="33">
        <v>2</v>
      </c>
      <c r="Y6946" s="33">
        <v>0</v>
      </c>
      <c r="Z6946" s="33">
        <v>0</v>
      </c>
      <c r="AA6946" s="33">
        <v>6</v>
      </c>
      <c r="AC6946" s="38">
        <v>0</v>
      </c>
      <c r="AD6946" s="38">
        <v>0</v>
      </c>
    </row>
    <row r="6947" spans="1:30" x14ac:dyDescent="0.25">
      <c r="A6947" s="22">
        <v>45298</v>
      </c>
      <c r="B6947" s="33">
        <v>0</v>
      </c>
      <c r="C6947" s="33">
        <v>0</v>
      </c>
      <c r="D6947" s="33">
        <v>14</v>
      </c>
      <c r="E6947" s="33">
        <v>6.3999999999999995</v>
      </c>
      <c r="F6947" s="33">
        <v>9.1999999999999993</v>
      </c>
      <c r="G6947" s="33">
        <v>4.5</v>
      </c>
      <c r="H6947" s="33">
        <v>5.7</v>
      </c>
      <c r="I6947" s="33">
        <v>2.2999999999999998</v>
      </c>
      <c r="J6947" s="33">
        <v>4</v>
      </c>
      <c r="K6947" s="33">
        <v>6</v>
      </c>
      <c r="L6947" s="33">
        <v>9.6999999999999993</v>
      </c>
      <c r="M6947" s="33">
        <v>6.4</v>
      </c>
      <c r="N6947" s="33">
        <v>15.199999999999998</v>
      </c>
      <c r="O6947" s="33"/>
      <c r="P6947" s="33">
        <v>7</v>
      </c>
      <c r="Q6947" s="33">
        <v>9.5</v>
      </c>
      <c r="R6947" s="33">
        <v>4</v>
      </c>
      <c r="S6947" s="33"/>
      <c r="T6947" s="33"/>
      <c r="U6947" s="33">
        <v>10</v>
      </c>
      <c r="V6947" s="33">
        <v>2.2000000000000002</v>
      </c>
      <c r="W6947" s="33">
        <v>4.4000000000000004</v>
      </c>
      <c r="X6947" s="33">
        <v>12</v>
      </c>
      <c r="Y6947" s="33">
        <v>0</v>
      </c>
      <c r="Z6947" s="33">
        <v>6</v>
      </c>
      <c r="AA6947" s="33">
        <v>0</v>
      </c>
      <c r="AC6947" s="38">
        <v>0</v>
      </c>
      <c r="AD6947" s="38">
        <v>0.4</v>
      </c>
    </row>
    <row r="6948" spans="1:30" x14ac:dyDescent="0.25">
      <c r="A6948" s="22">
        <v>45299</v>
      </c>
      <c r="B6948" s="33">
        <v>16.5</v>
      </c>
      <c r="C6948" s="33">
        <v>27</v>
      </c>
      <c r="D6948" s="33">
        <v>11</v>
      </c>
      <c r="E6948" s="33">
        <v>11.6</v>
      </c>
      <c r="F6948" s="33">
        <v>4.2</v>
      </c>
      <c r="G6948" s="33">
        <v>9.1999999999999993</v>
      </c>
      <c r="H6948" s="33">
        <v>6.4</v>
      </c>
      <c r="I6948" s="33">
        <v>5</v>
      </c>
      <c r="J6948" s="33">
        <v>10</v>
      </c>
      <c r="K6948" s="33">
        <v>10</v>
      </c>
      <c r="L6948" s="33">
        <v>5.6</v>
      </c>
      <c r="M6948" s="33">
        <v>4.8</v>
      </c>
      <c r="N6948" s="33">
        <v>0.60000000000000009</v>
      </c>
      <c r="O6948" s="33"/>
      <c r="P6948" s="33">
        <v>2</v>
      </c>
      <c r="Q6948" s="33">
        <v>9.6999999999999993</v>
      </c>
      <c r="R6948" s="33">
        <v>14.2</v>
      </c>
      <c r="S6948" s="33"/>
      <c r="T6948" s="33"/>
      <c r="U6948" s="33">
        <v>5</v>
      </c>
      <c r="V6948" s="33">
        <v>4.2</v>
      </c>
      <c r="W6948" s="33">
        <v>4.4000000000000004</v>
      </c>
      <c r="X6948" s="33">
        <v>3</v>
      </c>
      <c r="Y6948" s="33">
        <v>5.2</v>
      </c>
      <c r="Z6948" s="33">
        <v>6</v>
      </c>
      <c r="AA6948" s="33">
        <v>12</v>
      </c>
      <c r="AC6948" s="38">
        <v>0</v>
      </c>
      <c r="AD6948" s="38">
        <v>0</v>
      </c>
    </row>
    <row r="6949" spans="1:30" x14ac:dyDescent="0.25">
      <c r="A6949" s="22">
        <v>45300</v>
      </c>
      <c r="B6949" s="33">
        <v>0</v>
      </c>
      <c r="C6949" s="33">
        <v>6.2</v>
      </c>
      <c r="D6949" s="33">
        <v>10.199999999999999</v>
      </c>
      <c r="E6949" s="33">
        <v>0</v>
      </c>
      <c r="F6949" s="33">
        <v>4.2</v>
      </c>
      <c r="G6949" s="33">
        <v>6</v>
      </c>
      <c r="H6949" s="33">
        <v>1.1000000000000001</v>
      </c>
      <c r="I6949" s="33">
        <v>7.3</v>
      </c>
      <c r="J6949" s="33">
        <v>9</v>
      </c>
      <c r="K6949" s="33">
        <v>9.8000000000000007</v>
      </c>
      <c r="L6949" s="33">
        <v>6.9</v>
      </c>
      <c r="M6949" s="33">
        <v>5.3</v>
      </c>
      <c r="N6949" s="33">
        <v>0.60000000000000009</v>
      </c>
      <c r="O6949" s="33"/>
      <c r="P6949" s="33">
        <v>8</v>
      </c>
      <c r="Q6949" s="33">
        <v>4.4000000000000004</v>
      </c>
      <c r="R6949" s="33">
        <v>0</v>
      </c>
      <c r="S6949" s="33"/>
      <c r="T6949" s="33"/>
      <c r="U6949" s="33">
        <v>2</v>
      </c>
      <c r="V6949" s="33">
        <v>2.2000000000000002</v>
      </c>
      <c r="W6949" s="33">
        <v>6.4</v>
      </c>
      <c r="X6949" s="33">
        <v>2</v>
      </c>
      <c r="Y6949" s="33">
        <v>8</v>
      </c>
      <c r="Z6949" s="33">
        <v>6</v>
      </c>
      <c r="AA6949" s="33">
        <v>6</v>
      </c>
      <c r="AC6949" s="38">
        <v>0</v>
      </c>
      <c r="AD6949" s="38">
        <v>0</v>
      </c>
    </row>
    <row r="6950" spans="1:30" x14ac:dyDescent="0.25">
      <c r="A6950" s="22">
        <v>45301</v>
      </c>
      <c r="B6950" s="33">
        <v>10.5</v>
      </c>
      <c r="C6950" s="33">
        <v>3.2</v>
      </c>
      <c r="D6950" s="33">
        <v>0</v>
      </c>
      <c r="E6950" s="33">
        <v>0</v>
      </c>
      <c r="F6950" s="33">
        <v>1</v>
      </c>
      <c r="G6950" s="33">
        <v>6</v>
      </c>
      <c r="H6950" s="33">
        <v>2.4</v>
      </c>
      <c r="I6950" s="33">
        <v>1.8</v>
      </c>
      <c r="J6950" s="33">
        <v>2</v>
      </c>
      <c r="K6950" s="33">
        <v>3</v>
      </c>
      <c r="L6950" s="33">
        <v>0</v>
      </c>
      <c r="M6950" s="33">
        <v>0.8</v>
      </c>
      <c r="N6950" s="33">
        <v>3.0000000000000009</v>
      </c>
      <c r="O6950" s="33"/>
      <c r="P6950" s="33">
        <v>2</v>
      </c>
      <c r="Q6950" s="33">
        <v>1.8</v>
      </c>
      <c r="R6950" s="33">
        <v>0</v>
      </c>
      <c r="S6950" s="33"/>
      <c r="T6950" s="33"/>
      <c r="U6950" s="33">
        <v>4</v>
      </c>
      <c r="V6950" s="33">
        <v>0.4</v>
      </c>
      <c r="W6950" s="33">
        <v>0.3</v>
      </c>
      <c r="X6950" s="33">
        <v>0</v>
      </c>
      <c r="Y6950" s="33">
        <v>0</v>
      </c>
      <c r="Z6950" s="33">
        <v>0</v>
      </c>
      <c r="AA6950" s="33">
        <v>0</v>
      </c>
      <c r="AC6950" s="38">
        <v>0</v>
      </c>
      <c r="AD6950" s="38">
        <v>0.2</v>
      </c>
    </row>
    <row r="6951" spans="1:30" x14ac:dyDescent="0.25">
      <c r="A6951" s="22">
        <v>45302</v>
      </c>
      <c r="B6951" s="33">
        <v>0</v>
      </c>
      <c r="C6951" s="33">
        <v>0</v>
      </c>
      <c r="D6951" s="33">
        <v>2</v>
      </c>
      <c r="E6951" s="33">
        <v>6.8</v>
      </c>
      <c r="F6951" s="33">
        <v>0</v>
      </c>
      <c r="G6951" s="33">
        <v>6</v>
      </c>
      <c r="H6951" s="33">
        <v>2.7</v>
      </c>
      <c r="I6951" s="33">
        <v>0</v>
      </c>
      <c r="J6951" s="33">
        <v>1</v>
      </c>
      <c r="K6951" s="33">
        <v>0</v>
      </c>
      <c r="L6951" s="33">
        <v>0</v>
      </c>
      <c r="M6951" s="33">
        <v>0.4</v>
      </c>
      <c r="N6951" s="33">
        <v>10.600000000000001</v>
      </c>
      <c r="O6951" s="33"/>
      <c r="P6951" s="33">
        <v>2</v>
      </c>
      <c r="Q6951" s="33">
        <v>0</v>
      </c>
      <c r="R6951" s="33">
        <v>0</v>
      </c>
      <c r="S6951" s="33"/>
      <c r="T6951" s="33"/>
      <c r="U6951" s="33">
        <v>0</v>
      </c>
      <c r="V6951" s="33">
        <v>0</v>
      </c>
      <c r="W6951" s="33">
        <v>0</v>
      </c>
      <c r="X6951" s="33">
        <v>0</v>
      </c>
      <c r="Y6951" s="33">
        <v>0</v>
      </c>
      <c r="Z6951" s="33">
        <v>0</v>
      </c>
      <c r="AA6951" s="33">
        <v>0</v>
      </c>
      <c r="AC6951" s="38">
        <v>0</v>
      </c>
      <c r="AD6951" s="38">
        <v>0</v>
      </c>
    </row>
    <row r="6952" spans="1:30" x14ac:dyDescent="0.25">
      <c r="A6952" s="22">
        <v>45303</v>
      </c>
      <c r="B6952" s="33">
        <v>17.5</v>
      </c>
      <c r="C6952" s="33">
        <v>14.4</v>
      </c>
      <c r="D6952" s="33">
        <v>18</v>
      </c>
      <c r="E6952" s="33">
        <v>19.600000000000001</v>
      </c>
      <c r="F6952" s="33">
        <v>12</v>
      </c>
      <c r="G6952" s="33">
        <v>15.5</v>
      </c>
      <c r="H6952" s="33">
        <v>15.4</v>
      </c>
      <c r="I6952" s="33">
        <v>3.8</v>
      </c>
      <c r="J6952" s="33">
        <v>18</v>
      </c>
      <c r="K6952" s="33">
        <v>16.8</v>
      </c>
      <c r="L6952" s="33">
        <v>7.4</v>
      </c>
      <c r="M6952" s="33">
        <v>6.2</v>
      </c>
      <c r="N6952" s="33">
        <v>7.8000000000000025</v>
      </c>
      <c r="O6952" s="33"/>
      <c r="P6952" s="33">
        <v>10</v>
      </c>
      <c r="Q6952" s="33">
        <v>19</v>
      </c>
      <c r="R6952" s="33">
        <v>16</v>
      </c>
      <c r="S6952" s="33"/>
      <c r="T6952" s="33"/>
      <c r="U6952" s="33">
        <v>10</v>
      </c>
      <c r="V6952" s="33">
        <v>0</v>
      </c>
      <c r="W6952" s="33">
        <v>8.4</v>
      </c>
      <c r="X6952" s="33">
        <v>0</v>
      </c>
      <c r="Y6952" s="33">
        <v>20</v>
      </c>
      <c r="Z6952" s="33">
        <v>12</v>
      </c>
      <c r="AA6952" s="33">
        <v>2</v>
      </c>
      <c r="AC6952" s="38">
        <v>0</v>
      </c>
      <c r="AD6952" s="38">
        <v>10.399999999999999</v>
      </c>
    </row>
    <row r="6953" spans="1:30" x14ac:dyDescent="0.25">
      <c r="A6953" s="22">
        <v>45304</v>
      </c>
      <c r="B6953" s="33">
        <v>0</v>
      </c>
      <c r="C6953" s="33">
        <v>0</v>
      </c>
      <c r="D6953" s="33">
        <v>3</v>
      </c>
      <c r="E6953" s="33">
        <v>2.4000000000000004</v>
      </c>
      <c r="F6953" s="33">
        <v>0</v>
      </c>
      <c r="G6953" s="33">
        <v>0</v>
      </c>
      <c r="H6953" s="33">
        <v>0</v>
      </c>
      <c r="I6953" s="33">
        <v>6.9</v>
      </c>
      <c r="J6953" s="33">
        <v>0</v>
      </c>
      <c r="K6953" s="33">
        <v>0</v>
      </c>
      <c r="L6953" s="33">
        <v>0</v>
      </c>
      <c r="M6953" s="33">
        <v>0</v>
      </c>
      <c r="N6953" s="33">
        <v>2.6000000000000005</v>
      </c>
      <c r="O6953" s="33"/>
      <c r="P6953" s="33">
        <v>0</v>
      </c>
      <c r="Q6953" s="33">
        <v>0</v>
      </c>
      <c r="R6953" s="33">
        <v>0</v>
      </c>
      <c r="S6953" s="33"/>
      <c r="T6953" s="33"/>
      <c r="U6953" s="33">
        <v>2</v>
      </c>
      <c r="V6953" s="33">
        <v>0.2</v>
      </c>
      <c r="W6953" s="33">
        <v>2.1</v>
      </c>
      <c r="X6953" s="33">
        <v>0</v>
      </c>
      <c r="Y6953" s="33">
        <v>0</v>
      </c>
      <c r="Z6953" s="33">
        <v>0</v>
      </c>
      <c r="AA6953" s="33">
        <v>4</v>
      </c>
      <c r="AC6953" s="38">
        <v>0</v>
      </c>
      <c r="AD6953" s="38">
        <v>0.2</v>
      </c>
    </row>
    <row r="6954" spans="1:30" x14ac:dyDescent="0.25">
      <c r="A6954" s="22">
        <v>45305</v>
      </c>
      <c r="B6954" s="33">
        <v>20.5</v>
      </c>
      <c r="C6954" s="33">
        <v>12</v>
      </c>
      <c r="D6954" s="33">
        <v>23.2</v>
      </c>
      <c r="E6954" s="33">
        <v>21.4</v>
      </c>
      <c r="F6954" s="33">
        <v>36</v>
      </c>
      <c r="G6954" s="33">
        <v>33</v>
      </c>
      <c r="H6954" s="33">
        <v>31.4</v>
      </c>
      <c r="I6954" s="33">
        <v>21.5</v>
      </c>
      <c r="J6954" s="33">
        <v>34.799999999999997</v>
      </c>
      <c r="K6954" s="33">
        <v>32.799999999999997</v>
      </c>
      <c r="L6954" s="33">
        <v>24.1</v>
      </c>
      <c r="M6954" s="33">
        <v>32.6</v>
      </c>
      <c r="N6954" s="33">
        <v>4.6000000000000005</v>
      </c>
      <c r="O6954" s="33"/>
      <c r="P6954" s="33">
        <v>25</v>
      </c>
      <c r="Q6954" s="33">
        <v>31.9</v>
      </c>
      <c r="R6954" s="33">
        <v>17.2</v>
      </c>
      <c r="S6954" s="33"/>
      <c r="T6954" s="33"/>
      <c r="U6954" s="33">
        <v>25</v>
      </c>
      <c r="V6954" s="33">
        <v>20</v>
      </c>
      <c r="W6954" s="33">
        <v>22.2</v>
      </c>
      <c r="X6954" s="33">
        <v>19</v>
      </c>
      <c r="Y6954" s="33">
        <v>38</v>
      </c>
      <c r="Z6954" s="33">
        <v>40</v>
      </c>
      <c r="AA6954" s="33">
        <v>56</v>
      </c>
      <c r="AC6954" s="38">
        <v>0</v>
      </c>
      <c r="AD6954" s="38">
        <v>0.4</v>
      </c>
    </row>
    <row r="6955" spans="1:30" x14ac:dyDescent="0.25">
      <c r="A6955" s="22">
        <v>45306</v>
      </c>
      <c r="B6955" s="33">
        <v>35</v>
      </c>
      <c r="C6955" s="33">
        <v>20</v>
      </c>
      <c r="D6955" s="33">
        <v>26</v>
      </c>
      <c r="E6955" s="33">
        <v>0.8</v>
      </c>
      <c r="F6955" s="33">
        <v>32.1</v>
      </c>
      <c r="G6955" s="33">
        <v>32</v>
      </c>
      <c r="H6955" s="33">
        <v>31.8</v>
      </c>
      <c r="I6955" s="33">
        <v>20.100000000000001</v>
      </c>
      <c r="J6955" s="33">
        <v>28</v>
      </c>
      <c r="K6955" s="33">
        <v>27</v>
      </c>
      <c r="L6955" s="33">
        <v>20.6</v>
      </c>
      <c r="M6955" s="33">
        <v>30.6</v>
      </c>
      <c r="N6955" s="33">
        <v>4.0000000000000009</v>
      </c>
      <c r="O6955" s="33"/>
      <c r="P6955" s="33">
        <v>18</v>
      </c>
      <c r="Q6955" s="33">
        <v>25.4</v>
      </c>
      <c r="R6955" s="33">
        <v>19.899999999999999</v>
      </c>
      <c r="S6955" s="33"/>
      <c r="T6955" s="33"/>
      <c r="U6955" s="33">
        <v>30</v>
      </c>
      <c r="V6955" s="33">
        <v>5.2</v>
      </c>
      <c r="W6955" s="33">
        <v>10.199999999999999</v>
      </c>
      <c r="X6955" s="33">
        <v>21</v>
      </c>
      <c r="Y6955" s="33">
        <v>22</v>
      </c>
      <c r="Z6955" s="33">
        <v>38</v>
      </c>
      <c r="AA6955" s="33">
        <v>10</v>
      </c>
      <c r="AC6955" s="38">
        <v>0</v>
      </c>
      <c r="AD6955" s="38">
        <v>0</v>
      </c>
    </row>
    <row r="6956" spans="1:30" x14ac:dyDescent="0.25">
      <c r="A6956" s="22">
        <v>45307</v>
      </c>
      <c r="B6956" s="33">
        <v>17</v>
      </c>
      <c r="C6956" s="33">
        <v>6.4</v>
      </c>
      <c r="D6956" s="33">
        <v>10.4</v>
      </c>
      <c r="E6956" s="33">
        <v>11</v>
      </c>
      <c r="F6956" s="33">
        <v>5.0999999999999996</v>
      </c>
      <c r="G6956" s="33">
        <v>10.5</v>
      </c>
      <c r="H6956" s="33">
        <v>6.3</v>
      </c>
      <c r="I6956" s="33">
        <v>4.7</v>
      </c>
      <c r="J6956" s="33">
        <v>14</v>
      </c>
      <c r="K6956" s="33">
        <v>12</v>
      </c>
      <c r="L6956" s="33">
        <v>13.5</v>
      </c>
      <c r="M6956" s="33">
        <v>6.8</v>
      </c>
      <c r="N6956" s="33">
        <v>4.4000000000000012</v>
      </c>
      <c r="O6956" s="33"/>
      <c r="P6956" s="33">
        <v>20</v>
      </c>
      <c r="Q6956" s="33">
        <v>7.5</v>
      </c>
      <c r="R6956" s="33">
        <v>1</v>
      </c>
      <c r="S6956" s="33"/>
      <c r="T6956" s="33"/>
      <c r="U6956" s="33">
        <v>15</v>
      </c>
      <c r="V6956" s="33">
        <v>5.3</v>
      </c>
      <c r="W6956" s="33">
        <v>8.3000000000000007</v>
      </c>
      <c r="X6956" s="33">
        <v>4</v>
      </c>
      <c r="Y6956" s="33">
        <v>6.8</v>
      </c>
      <c r="Z6956" s="33">
        <v>10.199999999999999</v>
      </c>
      <c r="AA6956" s="33">
        <v>14</v>
      </c>
      <c r="AC6956" s="38">
        <v>0</v>
      </c>
      <c r="AD6956" s="38">
        <v>4.0000000000000009</v>
      </c>
    </row>
    <row r="6957" spans="1:30" x14ac:dyDescent="0.25">
      <c r="A6957" s="22">
        <v>45308</v>
      </c>
      <c r="B6957" s="33">
        <v>4</v>
      </c>
      <c r="C6957" s="33">
        <v>7.6</v>
      </c>
      <c r="D6957" s="33">
        <v>8.1999999999999993</v>
      </c>
      <c r="E6957" s="33">
        <v>0.8</v>
      </c>
      <c r="F6957" s="33">
        <v>0</v>
      </c>
      <c r="G6957" s="33">
        <v>1.5</v>
      </c>
      <c r="H6957" s="33">
        <v>0</v>
      </c>
      <c r="I6957" s="33">
        <v>7.1</v>
      </c>
      <c r="J6957" s="33">
        <v>4</v>
      </c>
      <c r="K6957" s="33">
        <v>3.6</v>
      </c>
      <c r="L6957" s="33">
        <v>1.8</v>
      </c>
      <c r="M6957" s="33">
        <v>2.6</v>
      </c>
      <c r="N6957" s="33">
        <v>2.4000000000000004</v>
      </c>
      <c r="O6957" s="33"/>
      <c r="P6957" s="33">
        <v>0</v>
      </c>
      <c r="Q6957" s="33">
        <v>4.3</v>
      </c>
      <c r="R6957" s="33">
        <v>0</v>
      </c>
      <c r="S6957" s="33"/>
      <c r="T6957" s="33"/>
      <c r="U6957" s="33">
        <v>0</v>
      </c>
      <c r="V6957" s="33">
        <v>2.4</v>
      </c>
      <c r="W6957" s="33">
        <v>2.4</v>
      </c>
      <c r="X6957" s="33">
        <v>2</v>
      </c>
      <c r="Y6957" s="33">
        <v>0</v>
      </c>
      <c r="Z6957" s="33">
        <v>0</v>
      </c>
      <c r="AA6957" s="33">
        <v>0</v>
      </c>
      <c r="AC6957" s="38">
        <v>0</v>
      </c>
      <c r="AD6957" s="38">
        <v>0</v>
      </c>
    </row>
    <row r="6958" spans="1:30" x14ac:dyDescent="0.25">
      <c r="A6958" s="22">
        <v>45309</v>
      </c>
      <c r="B6958" s="33">
        <v>13</v>
      </c>
      <c r="C6958" s="33">
        <v>14.2</v>
      </c>
      <c r="D6958" s="33">
        <v>23</v>
      </c>
      <c r="E6958" s="33">
        <v>15.999999999999998</v>
      </c>
      <c r="F6958" s="33">
        <v>7.4</v>
      </c>
      <c r="G6958" s="33">
        <v>14.5</v>
      </c>
      <c r="H6958" s="33">
        <v>9.1999999999999993</v>
      </c>
      <c r="I6958" s="33">
        <v>11.4</v>
      </c>
      <c r="J6958" s="33">
        <v>22</v>
      </c>
      <c r="K6958" s="33">
        <v>24.8</v>
      </c>
      <c r="L6958" s="33">
        <v>1.8</v>
      </c>
      <c r="M6958" s="33">
        <v>16.399999999999999</v>
      </c>
      <c r="N6958" s="33">
        <v>9.1999999999999993</v>
      </c>
      <c r="O6958" s="33"/>
      <c r="P6958" s="33">
        <v>9</v>
      </c>
      <c r="Q6958" s="33">
        <v>8</v>
      </c>
      <c r="R6958" s="33"/>
      <c r="S6958" s="33"/>
      <c r="T6958" s="33"/>
      <c r="U6958" s="33">
        <v>22</v>
      </c>
      <c r="V6958" s="33">
        <v>5.3</v>
      </c>
      <c r="W6958" s="33">
        <v>8.4</v>
      </c>
      <c r="X6958" s="33">
        <v>1</v>
      </c>
      <c r="Y6958" s="33">
        <v>14</v>
      </c>
      <c r="Z6958" s="33">
        <v>14</v>
      </c>
      <c r="AA6958" s="33">
        <v>12</v>
      </c>
      <c r="AC6958" s="38">
        <v>0</v>
      </c>
      <c r="AD6958" s="38">
        <v>3.2000000000000006</v>
      </c>
    </row>
    <row r="6959" spans="1:30" x14ac:dyDescent="0.25">
      <c r="A6959" s="22">
        <v>45310</v>
      </c>
      <c r="B6959" s="33">
        <v>8</v>
      </c>
      <c r="C6959" s="33">
        <v>17.600000000000001</v>
      </c>
      <c r="D6959" s="33">
        <v>21.2</v>
      </c>
      <c r="E6959" s="33">
        <v>6.4</v>
      </c>
      <c r="F6959" s="33">
        <v>9</v>
      </c>
      <c r="G6959" s="33">
        <v>14.5</v>
      </c>
      <c r="H6959" s="33">
        <v>7.3</v>
      </c>
      <c r="I6959" s="33">
        <v>17.399999999999999</v>
      </c>
      <c r="J6959" s="33">
        <v>18</v>
      </c>
      <c r="K6959" s="33">
        <v>19.600000000000001</v>
      </c>
      <c r="L6959" s="33">
        <v>4.3</v>
      </c>
      <c r="M6959" s="33">
        <v>10.8</v>
      </c>
      <c r="N6959" s="33">
        <v>0</v>
      </c>
      <c r="O6959" s="33"/>
      <c r="P6959" s="33">
        <v>6</v>
      </c>
      <c r="Q6959" s="33">
        <v>8.9</v>
      </c>
      <c r="R6959" s="33">
        <v>7.2</v>
      </c>
      <c r="S6959" s="33"/>
      <c r="T6959" s="33"/>
      <c r="U6959" s="33">
        <v>20</v>
      </c>
      <c r="V6959" s="33">
        <v>6.3</v>
      </c>
      <c r="W6959" s="33">
        <v>18.100000000000001</v>
      </c>
      <c r="X6959" s="33">
        <v>9</v>
      </c>
      <c r="Y6959" s="33">
        <v>7.2</v>
      </c>
      <c r="Z6959" s="33">
        <v>8</v>
      </c>
      <c r="AA6959" s="33">
        <v>8</v>
      </c>
      <c r="AC6959" s="38">
        <v>0</v>
      </c>
      <c r="AD6959" s="38">
        <v>0.2</v>
      </c>
    </row>
    <row r="6960" spans="1:30" x14ac:dyDescent="0.25">
      <c r="A6960" s="22">
        <v>45311</v>
      </c>
      <c r="B6960" s="33">
        <v>5</v>
      </c>
      <c r="C6960" s="33">
        <v>22</v>
      </c>
      <c r="D6960" s="33">
        <v>20.6</v>
      </c>
      <c r="E6960" s="33">
        <v>0</v>
      </c>
      <c r="F6960" s="33">
        <v>4.4000000000000004</v>
      </c>
      <c r="G6960" s="33">
        <v>6</v>
      </c>
      <c r="H6960" s="33">
        <v>4.7</v>
      </c>
      <c r="I6960" s="33">
        <v>8.3000000000000007</v>
      </c>
      <c r="J6960" s="33">
        <v>14</v>
      </c>
      <c r="K6960" s="33">
        <v>15.4</v>
      </c>
      <c r="L6960" s="33">
        <v>6.4</v>
      </c>
      <c r="M6960" s="33">
        <v>6.4</v>
      </c>
      <c r="N6960" s="33">
        <v>0</v>
      </c>
      <c r="O6960" s="33"/>
      <c r="P6960" s="33">
        <v>8</v>
      </c>
      <c r="Q6960" s="33">
        <v>4</v>
      </c>
      <c r="R6960" s="33">
        <v>0</v>
      </c>
      <c r="S6960" s="33"/>
      <c r="T6960" s="33"/>
      <c r="U6960" s="33">
        <v>18</v>
      </c>
      <c r="V6960" s="33">
        <v>3.2</v>
      </c>
      <c r="W6960" s="33">
        <v>4.2</v>
      </c>
      <c r="X6960" s="33">
        <v>8</v>
      </c>
      <c r="Y6960" s="33">
        <v>8</v>
      </c>
      <c r="Z6960" s="33">
        <v>0</v>
      </c>
      <c r="AA6960" s="33">
        <v>4</v>
      </c>
      <c r="AC6960" s="38">
        <v>0</v>
      </c>
      <c r="AD6960" s="38">
        <v>0.2</v>
      </c>
    </row>
    <row r="6961" spans="1:30" x14ac:dyDescent="0.25">
      <c r="A6961" s="22">
        <v>45312</v>
      </c>
      <c r="B6961" s="33">
        <v>0</v>
      </c>
      <c r="C6961" s="33">
        <v>0</v>
      </c>
      <c r="D6961" s="33">
        <v>2</v>
      </c>
      <c r="E6961" s="33">
        <v>0</v>
      </c>
      <c r="F6961" s="33">
        <v>0</v>
      </c>
      <c r="G6961" s="33">
        <v>0</v>
      </c>
      <c r="H6961" s="33">
        <v>0</v>
      </c>
      <c r="I6961" s="33">
        <v>0.1</v>
      </c>
      <c r="J6961" s="33">
        <v>4</v>
      </c>
      <c r="K6961" s="33">
        <v>0</v>
      </c>
      <c r="L6961" s="33">
        <v>0</v>
      </c>
      <c r="M6961" s="33">
        <v>0</v>
      </c>
      <c r="N6961" s="33">
        <v>0</v>
      </c>
      <c r="O6961" s="33"/>
      <c r="P6961" s="33">
        <v>0</v>
      </c>
      <c r="Q6961" s="33">
        <v>0</v>
      </c>
      <c r="R6961" s="33">
        <v>0</v>
      </c>
      <c r="S6961" s="33"/>
      <c r="T6961" s="33"/>
      <c r="U6961" s="33">
        <v>15</v>
      </c>
      <c r="V6961" s="33">
        <v>0</v>
      </c>
      <c r="W6961" s="33">
        <v>0</v>
      </c>
      <c r="X6961" s="33">
        <v>2</v>
      </c>
      <c r="Y6961" s="33">
        <v>10</v>
      </c>
      <c r="Z6961" s="33">
        <v>0</v>
      </c>
      <c r="AA6961" s="33">
        <v>0</v>
      </c>
      <c r="AC6961" s="38">
        <v>0</v>
      </c>
      <c r="AD6961" s="38">
        <v>0</v>
      </c>
    </row>
    <row r="6962" spans="1:30" x14ac:dyDescent="0.25">
      <c r="A6962" s="22">
        <v>45313</v>
      </c>
      <c r="B6962" s="33">
        <v>12.5</v>
      </c>
      <c r="C6962" s="33">
        <v>3.2</v>
      </c>
      <c r="D6962" s="33">
        <v>3.6</v>
      </c>
      <c r="E6962" s="33">
        <v>4</v>
      </c>
      <c r="F6962" s="33">
        <v>1.2</v>
      </c>
      <c r="G6962" s="33">
        <v>3.5</v>
      </c>
      <c r="H6962" s="33">
        <v>2.9</v>
      </c>
      <c r="I6962" s="33">
        <v>1.4</v>
      </c>
      <c r="J6962" s="33">
        <v>2</v>
      </c>
      <c r="K6962" s="33">
        <v>1</v>
      </c>
      <c r="L6962" s="33">
        <v>2.8</v>
      </c>
      <c r="M6962" s="33">
        <v>3.3</v>
      </c>
      <c r="N6962" s="33">
        <v>0.2</v>
      </c>
      <c r="O6962" s="33"/>
      <c r="P6962" s="33">
        <v>0</v>
      </c>
      <c r="Q6962" s="33">
        <v>1.6</v>
      </c>
      <c r="R6962" s="33">
        <v>0</v>
      </c>
      <c r="S6962" s="33"/>
      <c r="T6962" s="33"/>
      <c r="U6962" s="33">
        <v>0</v>
      </c>
      <c r="V6962" s="33">
        <v>0</v>
      </c>
      <c r="W6962" s="33">
        <v>2.1</v>
      </c>
      <c r="X6962" s="33">
        <v>5</v>
      </c>
      <c r="Y6962" s="33">
        <v>0</v>
      </c>
      <c r="Z6962" s="33">
        <v>0</v>
      </c>
      <c r="AA6962" s="33">
        <v>4</v>
      </c>
      <c r="AC6962" s="38">
        <v>0</v>
      </c>
      <c r="AD6962" s="38">
        <v>0</v>
      </c>
    </row>
    <row r="6963" spans="1:30" x14ac:dyDescent="0.25">
      <c r="A6963" s="22">
        <v>45314</v>
      </c>
      <c r="B6963" s="33">
        <v>3.5</v>
      </c>
      <c r="C6963" s="33">
        <v>3.6</v>
      </c>
      <c r="D6963" s="33">
        <v>10</v>
      </c>
      <c r="E6963" s="33">
        <v>5.6000000000000005</v>
      </c>
      <c r="F6963" s="33">
        <v>2.2999999999999998</v>
      </c>
      <c r="G6963" s="33">
        <v>8.5</v>
      </c>
      <c r="H6963" s="33">
        <v>3.1</v>
      </c>
      <c r="I6963" s="33">
        <v>4.8</v>
      </c>
      <c r="J6963" s="33">
        <v>12</v>
      </c>
      <c r="K6963" s="33">
        <v>9.6</v>
      </c>
      <c r="L6963" s="33">
        <v>1.5</v>
      </c>
      <c r="M6963" s="33">
        <v>4.5999999999999996</v>
      </c>
      <c r="N6963" s="33">
        <v>0</v>
      </c>
      <c r="O6963" s="33"/>
      <c r="P6963" s="33">
        <v>0</v>
      </c>
      <c r="Q6963" s="33">
        <v>1.2</v>
      </c>
      <c r="R6963" s="33"/>
      <c r="S6963" s="33"/>
      <c r="T6963" s="33"/>
      <c r="U6963" s="33">
        <v>5</v>
      </c>
      <c r="V6963" s="33">
        <v>6.2</v>
      </c>
      <c r="W6963" s="33">
        <v>10.199999999999999</v>
      </c>
      <c r="X6963" s="33">
        <v>1</v>
      </c>
      <c r="Y6963" s="33">
        <v>2</v>
      </c>
      <c r="Z6963" s="33">
        <v>6</v>
      </c>
      <c r="AA6963" s="33">
        <v>2</v>
      </c>
      <c r="AC6963" s="38">
        <v>0</v>
      </c>
      <c r="AD6963" s="38">
        <v>1.7999999999999998</v>
      </c>
    </row>
    <row r="6964" spans="1:30" x14ac:dyDescent="0.25">
      <c r="A6964" s="22">
        <v>45315</v>
      </c>
      <c r="B6964" s="33">
        <v>10</v>
      </c>
      <c r="C6964" s="33">
        <v>15.6</v>
      </c>
      <c r="D6964" s="33">
        <v>19.399999999999999</v>
      </c>
      <c r="E6964" s="33">
        <v>8.8000000000000007</v>
      </c>
      <c r="F6964" s="33">
        <v>4</v>
      </c>
      <c r="G6964" s="33">
        <v>11.75</v>
      </c>
      <c r="H6964" s="33">
        <v>4</v>
      </c>
      <c r="I6964" s="33">
        <v>5.6</v>
      </c>
      <c r="J6964" s="33">
        <v>14</v>
      </c>
      <c r="K6964" s="33">
        <v>10.8</v>
      </c>
      <c r="L6964" s="33">
        <v>4.0999999999999996</v>
      </c>
      <c r="M6964" s="33">
        <v>4.4000000000000004</v>
      </c>
      <c r="N6964" s="33">
        <v>0.2</v>
      </c>
      <c r="O6964" s="33"/>
      <c r="P6964" s="33">
        <v>2</v>
      </c>
      <c r="Q6964" s="33">
        <v>4.7</v>
      </c>
      <c r="R6964" s="33">
        <v>11.7</v>
      </c>
      <c r="S6964" s="33"/>
      <c r="T6964" s="33"/>
      <c r="U6964" s="33">
        <v>9</v>
      </c>
      <c r="V6964" s="33">
        <v>6.2</v>
      </c>
      <c r="W6964" s="33">
        <v>8.1</v>
      </c>
      <c r="X6964" s="33">
        <v>5</v>
      </c>
      <c r="Y6964" s="33">
        <v>4</v>
      </c>
      <c r="Z6964" s="33">
        <v>6</v>
      </c>
      <c r="AA6964" s="33">
        <v>8</v>
      </c>
      <c r="AC6964" s="38">
        <v>0</v>
      </c>
      <c r="AD6964" s="38">
        <v>3.8000000000000003</v>
      </c>
    </row>
    <row r="6965" spans="1:30" x14ac:dyDescent="0.25">
      <c r="A6965" s="22">
        <v>45316</v>
      </c>
      <c r="B6965" s="33">
        <v>0</v>
      </c>
      <c r="C6965" s="33">
        <v>15.6</v>
      </c>
      <c r="D6965" s="33">
        <v>15</v>
      </c>
      <c r="E6965" s="33">
        <v>1.4000000000000001</v>
      </c>
      <c r="F6965" s="33">
        <v>1.3</v>
      </c>
      <c r="G6965" s="33">
        <v>6</v>
      </c>
      <c r="H6965" s="33">
        <v>1.9</v>
      </c>
      <c r="I6965" s="33">
        <v>7</v>
      </c>
      <c r="J6965" s="33">
        <v>10</v>
      </c>
      <c r="K6965" s="33">
        <v>13</v>
      </c>
      <c r="L6965" s="33"/>
      <c r="M6965" s="33">
        <v>1.2</v>
      </c>
      <c r="N6965" s="33">
        <v>0.60000000000000009</v>
      </c>
      <c r="O6965" s="33"/>
      <c r="P6965" s="33"/>
      <c r="Q6965" s="33">
        <v>6.5</v>
      </c>
      <c r="R6965" s="33">
        <v>3.2</v>
      </c>
      <c r="S6965" s="33"/>
      <c r="T6965" s="33"/>
      <c r="U6965" s="33">
        <v>5</v>
      </c>
      <c r="V6965" s="33">
        <v>2.2000000000000002</v>
      </c>
      <c r="W6965" s="33">
        <v>8</v>
      </c>
      <c r="X6965" s="33">
        <v>4</v>
      </c>
      <c r="Y6965" s="33">
        <v>0</v>
      </c>
      <c r="Z6965" s="33">
        <v>0</v>
      </c>
      <c r="AA6965" s="33">
        <v>4</v>
      </c>
      <c r="AC6965" s="38">
        <v>0</v>
      </c>
      <c r="AD6965" s="38">
        <v>2.4</v>
      </c>
    </row>
    <row r="6966" spans="1:30" x14ac:dyDescent="0.25">
      <c r="A6966" s="22">
        <v>45317</v>
      </c>
      <c r="B6966" s="33">
        <v>10.5</v>
      </c>
      <c r="C6966" s="33">
        <v>2.4</v>
      </c>
      <c r="D6966" s="33">
        <v>2</v>
      </c>
      <c r="E6966" s="33">
        <v>6.9999999999999991</v>
      </c>
      <c r="F6966" s="33">
        <v>4</v>
      </c>
      <c r="G6966" s="33">
        <v>5.75</v>
      </c>
      <c r="H6966" s="33">
        <v>4.3</v>
      </c>
      <c r="I6966" s="33">
        <v>2.2000000000000002</v>
      </c>
      <c r="J6966" s="33">
        <v>2</v>
      </c>
      <c r="K6966" s="33">
        <v>4</v>
      </c>
      <c r="L6966" s="33">
        <v>2.8</v>
      </c>
      <c r="M6966" s="33">
        <v>6.8</v>
      </c>
      <c r="N6966" s="33">
        <v>16.2</v>
      </c>
      <c r="O6966" s="33"/>
      <c r="P6966" s="33">
        <v>6</v>
      </c>
      <c r="Q6966" s="33">
        <v>4.0999999999999996</v>
      </c>
      <c r="R6966" s="33">
        <v>3</v>
      </c>
      <c r="S6966" s="33"/>
      <c r="T6966" s="33"/>
      <c r="U6966" s="33">
        <v>0</v>
      </c>
      <c r="V6966" s="33">
        <v>0.2</v>
      </c>
      <c r="W6966" s="33">
        <v>2.2000000000000002</v>
      </c>
      <c r="X6966" s="33"/>
      <c r="Y6966" s="33">
        <v>2</v>
      </c>
      <c r="Z6966" s="33">
        <v>2</v>
      </c>
      <c r="AA6966" s="33">
        <v>6</v>
      </c>
      <c r="AC6966" s="38">
        <v>0</v>
      </c>
      <c r="AD6966" s="38">
        <v>0.8</v>
      </c>
    </row>
    <row r="6967" spans="1:30" x14ac:dyDescent="0.25">
      <c r="A6967" s="22">
        <v>45318</v>
      </c>
      <c r="B6967" s="33">
        <v>6.5</v>
      </c>
      <c r="C6967" s="33">
        <v>13.2</v>
      </c>
      <c r="D6967" s="33">
        <v>3.6</v>
      </c>
      <c r="E6967" s="33">
        <v>2.4000000000000004</v>
      </c>
      <c r="F6967" s="33">
        <v>4</v>
      </c>
      <c r="G6967" s="33">
        <v>0.9</v>
      </c>
      <c r="H6967" s="33">
        <v>9</v>
      </c>
      <c r="I6967" s="33">
        <v>5.9</v>
      </c>
      <c r="J6967" s="33">
        <v>12</v>
      </c>
      <c r="K6967" s="33">
        <v>8</v>
      </c>
      <c r="L6967" s="33">
        <v>0</v>
      </c>
      <c r="M6967" s="33">
        <v>4.4000000000000004</v>
      </c>
      <c r="N6967" s="33">
        <v>8.5999999999999979</v>
      </c>
      <c r="O6967" s="33"/>
      <c r="P6967" s="33">
        <v>4</v>
      </c>
      <c r="Q6967" s="33">
        <v>5.2</v>
      </c>
      <c r="R6967" s="33">
        <v>6</v>
      </c>
      <c r="S6967" s="33"/>
      <c r="T6967" s="33"/>
      <c r="U6967" s="33">
        <v>10</v>
      </c>
      <c r="V6967" s="33">
        <v>4.2</v>
      </c>
      <c r="W6967" s="33">
        <v>6.4</v>
      </c>
      <c r="X6967" s="33">
        <v>2</v>
      </c>
      <c r="Y6967" s="33">
        <v>3.2</v>
      </c>
      <c r="Z6967" s="33">
        <v>4</v>
      </c>
      <c r="AA6967" s="33">
        <v>8</v>
      </c>
      <c r="AC6967" s="38">
        <v>0</v>
      </c>
      <c r="AD6967" s="38">
        <v>0.8</v>
      </c>
    </row>
    <row r="6968" spans="1:30" x14ac:dyDescent="0.25">
      <c r="A6968" s="22">
        <v>45319</v>
      </c>
      <c r="B6968" s="33">
        <v>12</v>
      </c>
      <c r="C6968" s="33">
        <v>21.6</v>
      </c>
      <c r="D6968" s="33">
        <v>22.8</v>
      </c>
      <c r="E6968" s="33">
        <v>4.4000000000000004</v>
      </c>
      <c r="F6968" s="33">
        <v>1</v>
      </c>
      <c r="G6968" s="33">
        <v>9.5</v>
      </c>
      <c r="H6968" s="33">
        <v>3</v>
      </c>
      <c r="I6968" s="33">
        <v>4.3</v>
      </c>
      <c r="J6968" s="33">
        <v>6.2</v>
      </c>
      <c r="K6968" s="33">
        <v>6</v>
      </c>
      <c r="L6968" s="33">
        <v>8.9</v>
      </c>
      <c r="M6968" s="33">
        <v>7.4</v>
      </c>
      <c r="N6968" s="33">
        <v>7.4000000000000021</v>
      </c>
      <c r="O6968" s="33"/>
      <c r="P6968" s="33">
        <v>7</v>
      </c>
      <c r="Q6968" s="33">
        <v>13</v>
      </c>
      <c r="R6968" s="33">
        <v>4</v>
      </c>
      <c r="S6968" s="33"/>
      <c r="T6968" s="33"/>
      <c r="U6968" s="33">
        <v>4</v>
      </c>
      <c r="V6968" s="33">
        <v>4.2</v>
      </c>
      <c r="W6968" s="33">
        <v>6.1</v>
      </c>
      <c r="X6968" s="33">
        <v>8</v>
      </c>
      <c r="Y6968" s="33">
        <v>2</v>
      </c>
      <c r="Z6968" s="33">
        <v>2.6</v>
      </c>
      <c r="AA6968" s="33">
        <v>2</v>
      </c>
      <c r="AC6968" s="38">
        <v>0</v>
      </c>
      <c r="AD6968" s="38">
        <v>0</v>
      </c>
    </row>
    <row r="6969" spans="1:30" x14ac:dyDescent="0.25">
      <c r="A6969" s="22">
        <v>45320</v>
      </c>
      <c r="B6969" s="33">
        <v>3</v>
      </c>
      <c r="C6969" s="33">
        <v>2.4</v>
      </c>
      <c r="D6969" s="33">
        <v>3.6</v>
      </c>
      <c r="E6969" s="33">
        <v>1.9</v>
      </c>
      <c r="F6969" s="33">
        <v>0.4</v>
      </c>
      <c r="G6969" s="33">
        <v>5</v>
      </c>
      <c r="H6969" s="33">
        <v>3.3</v>
      </c>
      <c r="I6969" s="33">
        <v>3.4</v>
      </c>
      <c r="J6969" s="33">
        <v>2.8</v>
      </c>
      <c r="K6969" s="33">
        <v>3</v>
      </c>
      <c r="L6969" s="33">
        <v>2.8</v>
      </c>
      <c r="M6969" s="33">
        <v>5.2</v>
      </c>
      <c r="N6969" s="33">
        <v>0.2</v>
      </c>
      <c r="O6969" s="33"/>
      <c r="P6969" s="33">
        <v>1</v>
      </c>
      <c r="Q6969" s="33">
        <v>6.5</v>
      </c>
      <c r="R6969" s="33">
        <v>2</v>
      </c>
      <c r="S6969" s="33"/>
      <c r="T6969" s="33"/>
      <c r="U6969" s="33">
        <v>15</v>
      </c>
      <c r="V6969" s="33">
        <v>3.2</v>
      </c>
      <c r="W6969" s="33">
        <v>6.1</v>
      </c>
      <c r="X6969" s="33">
        <v>1</v>
      </c>
      <c r="Y6969" s="33">
        <v>0</v>
      </c>
      <c r="Z6969" s="33">
        <v>8</v>
      </c>
      <c r="AA6969" s="33">
        <v>0</v>
      </c>
      <c r="AC6969" s="38">
        <v>0</v>
      </c>
      <c r="AD6969" s="38">
        <v>0</v>
      </c>
    </row>
    <row r="6970" spans="1:30" x14ac:dyDescent="0.25">
      <c r="A6970" s="22">
        <v>45321</v>
      </c>
      <c r="B6970" s="33">
        <v>0</v>
      </c>
      <c r="C6970" s="33">
        <v>0</v>
      </c>
      <c r="D6970" s="33">
        <v>0</v>
      </c>
      <c r="E6970" s="33">
        <v>0</v>
      </c>
      <c r="F6970" s="33">
        <v>0</v>
      </c>
      <c r="G6970" s="33">
        <v>2</v>
      </c>
      <c r="H6970" s="33">
        <v>0</v>
      </c>
      <c r="I6970" s="33">
        <v>0.2</v>
      </c>
      <c r="J6970" s="33">
        <v>0</v>
      </c>
      <c r="K6970" s="33">
        <v>2.4</v>
      </c>
      <c r="L6970" s="33">
        <v>0</v>
      </c>
      <c r="M6970" s="33">
        <v>0</v>
      </c>
      <c r="N6970" s="33">
        <v>3.0000000000000009</v>
      </c>
      <c r="O6970" s="33"/>
      <c r="P6970" s="33">
        <v>0</v>
      </c>
      <c r="Q6970" s="33">
        <v>0</v>
      </c>
      <c r="R6970" s="33">
        <v>0</v>
      </c>
      <c r="S6970" s="33"/>
      <c r="T6970" s="33"/>
      <c r="U6970" s="33">
        <v>5</v>
      </c>
      <c r="V6970" s="33">
        <v>0</v>
      </c>
      <c r="W6970" s="33">
        <v>0</v>
      </c>
      <c r="X6970" s="33">
        <v>0</v>
      </c>
      <c r="Y6970" s="33">
        <v>0</v>
      </c>
      <c r="Z6970" s="33">
        <v>0</v>
      </c>
      <c r="AA6970" s="33">
        <v>0</v>
      </c>
      <c r="AC6970" s="38">
        <v>0</v>
      </c>
      <c r="AD6970" s="38">
        <v>0</v>
      </c>
    </row>
    <row r="6971" spans="1:30" x14ac:dyDescent="0.25">
      <c r="A6971" s="22">
        <v>45322</v>
      </c>
      <c r="B6971" s="33">
        <v>12</v>
      </c>
      <c r="C6971" s="33">
        <v>0</v>
      </c>
      <c r="D6971" s="33">
        <v>0</v>
      </c>
      <c r="E6971" s="33">
        <v>0</v>
      </c>
      <c r="F6971" s="33">
        <v>0</v>
      </c>
      <c r="G6971" s="33">
        <v>0</v>
      </c>
      <c r="H6971" s="33">
        <v>0</v>
      </c>
      <c r="I6971" s="33">
        <v>0.1</v>
      </c>
      <c r="J6971" s="33">
        <v>0</v>
      </c>
      <c r="K6971" s="33">
        <v>2.4</v>
      </c>
      <c r="L6971" s="33">
        <v>0</v>
      </c>
      <c r="M6971" s="33">
        <v>0</v>
      </c>
      <c r="N6971" s="33">
        <v>15.799999999999999</v>
      </c>
      <c r="O6971" s="33"/>
      <c r="P6971" s="33"/>
      <c r="Q6971" s="33">
        <v>0</v>
      </c>
      <c r="R6971" s="33">
        <v>0</v>
      </c>
      <c r="S6971" s="33"/>
      <c r="T6971" s="33"/>
      <c r="U6971" s="33">
        <v>0</v>
      </c>
      <c r="V6971" s="33">
        <v>0</v>
      </c>
      <c r="W6971" s="33">
        <v>0</v>
      </c>
      <c r="X6971" s="33">
        <v>0</v>
      </c>
      <c r="Y6971" s="33">
        <v>0</v>
      </c>
      <c r="Z6971" s="33">
        <v>0</v>
      </c>
      <c r="AA6971" s="33">
        <v>0</v>
      </c>
      <c r="AC6971" s="38">
        <v>0</v>
      </c>
      <c r="AD6971" s="38">
        <v>0</v>
      </c>
    </row>
    <row r="6972" spans="1:30" x14ac:dyDescent="0.25">
      <c r="A6972" s="22">
        <v>45323</v>
      </c>
      <c r="B6972" s="33">
        <v>0</v>
      </c>
      <c r="C6972" s="33">
        <v>0</v>
      </c>
      <c r="D6972" s="33">
        <v>0</v>
      </c>
      <c r="E6972" s="33">
        <v>0</v>
      </c>
      <c r="F6972" s="33">
        <v>0</v>
      </c>
      <c r="G6972" s="33">
        <v>0</v>
      </c>
      <c r="H6972" s="33">
        <v>0</v>
      </c>
      <c r="I6972" s="33">
        <v>0.1</v>
      </c>
      <c r="J6972" s="33">
        <v>1</v>
      </c>
      <c r="K6972" s="33">
        <v>0</v>
      </c>
      <c r="L6972" s="33">
        <v>0</v>
      </c>
      <c r="M6972" s="33">
        <v>0</v>
      </c>
      <c r="N6972" s="33">
        <v>0</v>
      </c>
      <c r="O6972" s="33"/>
      <c r="P6972" s="33">
        <v>0</v>
      </c>
      <c r="Q6972" s="33">
        <v>0</v>
      </c>
      <c r="R6972" s="33">
        <v>0</v>
      </c>
      <c r="S6972" s="33"/>
      <c r="T6972" s="33"/>
      <c r="U6972" s="33">
        <v>0</v>
      </c>
      <c r="V6972" s="33">
        <v>0</v>
      </c>
      <c r="W6972" s="33">
        <v>0</v>
      </c>
      <c r="X6972" s="33">
        <v>0</v>
      </c>
      <c r="Y6972" s="33">
        <v>0</v>
      </c>
      <c r="Z6972" s="33">
        <v>0</v>
      </c>
      <c r="AA6972" s="33">
        <v>0</v>
      </c>
      <c r="AC6972" s="38">
        <v>0</v>
      </c>
      <c r="AD6972" s="38">
        <v>0</v>
      </c>
    </row>
    <row r="6973" spans="1:30" x14ac:dyDescent="0.25">
      <c r="A6973" s="22">
        <v>45324</v>
      </c>
      <c r="B6973" s="33">
        <v>0</v>
      </c>
      <c r="C6973" s="33">
        <v>0</v>
      </c>
      <c r="D6973" s="33">
        <v>0</v>
      </c>
      <c r="E6973" s="33">
        <v>0</v>
      </c>
      <c r="F6973" s="33">
        <v>1.4</v>
      </c>
      <c r="G6973" s="33">
        <v>1</v>
      </c>
      <c r="H6973" s="33">
        <v>0.2</v>
      </c>
      <c r="I6973" s="33">
        <v>1.4</v>
      </c>
      <c r="J6973" s="33">
        <v>0</v>
      </c>
      <c r="K6973" s="33">
        <v>0</v>
      </c>
      <c r="L6973" s="33">
        <v>0</v>
      </c>
      <c r="M6973" s="33">
        <v>1.2</v>
      </c>
      <c r="N6973" s="33">
        <v>0</v>
      </c>
      <c r="O6973" s="33"/>
      <c r="P6973" s="33">
        <v>0</v>
      </c>
      <c r="Q6973" s="33">
        <v>0</v>
      </c>
      <c r="R6973" s="33">
        <v>0</v>
      </c>
      <c r="S6973" s="33"/>
      <c r="T6973" s="33"/>
      <c r="U6973" s="33">
        <v>0</v>
      </c>
      <c r="V6973" s="33">
        <v>0</v>
      </c>
      <c r="W6973" s="33">
        <v>0</v>
      </c>
      <c r="X6973" s="33">
        <v>0</v>
      </c>
      <c r="Y6973" s="33">
        <v>0</v>
      </c>
      <c r="Z6973" s="33">
        <v>0</v>
      </c>
      <c r="AA6973" s="33">
        <v>0</v>
      </c>
      <c r="AC6973" s="38">
        <v>0</v>
      </c>
      <c r="AD6973" s="38">
        <v>0</v>
      </c>
    </row>
    <row r="6974" spans="1:30" x14ac:dyDescent="0.25">
      <c r="A6974" s="22">
        <v>45325</v>
      </c>
      <c r="B6974" s="33">
        <v>0</v>
      </c>
      <c r="C6974" s="33">
        <v>0</v>
      </c>
      <c r="D6974" s="33">
        <v>0</v>
      </c>
      <c r="E6974" s="33">
        <v>0</v>
      </c>
      <c r="F6974" s="33">
        <v>0</v>
      </c>
      <c r="G6974" s="33">
        <v>0</v>
      </c>
      <c r="H6974" s="33">
        <v>0</v>
      </c>
      <c r="I6974" s="33">
        <v>0</v>
      </c>
      <c r="J6974" s="33">
        <v>0</v>
      </c>
      <c r="K6974" s="33">
        <v>0</v>
      </c>
      <c r="L6974" s="33">
        <v>0</v>
      </c>
      <c r="M6974" s="33">
        <v>0</v>
      </c>
      <c r="N6974" s="33">
        <v>0</v>
      </c>
      <c r="O6974" s="33"/>
      <c r="P6974" s="33">
        <v>0</v>
      </c>
      <c r="Q6974" s="33">
        <v>0</v>
      </c>
      <c r="R6974" s="33">
        <v>0</v>
      </c>
      <c r="S6974" s="33"/>
      <c r="T6974" s="33"/>
      <c r="U6974" s="33">
        <v>0</v>
      </c>
      <c r="V6974" s="33">
        <v>0</v>
      </c>
      <c r="W6974" s="33">
        <v>0</v>
      </c>
      <c r="X6974" s="33">
        <v>0</v>
      </c>
      <c r="Y6974" s="33">
        <v>0</v>
      </c>
      <c r="Z6974" s="33">
        <v>0</v>
      </c>
      <c r="AA6974" s="33">
        <v>0</v>
      </c>
      <c r="AC6974" s="38">
        <v>0</v>
      </c>
      <c r="AD6974" s="38">
        <v>0</v>
      </c>
    </row>
    <row r="6975" spans="1:30" x14ac:dyDescent="0.25">
      <c r="A6975" s="22">
        <v>45326</v>
      </c>
      <c r="B6975" s="33">
        <v>0</v>
      </c>
      <c r="C6975" s="33">
        <v>0</v>
      </c>
      <c r="D6975" s="33">
        <v>0</v>
      </c>
      <c r="E6975" s="33">
        <v>0</v>
      </c>
      <c r="F6975" s="33">
        <v>0</v>
      </c>
      <c r="G6975" s="33">
        <v>0</v>
      </c>
      <c r="H6975" s="33">
        <v>0</v>
      </c>
      <c r="I6975" s="33">
        <v>0.2</v>
      </c>
      <c r="J6975" s="33">
        <v>0</v>
      </c>
      <c r="K6975" s="33">
        <v>0</v>
      </c>
      <c r="L6975" s="33">
        <v>0</v>
      </c>
      <c r="M6975" s="33">
        <v>0</v>
      </c>
      <c r="N6975" s="33">
        <v>0</v>
      </c>
      <c r="O6975" s="33"/>
      <c r="P6975" s="33">
        <v>0</v>
      </c>
      <c r="Q6975" s="33">
        <v>0</v>
      </c>
      <c r="R6975" s="33">
        <v>0</v>
      </c>
      <c r="S6975" s="33"/>
      <c r="T6975" s="33"/>
      <c r="U6975" s="33">
        <v>0</v>
      </c>
      <c r="V6975" s="33">
        <v>0</v>
      </c>
      <c r="W6975" s="33">
        <v>0</v>
      </c>
      <c r="X6975" s="33">
        <v>0</v>
      </c>
      <c r="Y6975" s="33">
        <v>0</v>
      </c>
      <c r="Z6975" s="33">
        <v>0</v>
      </c>
      <c r="AA6975" s="33">
        <v>0</v>
      </c>
      <c r="AC6975" s="38">
        <v>0</v>
      </c>
      <c r="AD6975" s="38">
        <v>0</v>
      </c>
    </row>
    <row r="6976" spans="1:30" x14ac:dyDescent="0.25">
      <c r="A6976" s="22">
        <v>45327</v>
      </c>
      <c r="B6976" s="33">
        <v>0</v>
      </c>
      <c r="C6976" s="33">
        <v>0</v>
      </c>
      <c r="D6976" s="33">
        <v>0</v>
      </c>
      <c r="E6976" s="33">
        <v>0</v>
      </c>
      <c r="F6976" s="33">
        <v>0</v>
      </c>
      <c r="G6976" s="33">
        <v>0</v>
      </c>
      <c r="H6976" s="33">
        <v>0</v>
      </c>
      <c r="I6976" s="33">
        <v>0</v>
      </c>
      <c r="J6976" s="33">
        <v>0</v>
      </c>
      <c r="K6976" s="33">
        <v>0</v>
      </c>
      <c r="L6976" s="33">
        <v>0</v>
      </c>
      <c r="M6976" s="33">
        <v>0</v>
      </c>
      <c r="N6976" s="33">
        <v>0</v>
      </c>
      <c r="O6976" s="33"/>
      <c r="P6976" s="33">
        <v>0</v>
      </c>
      <c r="Q6976" s="33">
        <v>0</v>
      </c>
      <c r="R6976" s="33">
        <v>0</v>
      </c>
      <c r="S6976" s="33"/>
      <c r="T6976" s="33"/>
      <c r="U6976" s="33">
        <v>0</v>
      </c>
      <c r="V6976" s="33">
        <v>0</v>
      </c>
      <c r="W6976" s="33">
        <v>0</v>
      </c>
      <c r="X6976" s="33">
        <v>0</v>
      </c>
      <c r="Y6976" s="33">
        <v>0</v>
      </c>
      <c r="Z6976" s="33">
        <v>0</v>
      </c>
      <c r="AA6976" s="33">
        <v>0</v>
      </c>
      <c r="AC6976" s="38">
        <v>0</v>
      </c>
      <c r="AD6976" s="38">
        <v>0</v>
      </c>
    </row>
    <row r="6977" spans="1:30" x14ac:dyDescent="0.25">
      <c r="A6977" s="22">
        <v>45328</v>
      </c>
      <c r="B6977" s="33">
        <v>0</v>
      </c>
      <c r="C6977" s="33">
        <v>0</v>
      </c>
      <c r="D6977" s="33">
        <v>0</v>
      </c>
      <c r="E6977" s="33">
        <v>0</v>
      </c>
      <c r="F6977" s="33">
        <v>0</v>
      </c>
      <c r="G6977" s="33">
        <v>0</v>
      </c>
      <c r="H6977" s="33">
        <v>0</v>
      </c>
      <c r="I6977" s="33">
        <v>0</v>
      </c>
      <c r="J6977" s="33">
        <v>0</v>
      </c>
      <c r="K6977" s="33">
        <v>0</v>
      </c>
      <c r="L6977" s="33">
        <v>0</v>
      </c>
      <c r="M6977" s="33">
        <v>0.3</v>
      </c>
      <c r="N6977" s="33">
        <v>0</v>
      </c>
      <c r="O6977" s="33"/>
      <c r="P6977" s="33">
        <v>0</v>
      </c>
      <c r="Q6977" s="33">
        <v>0</v>
      </c>
      <c r="R6977" s="33">
        <v>0</v>
      </c>
      <c r="S6977" s="33"/>
      <c r="T6977" s="33"/>
      <c r="U6977" s="33">
        <v>0</v>
      </c>
      <c r="V6977" s="33">
        <v>0</v>
      </c>
      <c r="W6977" s="33">
        <v>0</v>
      </c>
      <c r="X6977" s="33">
        <v>0</v>
      </c>
      <c r="Y6977" s="33">
        <v>0</v>
      </c>
      <c r="Z6977" s="33">
        <v>0</v>
      </c>
      <c r="AA6977" s="33">
        <v>0</v>
      </c>
      <c r="AC6977" s="38">
        <v>0</v>
      </c>
      <c r="AD6977" s="38">
        <v>0</v>
      </c>
    </row>
    <row r="6978" spans="1:30" x14ac:dyDescent="0.25">
      <c r="A6978" s="22">
        <v>45329</v>
      </c>
      <c r="B6978" s="33">
        <v>2</v>
      </c>
      <c r="C6978" s="33">
        <v>0</v>
      </c>
      <c r="D6978" s="33">
        <v>0</v>
      </c>
      <c r="E6978" s="33">
        <v>0</v>
      </c>
      <c r="F6978" s="33">
        <v>0</v>
      </c>
      <c r="G6978" s="33">
        <v>0</v>
      </c>
      <c r="H6978" s="33">
        <v>0</v>
      </c>
      <c r="I6978" s="33">
        <v>0.1</v>
      </c>
      <c r="J6978" s="33">
        <v>0</v>
      </c>
      <c r="K6978" s="33">
        <v>0</v>
      </c>
      <c r="L6978" s="33">
        <v>3.81</v>
      </c>
      <c r="M6978" s="33">
        <v>0</v>
      </c>
      <c r="N6978" s="33">
        <v>0</v>
      </c>
      <c r="O6978" s="33"/>
      <c r="P6978" s="33">
        <v>1</v>
      </c>
      <c r="Q6978" s="33">
        <v>4</v>
      </c>
      <c r="R6978" s="33">
        <v>0</v>
      </c>
      <c r="S6978" s="33"/>
      <c r="T6978" s="33"/>
      <c r="U6978" s="33">
        <v>0</v>
      </c>
      <c r="V6978" s="33">
        <v>0</v>
      </c>
      <c r="W6978" s="33">
        <v>0</v>
      </c>
      <c r="X6978" s="33">
        <v>0</v>
      </c>
      <c r="Y6978" s="33">
        <v>0</v>
      </c>
      <c r="Z6978" s="33">
        <v>0</v>
      </c>
      <c r="AA6978" s="33">
        <v>0</v>
      </c>
      <c r="AC6978" s="38">
        <v>0</v>
      </c>
      <c r="AD6978" s="38">
        <v>0</v>
      </c>
    </row>
    <row r="6979" spans="1:30" x14ac:dyDescent="0.25">
      <c r="A6979" s="22">
        <v>45330</v>
      </c>
      <c r="B6979" s="33">
        <v>1.5</v>
      </c>
      <c r="C6979" s="33">
        <v>0</v>
      </c>
      <c r="D6979" s="33">
        <v>0</v>
      </c>
      <c r="E6979" s="33">
        <v>0</v>
      </c>
      <c r="F6979" s="33">
        <v>0</v>
      </c>
      <c r="G6979" s="33">
        <v>0</v>
      </c>
      <c r="H6979" s="33">
        <v>0</v>
      </c>
      <c r="I6979" s="33">
        <v>0</v>
      </c>
      <c r="J6979" s="33">
        <v>0</v>
      </c>
      <c r="K6979" s="33">
        <v>0</v>
      </c>
      <c r="L6979" s="33">
        <v>0</v>
      </c>
      <c r="M6979" s="33">
        <v>0</v>
      </c>
      <c r="N6979" s="33">
        <v>0</v>
      </c>
      <c r="O6979" s="33"/>
      <c r="P6979" s="33">
        <v>0</v>
      </c>
      <c r="Q6979" s="33">
        <v>2.4</v>
      </c>
      <c r="R6979" s="33">
        <v>0</v>
      </c>
      <c r="S6979" s="33"/>
      <c r="T6979" s="33"/>
      <c r="U6979" s="33">
        <v>3</v>
      </c>
      <c r="V6979" s="33">
        <v>0</v>
      </c>
      <c r="W6979" s="33">
        <v>0</v>
      </c>
      <c r="X6979" s="33">
        <v>0</v>
      </c>
      <c r="Y6979" s="33">
        <v>0</v>
      </c>
      <c r="Z6979" s="33">
        <v>0</v>
      </c>
      <c r="AA6979" s="33">
        <v>0</v>
      </c>
      <c r="AC6979" s="38">
        <v>0</v>
      </c>
      <c r="AD6979" s="38">
        <v>0</v>
      </c>
    </row>
    <row r="6980" spans="1:30" x14ac:dyDescent="0.25">
      <c r="A6980" s="22">
        <v>45331</v>
      </c>
      <c r="B6980" s="33">
        <v>0</v>
      </c>
      <c r="C6980" s="33">
        <v>0</v>
      </c>
      <c r="D6980" s="33">
        <v>0</v>
      </c>
      <c r="E6980" s="33">
        <v>0</v>
      </c>
      <c r="F6980" s="33">
        <v>0</v>
      </c>
      <c r="G6980" s="33">
        <v>0</v>
      </c>
      <c r="H6980" s="33">
        <v>0</v>
      </c>
      <c r="I6980" s="33">
        <v>0</v>
      </c>
      <c r="J6980" s="33">
        <v>0</v>
      </c>
      <c r="K6980" s="33">
        <v>0</v>
      </c>
      <c r="L6980" s="33">
        <v>0</v>
      </c>
      <c r="M6980" s="33">
        <v>0</v>
      </c>
      <c r="N6980" s="33">
        <v>0</v>
      </c>
      <c r="O6980" s="33"/>
      <c r="P6980" s="33">
        <v>0</v>
      </c>
      <c r="Q6980" s="33">
        <v>0</v>
      </c>
      <c r="R6980" s="33">
        <v>0</v>
      </c>
      <c r="S6980" s="33"/>
      <c r="T6980" s="33"/>
      <c r="U6980" s="33">
        <v>0</v>
      </c>
      <c r="V6980" s="33">
        <v>0</v>
      </c>
      <c r="W6980" s="33">
        <v>0</v>
      </c>
      <c r="X6980" s="33">
        <v>2</v>
      </c>
      <c r="Y6980" s="33">
        <v>0</v>
      </c>
      <c r="Z6980" s="33">
        <v>0</v>
      </c>
      <c r="AA6980" s="33">
        <v>0</v>
      </c>
      <c r="AC6980" s="38">
        <v>0</v>
      </c>
      <c r="AD6980" s="38">
        <v>0</v>
      </c>
    </row>
    <row r="6981" spans="1:30" x14ac:dyDescent="0.25">
      <c r="A6981" s="22">
        <v>45332</v>
      </c>
      <c r="B6981" s="33">
        <v>0</v>
      </c>
      <c r="C6981" s="33">
        <v>0</v>
      </c>
      <c r="D6981" s="33">
        <v>0</v>
      </c>
      <c r="E6981" s="33">
        <v>0</v>
      </c>
      <c r="F6981" s="33">
        <v>0</v>
      </c>
      <c r="G6981" s="33">
        <v>0</v>
      </c>
      <c r="H6981" s="33">
        <v>0</v>
      </c>
      <c r="I6981" s="33">
        <v>0</v>
      </c>
      <c r="J6981" s="33">
        <v>0</v>
      </c>
      <c r="K6981" s="33">
        <v>0</v>
      </c>
      <c r="L6981" s="33">
        <v>0</v>
      </c>
      <c r="M6981" s="33">
        <v>0</v>
      </c>
      <c r="N6981" s="33">
        <v>0</v>
      </c>
      <c r="O6981" s="33"/>
      <c r="P6981" s="33">
        <v>0</v>
      </c>
      <c r="Q6981" s="33">
        <v>0</v>
      </c>
      <c r="R6981" s="33">
        <v>0</v>
      </c>
      <c r="S6981" s="33"/>
      <c r="T6981" s="33"/>
      <c r="U6981" s="33">
        <v>0</v>
      </c>
      <c r="V6981" s="33">
        <v>0</v>
      </c>
      <c r="W6981" s="33">
        <v>0</v>
      </c>
      <c r="X6981" s="33">
        <v>0</v>
      </c>
      <c r="Y6981" s="33">
        <v>0</v>
      </c>
      <c r="Z6981" s="33">
        <v>0</v>
      </c>
      <c r="AA6981" s="33">
        <v>0</v>
      </c>
      <c r="AC6981" s="38">
        <v>0</v>
      </c>
      <c r="AD6981" s="38">
        <v>0</v>
      </c>
    </row>
    <row r="6982" spans="1:30" x14ac:dyDescent="0.25">
      <c r="A6982" s="22">
        <v>45333</v>
      </c>
      <c r="B6982" s="33">
        <v>0</v>
      </c>
      <c r="C6982" s="33">
        <v>0</v>
      </c>
      <c r="D6982" s="33">
        <v>0</v>
      </c>
      <c r="E6982" s="33">
        <v>0</v>
      </c>
      <c r="F6982" s="33">
        <v>0</v>
      </c>
      <c r="G6982" s="33">
        <v>0</v>
      </c>
      <c r="H6982" s="33">
        <v>0</v>
      </c>
      <c r="I6982" s="33">
        <v>0</v>
      </c>
      <c r="J6982" s="33">
        <v>0</v>
      </c>
      <c r="K6982" s="33">
        <v>0</v>
      </c>
      <c r="L6982" s="33">
        <v>0</v>
      </c>
      <c r="M6982" s="33">
        <v>0</v>
      </c>
      <c r="N6982" s="33">
        <v>0</v>
      </c>
      <c r="O6982" s="33"/>
      <c r="P6982" s="33">
        <v>0</v>
      </c>
      <c r="Q6982" s="33">
        <v>0</v>
      </c>
      <c r="R6982" s="33">
        <v>0</v>
      </c>
      <c r="S6982" s="33"/>
      <c r="T6982" s="33"/>
      <c r="U6982" s="33">
        <v>0</v>
      </c>
      <c r="V6982" s="33">
        <v>0</v>
      </c>
      <c r="W6982" s="33">
        <v>0</v>
      </c>
      <c r="X6982" s="33">
        <v>0</v>
      </c>
      <c r="Y6982" s="33">
        <v>0</v>
      </c>
      <c r="Z6982" s="33">
        <v>0</v>
      </c>
      <c r="AA6982" s="33">
        <v>0</v>
      </c>
      <c r="AC6982" s="38">
        <v>0</v>
      </c>
      <c r="AD6982" s="38">
        <v>0</v>
      </c>
    </row>
    <row r="6983" spans="1:30" x14ac:dyDescent="0.25">
      <c r="A6983" s="22">
        <v>45334</v>
      </c>
      <c r="B6983" s="33">
        <v>0</v>
      </c>
      <c r="C6983" s="33">
        <v>1.2</v>
      </c>
      <c r="D6983" s="33">
        <v>1.2</v>
      </c>
      <c r="E6983" s="33">
        <v>0</v>
      </c>
      <c r="F6983" s="33">
        <v>0</v>
      </c>
      <c r="G6983" s="33">
        <v>0</v>
      </c>
      <c r="H6983" s="33">
        <v>0</v>
      </c>
      <c r="I6983" s="33">
        <v>0</v>
      </c>
      <c r="J6983" s="33">
        <v>1.6</v>
      </c>
      <c r="K6983" s="33">
        <v>0</v>
      </c>
      <c r="L6983" s="33">
        <v>0</v>
      </c>
      <c r="M6983" s="33">
        <v>0</v>
      </c>
      <c r="N6983" s="33">
        <v>0.8</v>
      </c>
      <c r="O6983" s="33"/>
      <c r="P6983" s="33">
        <v>0</v>
      </c>
      <c r="Q6983" s="33">
        <v>0</v>
      </c>
      <c r="R6983" s="33">
        <v>0</v>
      </c>
      <c r="S6983" s="33"/>
      <c r="T6983" s="33"/>
      <c r="U6983" s="33">
        <v>0</v>
      </c>
      <c r="V6983" s="33">
        <v>0</v>
      </c>
      <c r="W6983" s="33">
        <v>0</v>
      </c>
      <c r="X6983" s="33">
        <v>0</v>
      </c>
      <c r="Y6983" s="33">
        <v>0</v>
      </c>
      <c r="Z6983" s="33">
        <v>0</v>
      </c>
      <c r="AA6983" s="33">
        <v>2</v>
      </c>
      <c r="AC6983" s="38">
        <v>0</v>
      </c>
      <c r="AD6983" s="38">
        <v>0.2</v>
      </c>
    </row>
    <row r="6984" spans="1:30" x14ac:dyDescent="0.25">
      <c r="A6984" s="22">
        <v>45335</v>
      </c>
      <c r="B6984" s="33">
        <v>0</v>
      </c>
      <c r="C6984" s="33">
        <v>0</v>
      </c>
      <c r="D6984" s="33">
        <v>0</v>
      </c>
      <c r="E6984" s="33">
        <v>0</v>
      </c>
      <c r="F6984" s="33">
        <v>12</v>
      </c>
      <c r="G6984" s="33">
        <v>8.5</v>
      </c>
      <c r="H6984" s="33">
        <v>3</v>
      </c>
      <c r="I6984" s="33">
        <v>9.9</v>
      </c>
      <c r="J6984" s="33">
        <v>6.6</v>
      </c>
      <c r="K6984" s="33">
        <v>4</v>
      </c>
      <c r="L6984" s="33">
        <v>0</v>
      </c>
      <c r="M6984" s="33">
        <v>6</v>
      </c>
      <c r="N6984" s="33">
        <v>0.2</v>
      </c>
      <c r="O6984" s="33"/>
      <c r="P6984" s="33">
        <v>0</v>
      </c>
      <c r="Q6984" s="33">
        <v>0</v>
      </c>
      <c r="R6984" s="33">
        <v>0</v>
      </c>
      <c r="S6984" s="33"/>
      <c r="T6984" s="33"/>
      <c r="U6984" s="33">
        <v>0</v>
      </c>
      <c r="V6984" s="33">
        <v>2.2000000000000002</v>
      </c>
      <c r="W6984" s="33">
        <v>0</v>
      </c>
      <c r="X6984" s="33">
        <v>2</v>
      </c>
      <c r="Y6984" s="33">
        <v>0</v>
      </c>
      <c r="Z6984" s="33">
        <v>0</v>
      </c>
      <c r="AA6984" s="33">
        <v>0</v>
      </c>
      <c r="AC6984" s="38">
        <v>0</v>
      </c>
      <c r="AD6984" s="38">
        <v>0</v>
      </c>
    </row>
    <row r="6985" spans="1:30" x14ac:dyDescent="0.25">
      <c r="A6985" s="22">
        <v>45336</v>
      </c>
      <c r="B6985" s="33">
        <v>2.5</v>
      </c>
      <c r="C6985" s="33">
        <v>0</v>
      </c>
      <c r="D6985" s="33">
        <v>1.6</v>
      </c>
      <c r="E6985" s="33">
        <v>0</v>
      </c>
      <c r="F6985" s="33">
        <v>0</v>
      </c>
      <c r="G6985" s="33">
        <v>0</v>
      </c>
      <c r="H6985" s="33">
        <v>0</v>
      </c>
      <c r="I6985" s="33">
        <v>0.1</v>
      </c>
      <c r="J6985" s="33">
        <v>0</v>
      </c>
      <c r="K6985" s="33">
        <v>0</v>
      </c>
      <c r="L6985" s="33">
        <v>0</v>
      </c>
      <c r="M6985" s="33">
        <v>0</v>
      </c>
      <c r="N6985" s="33">
        <v>0</v>
      </c>
      <c r="O6985" s="33"/>
      <c r="P6985" s="33">
        <v>0</v>
      </c>
      <c r="Q6985" s="33">
        <v>0</v>
      </c>
      <c r="R6985" s="33">
        <v>0</v>
      </c>
      <c r="S6985" s="33"/>
      <c r="T6985" s="33"/>
      <c r="U6985" s="33">
        <v>4</v>
      </c>
      <c r="V6985" s="33">
        <v>0</v>
      </c>
      <c r="W6985" s="33">
        <v>0</v>
      </c>
      <c r="X6985" s="33">
        <v>0</v>
      </c>
      <c r="Y6985" s="33">
        <v>0</v>
      </c>
      <c r="Z6985" s="33">
        <v>0</v>
      </c>
      <c r="AA6985" s="33">
        <v>0</v>
      </c>
      <c r="AC6985" s="38">
        <v>0</v>
      </c>
      <c r="AD6985" s="38">
        <v>0</v>
      </c>
    </row>
    <row r="6986" spans="1:30" x14ac:dyDescent="0.25">
      <c r="A6986" s="22">
        <v>45337</v>
      </c>
      <c r="B6986" s="33">
        <v>0</v>
      </c>
      <c r="C6986" s="33">
        <v>0</v>
      </c>
      <c r="D6986" s="33">
        <v>0</v>
      </c>
      <c r="E6986" s="42"/>
      <c r="F6986" s="33">
        <v>0</v>
      </c>
      <c r="G6986" s="33">
        <v>0</v>
      </c>
      <c r="H6986" s="33">
        <v>0</v>
      </c>
      <c r="I6986" s="33">
        <v>0</v>
      </c>
      <c r="J6986" s="33">
        <v>1.8</v>
      </c>
      <c r="K6986" s="33">
        <v>0</v>
      </c>
      <c r="L6986" s="33">
        <v>0</v>
      </c>
      <c r="M6986" s="33">
        <v>0</v>
      </c>
      <c r="N6986" s="33">
        <v>0</v>
      </c>
      <c r="O6986" s="33"/>
      <c r="P6986" s="33">
        <v>0</v>
      </c>
      <c r="Q6986" s="33">
        <v>0</v>
      </c>
      <c r="R6986" s="33">
        <v>0</v>
      </c>
      <c r="S6986" s="33"/>
      <c r="T6986" s="33"/>
      <c r="U6986" s="33">
        <v>0</v>
      </c>
      <c r="V6986" s="33">
        <v>0</v>
      </c>
      <c r="W6986" s="33">
        <v>0</v>
      </c>
      <c r="X6986" s="33">
        <v>2</v>
      </c>
      <c r="Y6986" s="33">
        <v>0</v>
      </c>
      <c r="Z6986" s="33">
        <v>0</v>
      </c>
      <c r="AA6986" s="33">
        <v>0</v>
      </c>
      <c r="AC6986" s="38">
        <v>0</v>
      </c>
      <c r="AD6986" s="38">
        <v>0</v>
      </c>
    </row>
    <row r="6987" spans="1:30" x14ac:dyDescent="0.25">
      <c r="A6987" s="22">
        <v>45338</v>
      </c>
      <c r="B6987" s="33">
        <v>0</v>
      </c>
      <c r="C6987" s="33">
        <v>0</v>
      </c>
      <c r="D6987" s="33">
        <v>0</v>
      </c>
      <c r="E6987" s="33">
        <v>0</v>
      </c>
      <c r="F6987" s="33">
        <v>0</v>
      </c>
      <c r="G6987" s="33">
        <v>0</v>
      </c>
      <c r="H6987" s="33">
        <v>0</v>
      </c>
      <c r="I6987" s="33">
        <v>0</v>
      </c>
      <c r="J6987" s="33">
        <v>0</v>
      </c>
      <c r="K6987" s="33">
        <v>0</v>
      </c>
      <c r="L6987" s="33">
        <v>0</v>
      </c>
      <c r="M6987" s="33">
        <v>0</v>
      </c>
      <c r="N6987" s="33">
        <v>0</v>
      </c>
      <c r="O6987" s="33"/>
      <c r="P6987" s="33">
        <v>0</v>
      </c>
      <c r="Q6987" s="33">
        <v>0</v>
      </c>
      <c r="R6987" s="33">
        <v>0</v>
      </c>
      <c r="S6987" s="33"/>
      <c r="T6987" s="33"/>
      <c r="U6987" s="33">
        <v>0</v>
      </c>
      <c r="V6987" s="33">
        <v>0</v>
      </c>
      <c r="W6987" s="33">
        <v>0</v>
      </c>
      <c r="X6987" s="33">
        <v>0</v>
      </c>
      <c r="Y6987" s="33">
        <v>0</v>
      </c>
      <c r="Z6987" s="33">
        <v>0</v>
      </c>
      <c r="AA6987" s="33">
        <v>0</v>
      </c>
      <c r="AC6987" s="38">
        <v>0</v>
      </c>
      <c r="AD6987" s="38">
        <v>0</v>
      </c>
    </row>
    <row r="6988" spans="1:30" x14ac:dyDescent="0.25">
      <c r="A6988" s="22">
        <v>45339</v>
      </c>
      <c r="B6988" s="33">
        <v>0</v>
      </c>
      <c r="C6988" s="33">
        <v>0</v>
      </c>
      <c r="D6988" s="33">
        <v>0</v>
      </c>
      <c r="E6988" s="33">
        <v>0</v>
      </c>
      <c r="F6988" s="33">
        <v>0</v>
      </c>
      <c r="G6988" s="33">
        <v>0</v>
      </c>
      <c r="H6988" s="33">
        <v>0</v>
      </c>
      <c r="I6988" s="33">
        <v>0.1</v>
      </c>
      <c r="J6988" s="33">
        <v>0</v>
      </c>
      <c r="K6988" s="33">
        <v>0</v>
      </c>
      <c r="L6988" s="33">
        <v>0</v>
      </c>
      <c r="M6988" s="33">
        <v>0</v>
      </c>
      <c r="N6988" s="33">
        <v>0</v>
      </c>
      <c r="O6988" s="33"/>
      <c r="P6988" s="33">
        <v>0</v>
      </c>
      <c r="Q6988" s="33">
        <v>0</v>
      </c>
      <c r="R6988" s="33">
        <v>0</v>
      </c>
      <c r="S6988" s="33"/>
      <c r="T6988" s="33"/>
      <c r="U6988" s="33">
        <v>0</v>
      </c>
      <c r="V6988" s="33">
        <v>0</v>
      </c>
      <c r="W6988" s="33">
        <v>0</v>
      </c>
      <c r="X6988" s="33">
        <v>0</v>
      </c>
      <c r="Y6988" s="33">
        <v>0</v>
      </c>
      <c r="Z6988" s="33">
        <v>0</v>
      </c>
      <c r="AA6988" s="33">
        <v>0</v>
      </c>
      <c r="AC6988" s="38">
        <v>0</v>
      </c>
      <c r="AD6988" s="38">
        <v>0.2</v>
      </c>
    </row>
    <row r="6989" spans="1:30" x14ac:dyDescent="0.25">
      <c r="A6989" s="22">
        <v>45340</v>
      </c>
      <c r="B6989" s="33">
        <v>0</v>
      </c>
      <c r="C6989" s="33">
        <v>0</v>
      </c>
      <c r="D6989" s="33">
        <v>0</v>
      </c>
      <c r="E6989" s="33">
        <v>0</v>
      </c>
      <c r="F6989" s="33">
        <v>0</v>
      </c>
      <c r="G6989" s="33">
        <v>0</v>
      </c>
      <c r="H6989" s="33">
        <v>0</v>
      </c>
      <c r="I6989" s="33">
        <v>0</v>
      </c>
      <c r="J6989" s="33">
        <v>0</v>
      </c>
      <c r="K6989" s="33">
        <v>0</v>
      </c>
      <c r="L6989" s="33">
        <v>0</v>
      </c>
      <c r="M6989" s="33">
        <v>0</v>
      </c>
      <c r="N6989" s="33">
        <v>0</v>
      </c>
      <c r="O6989" s="33"/>
      <c r="P6989" s="33">
        <v>0</v>
      </c>
      <c r="Q6989" s="33">
        <v>0</v>
      </c>
      <c r="R6989" s="33">
        <v>0</v>
      </c>
      <c r="S6989" s="33"/>
      <c r="T6989" s="33"/>
      <c r="U6989" s="33">
        <v>0</v>
      </c>
      <c r="V6989" s="33">
        <v>0</v>
      </c>
      <c r="W6989" s="33">
        <v>0</v>
      </c>
      <c r="X6989" s="33">
        <v>0</v>
      </c>
      <c r="Y6989" s="33">
        <v>0</v>
      </c>
      <c r="Z6989" s="33">
        <v>0</v>
      </c>
      <c r="AA6989" s="33">
        <v>0</v>
      </c>
      <c r="AC6989" s="38">
        <v>0</v>
      </c>
      <c r="AD6989" s="38">
        <v>0</v>
      </c>
    </row>
    <row r="6990" spans="1:30" x14ac:dyDescent="0.25">
      <c r="A6990" s="22">
        <v>45341</v>
      </c>
      <c r="B6990" s="33">
        <v>0</v>
      </c>
      <c r="C6990" s="33">
        <v>0</v>
      </c>
      <c r="D6990" s="33">
        <v>0</v>
      </c>
      <c r="E6990" s="33">
        <v>0</v>
      </c>
      <c r="F6990" s="33">
        <v>0</v>
      </c>
      <c r="G6990" s="33">
        <v>1</v>
      </c>
      <c r="H6990" s="33">
        <v>0.5</v>
      </c>
      <c r="I6990" s="33">
        <v>2</v>
      </c>
      <c r="J6990" s="33">
        <v>3</v>
      </c>
      <c r="K6990" s="33">
        <v>0</v>
      </c>
      <c r="L6990" s="33">
        <v>0</v>
      </c>
      <c r="M6990" s="33">
        <v>2.4</v>
      </c>
      <c r="N6990" s="33">
        <v>1.2</v>
      </c>
      <c r="O6990" s="33"/>
      <c r="P6990" s="33">
        <v>0</v>
      </c>
      <c r="Q6990" s="33">
        <v>0</v>
      </c>
      <c r="R6990" s="33">
        <v>0</v>
      </c>
      <c r="S6990" s="33"/>
      <c r="T6990" s="33"/>
      <c r="U6990" s="33">
        <v>0</v>
      </c>
      <c r="V6990" s="33">
        <v>0</v>
      </c>
      <c r="W6990" s="33">
        <v>0</v>
      </c>
      <c r="X6990" s="33">
        <v>0</v>
      </c>
      <c r="Y6990" s="33">
        <v>0</v>
      </c>
      <c r="Z6990" s="33">
        <v>0</v>
      </c>
      <c r="AA6990" s="33">
        <v>0</v>
      </c>
      <c r="AC6990" s="38">
        <v>0</v>
      </c>
      <c r="AD6990" s="38">
        <v>0</v>
      </c>
    </row>
    <row r="6991" spans="1:30" x14ac:dyDescent="0.25">
      <c r="A6991" s="22">
        <v>45342</v>
      </c>
      <c r="B6991" s="33">
        <v>7</v>
      </c>
      <c r="C6991" s="33">
        <v>4.8</v>
      </c>
      <c r="D6991" s="33">
        <v>5.8</v>
      </c>
      <c r="E6991" s="33">
        <v>18</v>
      </c>
      <c r="F6991" s="33">
        <v>11</v>
      </c>
      <c r="G6991" s="33">
        <v>10.5</v>
      </c>
      <c r="H6991" s="33">
        <v>14</v>
      </c>
      <c r="I6991" s="33">
        <v>5</v>
      </c>
      <c r="J6991" s="33">
        <v>8</v>
      </c>
      <c r="K6991" s="33">
        <v>10</v>
      </c>
      <c r="L6991" s="33">
        <v>9.4</v>
      </c>
      <c r="M6991" s="33">
        <v>14.4</v>
      </c>
      <c r="N6991" s="33">
        <v>9.6</v>
      </c>
      <c r="O6991" s="33"/>
      <c r="P6991" s="33">
        <v>4</v>
      </c>
      <c r="Q6991" s="33">
        <v>10</v>
      </c>
      <c r="R6991" s="33">
        <v>12</v>
      </c>
      <c r="S6991" s="33"/>
      <c r="T6991" s="33"/>
      <c r="U6991" s="33">
        <v>6</v>
      </c>
      <c r="V6991" s="33">
        <v>4.2</v>
      </c>
      <c r="W6991" s="33">
        <v>6.2</v>
      </c>
      <c r="X6991" s="33">
        <v>2</v>
      </c>
      <c r="Y6991" s="33">
        <v>14</v>
      </c>
      <c r="Z6991" s="33">
        <v>18.2</v>
      </c>
      <c r="AA6991" s="33">
        <v>12</v>
      </c>
      <c r="AC6991" s="38">
        <v>2</v>
      </c>
      <c r="AD6991" s="38">
        <v>0</v>
      </c>
    </row>
    <row r="6992" spans="1:30" x14ac:dyDescent="0.25">
      <c r="A6992" s="22">
        <v>45343</v>
      </c>
      <c r="B6992" s="33">
        <v>0</v>
      </c>
      <c r="C6992" s="33">
        <v>0</v>
      </c>
      <c r="D6992" s="33">
        <v>0</v>
      </c>
      <c r="E6992" s="33">
        <v>0</v>
      </c>
      <c r="F6992" s="33">
        <v>0.2</v>
      </c>
      <c r="G6992" s="33">
        <v>0</v>
      </c>
      <c r="H6992" s="33">
        <v>0</v>
      </c>
      <c r="I6992" s="33">
        <v>4.0999999999999996</v>
      </c>
      <c r="J6992" s="33">
        <v>0</v>
      </c>
      <c r="K6992" s="33">
        <v>0</v>
      </c>
      <c r="L6992" s="33">
        <v>0</v>
      </c>
      <c r="M6992" s="33">
        <v>0</v>
      </c>
      <c r="N6992" s="33">
        <v>6.8</v>
      </c>
      <c r="O6992" s="33"/>
      <c r="P6992" s="33">
        <v>0</v>
      </c>
      <c r="Q6992" s="33">
        <v>0</v>
      </c>
      <c r="R6992" s="33">
        <v>0</v>
      </c>
      <c r="S6992" s="33"/>
      <c r="T6992" s="33"/>
      <c r="U6992" s="33">
        <v>0</v>
      </c>
      <c r="V6992" s="33">
        <v>0</v>
      </c>
      <c r="W6992" s="33">
        <v>0</v>
      </c>
      <c r="X6992" s="33">
        <v>10</v>
      </c>
      <c r="Y6992" s="33">
        <v>0</v>
      </c>
      <c r="Z6992" s="33">
        <v>0</v>
      </c>
      <c r="AA6992" s="33">
        <v>2</v>
      </c>
      <c r="AC6992" s="38">
        <v>2</v>
      </c>
      <c r="AD6992" s="38">
        <v>0</v>
      </c>
    </row>
    <row r="6993" spans="1:30" x14ac:dyDescent="0.25">
      <c r="A6993" s="22">
        <v>45344</v>
      </c>
      <c r="B6993" s="33">
        <v>0</v>
      </c>
      <c r="C6993" s="33">
        <v>0</v>
      </c>
      <c r="D6993" s="33">
        <v>0</v>
      </c>
      <c r="E6993" s="33">
        <v>0</v>
      </c>
      <c r="F6993" s="33">
        <v>1.6</v>
      </c>
      <c r="G6993" s="33">
        <v>2</v>
      </c>
      <c r="H6993" s="33">
        <v>0</v>
      </c>
      <c r="I6993" s="33">
        <v>2.2999999999999998</v>
      </c>
      <c r="J6993" s="33">
        <v>9</v>
      </c>
      <c r="K6993" s="33">
        <v>0</v>
      </c>
      <c r="L6993" s="33">
        <v>0</v>
      </c>
      <c r="M6993" s="33">
        <v>0</v>
      </c>
      <c r="N6993" s="33">
        <v>0.2</v>
      </c>
      <c r="O6993" s="33"/>
      <c r="P6993" s="33">
        <v>0</v>
      </c>
      <c r="Q6993" s="33">
        <v>0</v>
      </c>
      <c r="R6993" s="33">
        <v>0</v>
      </c>
      <c r="S6993" s="33"/>
      <c r="T6993" s="33"/>
      <c r="U6993" s="33">
        <v>0</v>
      </c>
      <c r="V6993" s="33">
        <v>0.2</v>
      </c>
      <c r="W6993" s="33">
        <v>0</v>
      </c>
      <c r="X6993" s="33">
        <v>0</v>
      </c>
      <c r="Y6993" s="33">
        <v>4</v>
      </c>
      <c r="Z6993" s="33">
        <v>4.5</v>
      </c>
      <c r="AA6993" s="33">
        <v>0</v>
      </c>
      <c r="AC6993" s="38">
        <v>0</v>
      </c>
      <c r="AD6993" s="38">
        <v>0</v>
      </c>
    </row>
    <row r="6994" spans="1:30" x14ac:dyDescent="0.25">
      <c r="A6994" s="22">
        <v>45345</v>
      </c>
      <c r="B6994" s="33">
        <v>1.5</v>
      </c>
      <c r="C6994" s="33">
        <v>0</v>
      </c>
      <c r="D6994" s="33">
        <v>0</v>
      </c>
      <c r="E6994" s="33">
        <v>3.2</v>
      </c>
      <c r="F6994" s="33">
        <v>0.4</v>
      </c>
      <c r="G6994" s="33">
        <v>0</v>
      </c>
      <c r="H6994" s="33">
        <v>0</v>
      </c>
      <c r="I6994" s="33">
        <v>0.4</v>
      </c>
      <c r="J6994" s="33">
        <v>9</v>
      </c>
      <c r="K6994" s="33">
        <v>0</v>
      </c>
      <c r="L6994" s="33">
        <v>0</v>
      </c>
      <c r="M6994" s="33">
        <v>2.4</v>
      </c>
      <c r="N6994" s="33">
        <v>0</v>
      </c>
      <c r="O6994" s="33"/>
      <c r="P6994" s="33">
        <v>0</v>
      </c>
      <c r="Q6994" s="33">
        <v>0</v>
      </c>
      <c r="R6994" s="33">
        <v>8</v>
      </c>
      <c r="S6994" s="33"/>
      <c r="T6994" s="33"/>
      <c r="U6994" s="33">
        <v>2</v>
      </c>
      <c r="V6994" s="33">
        <v>0</v>
      </c>
      <c r="W6994" s="33">
        <v>0</v>
      </c>
      <c r="X6994" s="33">
        <v>0</v>
      </c>
      <c r="Y6994" s="33">
        <v>0</v>
      </c>
      <c r="Z6994" s="33">
        <v>0</v>
      </c>
      <c r="AA6994" s="33">
        <v>0</v>
      </c>
      <c r="AC6994" s="38">
        <v>0</v>
      </c>
      <c r="AD6994" s="38">
        <v>0</v>
      </c>
    </row>
    <row r="6995" spans="1:30" x14ac:dyDescent="0.25">
      <c r="A6995" s="22">
        <v>45346</v>
      </c>
      <c r="B6995" s="33">
        <v>0</v>
      </c>
      <c r="C6995" s="33">
        <v>0</v>
      </c>
      <c r="D6995" s="33">
        <v>0</v>
      </c>
      <c r="E6995" s="33">
        <v>3</v>
      </c>
      <c r="F6995" s="33">
        <v>0</v>
      </c>
      <c r="G6995" s="33">
        <v>0</v>
      </c>
      <c r="H6995" s="33">
        <v>0</v>
      </c>
      <c r="I6995" s="33">
        <v>0</v>
      </c>
      <c r="J6995" s="33">
        <v>2</v>
      </c>
      <c r="K6995" s="33">
        <v>0</v>
      </c>
      <c r="L6995" s="33">
        <v>0</v>
      </c>
      <c r="M6995" s="33">
        <v>0</v>
      </c>
      <c r="N6995" s="33">
        <v>1.8</v>
      </c>
      <c r="O6995" s="33"/>
      <c r="P6995" s="33">
        <v>0</v>
      </c>
      <c r="Q6995" s="33">
        <v>0</v>
      </c>
      <c r="R6995" s="33">
        <v>2</v>
      </c>
      <c r="S6995" s="33"/>
      <c r="T6995" s="33"/>
      <c r="U6995" s="33">
        <v>0</v>
      </c>
      <c r="V6995" s="33">
        <v>0</v>
      </c>
      <c r="W6995" s="33">
        <v>0</v>
      </c>
      <c r="X6995" s="33">
        <v>0</v>
      </c>
      <c r="Y6995" s="33">
        <v>0</v>
      </c>
      <c r="Z6995" s="33">
        <v>0</v>
      </c>
      <c r="AA6995" s="33">
        <v>0</v>
      </c>
      <c r="AC6995" s="38">
        <v>0</v>
      </c>
      <c r="AD6995" s="38">
        <v>0</v>
      </c>
    </row>
    <row r="6996" spans="1:30" x14ac:dyDescent="0.25">
      <c r="A6996" s="22">
        <v>45347</v>
      </c>
      <c r="B6996" s="33">
        <v>0</v>
      </c>
      <c r="C6996" s="33">
        <v>0</v>
      </c>
      <c r="D6996" s="33">
        <v>0</v>
      </c>
      <c r="E6996" s="33">
        <v>0</v>
      </c>
      <c r="F6996" s="33">
        <v>0</v>
      </c>
      <c r="G6996" s="33">
        <v>0</v>
      </c>
      <c r="H6996" s="33">
        <v>0</v>
      </c>
      <c r="I6996" s="33">
        <v>0</v>
      </c>
      <c r="J6996" s="33">
        <v>1</v>
      </c>
      <c r="K6996" s="33">
        <v>0</v>
      </c>
      <c r="L6996" s="33">
        <v>0</v>
      </c>
      <c r="M6996" s="33">
        <v>0</v>
      </c>
      <c r="N6996" s="33">
        <v>0</v>
      </c>
      <c r="O6996" s="33"/>
      <c r="P6996" s="33">
        <v>0</v>
      </c>
      <c r="Q6996" s="33">
        <v>0</v>
      </c>
      <c r="R6996" s="33">
        <v>0</v>
      </c>
      <c r="S6996" s="33"/>
      <c r="T6996" s="33"/>
      <c r="U6996" s="33">
        <v>0</v>
      </c>
      <c r="V6996" s="33">
        <v>0</v>
      </c>
      <c r="W6996" s="33">
        <v>0</v>
      </c>
      <c r="X6996" s="33">
        <v>0</v>
      </c>
      <c r="Y6996" s="33">
        <v>0</v>
      </c>
      <c r="Z6996" s="33">
        <v>0</v>
      </c>
      <c r="AA6996" s="33">
        <v>0</v>
      </c>
      <c r="AC6996" s="38">
        <v>0</v>
      </c>
      <c r="AD6996" s="38">
        <v>0</v>
      </c>
    </row>
    <row r="6997" spans="1:30" x14ac:dyDescent="0.25">
      <c r="A6997" s="22">
        <v>45348</v>
      </c>
      <c r="B6997" s="33">
        <v>0</v>
      </c>
      <c r="C6997" s="33">
        <v>0</v>
      </c>
      <c r="D6997" s="33">
        <v>0</v>
      </c>
      <c r="E6997" s="33">
        <v>0</v>
      </c>
      <c r="F6997" s="33">
        <v>0</v>
      </c>
      <c r="G6997" s="33">
        <v>0</v>
      </c>
      <c r="H6997" s="33">
        <v>0</v>
      </c>
      <c r="I6997" s="33">
        <v>0</v>
      </c>
      <c r="J6997" s="33">
        <v>0</v>
      </c>
      <c r="K6997" s="33">
        <v>0</v>
      </c>
      <c r="L6997" s="33">
        <v>0</v>
      </c>
      <c r="M6997" s="33">
        <v>0</v>
      </c>
      <c r="N6997" s="33">
        <v>0</v>
      </c>
      <c r="O6997" s="33"/>
      <c r="P6997" s="33">
        <v>0</v>
      </c>
      <c r="Q6997" s="33">
        <v>0</v>
      </c>
      <c r="R6997" s="33">
        <v>0</v>
      </c>
      <c r="S6997" s="33"/>
      <c r="T6997" s="33"/>
      <c r="U6997" s="33">
        <v>0</v>
      </c>
      <c r="V6997" s="33">
        <v>0</v>
      </c>
      <c r="W6997" s="33">
        <v>0</v>
      </c>
      <c r="X6997" s="33">
        <v>0</v>
      </c>
      <c r="Y6997" s="33">
        <v>0</v>
      </c>
      <c r="Z6997" s="33">
        <v>0</v>
      </c>
      <c r="AA6997" s="33">
        <v>0</v>
      </c>
      <c r="AC6997" s="38">
        <v>0</v>
      </c>
      <c r="AD6997" s="38">
        <v>0</v>
      </c>
    </row>
    <row r="6998" spans="1:30" x14ac:dyDescent="0.25">
      <c r="A6998" s="22">
        <v>45349</v>
      </c>
      <c r="B6998" s="33">
        <v>0</v>
      </c>
      <c r="C6998" s="33">
        <v>0</v>
      </c>
      <c r="D6998" s="33">
        <v>1.4</v>
      </c>
      <c r="E6998" s="33">
        <v>0.8</v>
      </c>
      <c r="F6998" s="33">
        <v>0</v>
      </c>
      <c r="G6998" s="33">
        <v>0</v>
      </c>
      <c r="H6998" s="33">
        <v>0</v>
      </c>
      <c r="I6998" s="33">
        <v>0.1</v>
      </c>
      <c r="J6998" s="33">
        <v>0.6</v>
      </c>
      <c r="K6998" s="33">
        <v>2</v>
      </c>
      <c r="L6998" s="33">
        <v>0</v>
      </c>
      <c r="M6998" s="33">
        <v>0.4</v>
      </c>
      <c r="N6998" s="33">
        <v>1.7999999999999998</v>
      </c>
      <c r="O6998" s="33"/>
      <c r="P6998" s="33">
        <v>2</v>
      </c>
      <c r="Q6998" s="33">
        <v>2</v>
      </c>
      <c r="R6998" s="33">
        <v>0</v>
      </c>
      <c r="S6998" s="33"/>
      <c r="T6998" s="33"/>
      <c r="U6998" s="33">
        <v>3</v>
      </c>
      <c r="V6998" s="33">
        <v>0.2</v>
      </c>
      <c r="W6998" s="33">
        <v>0.2</v>
      </c>
      <c r="X6998" s="33">
        <v>2</v>
      </c>
      <c r="Y6998" s="33">
        <v>1.4</v>
      </c>
      <c r="Z6998" s="33">
        <v>0</v>
      </c>
      <c r="AA6998" s="33">
        <v>0</v>
      </c>
      <c r="AC6998" s="38">
        <v>0</v>
      </c>
      <c r="AD6998" s="38">
        <v>0</v>
      </c>
    </row>
    <row r="6999" spans="1:30" x14ac:dyDescent="0.25">
      <c r="A6999" s="22">
        <v>45350</v>
      </c>
      <c r="B6999" s="33">
        <v>0</v>
      </c>
      <c r="C6999" s="33">
        <v>2.8</v>
      </c>
      <c r="D6999" s="33">
        <v>0</v>
      </c>
      <c r="E6999" s="33">
        <v>7.6000000000000005</v>
      </c>
      <c r="F6999" s="33">
        <v>1.4</v>
      </c>
      <c r="G6999" s="33">
        <v>5.5</v>
      </c>
      <c r="H6999" s="33">
        <v>6</v>
      </c>
      <c r="I6999" s="33">
        <v>4.8</v>
      </c>
      <c r="J6999" s="33">
        <v>8.1</v>
      </c>
      <c r="K6999" s="33">
        <v>7.2</v>
      </c>
      <c r="L6999" s="33">
        <v>2</v>
      </c>
      <c r="M6999" s="33">
        <v>4.8</v>
      </c>
      <c r="N6999" s="33">
        <v>8.7999999999999989</v>
      </c>
      <c r="O6999" s="33"/>
      <c r="P6999" s="33">
        <v>0</v>
      </c>
      <c r="Q6999" s="33">
        <v>0</v>
      </c>
      <c r="R6999" s="33">
        <v>0</v>
      </c>
      <c r="S6999" s="33"/>
      <c r="T6999" s="33"/>
      <c r="U6999" s="33">
        <v>2</v>
      </c>
      <c r="V6999" s="33">
        <v>6.5</v>
      </c>
      <c r="W6999" s="33">
        <v>6.2</v>
      </c>
      <c r="X6999" s="33">
        <v>3</v>
      </c>
      <c r="Y6999" s="33">
        <v>0</v>
      </c>
      <c r="Z6999" s="33">
        <v>6.4</v>
      </c>
      <c r="AA6999" s="33">
        <v>4</v>
      </c>
      <c r="AC6999" s="38">
        <v>0</v>
      </c>
      <c r="AD6999" s="38">
        <v>0</v>
      </c>
    </row>
    <row r="7000" spans="1:30" x14ac:dyDescent="0.25">
      <c r="A7000" s="22">
        <v>45351</v>
      </c>
      <c r="B7000" s="33">
        <v>0</v>
      </c>
      <c r="C7000" s="33">
        <v>2.1</v>
      </c>
      <c r="D7000" s="33">
        <v>4</v>
      </c>
      <c r="E7000" s="33">
        <v>2</v>
      </c>
      <c r="F7000" s="33">
        <v>0</v>
      </c>
      <c r="G7000" s="33">
        <v>2.5</v>
      </c>
      <c r="H7000" s="33">
        <v>0</v>
      </c>
      <c r="I7000" s="33">
        <v>0.8</v>
      </c>
      <c r="J7000" s="33">
        <v>11</v>
      </c>
      <c r="K7000" s="33">
        <v>14.3</v>
      </c>
      <c r="L7000" s="33">
        <v>3</v>
      </c>
      <c r="M7000" s="33">
        <v>2.5</v>
      </c>
      <c r="N7000" s="33">
        <v>10.399999999999999</v>
      </c>
      <c r="O7000" s="33"/>
      <c r="P7000" s="33">
        <v>2</v>
      </c>
      <c r="Q7000" s="33">
        <v>4.4000000000000004</v>
      </c>
      <c r="R7000" s="33">
        <v>0</v>
      </c>
      <c r="S7000" s="33"/>
      <c r="T7000" s="33"/>
      <c r="U7000" s="33">
        <v>8</v>
      </c>
      <c r="V7000" s="33">
        <v>4.2</v>
      </c>
      <c r="W7000" s="33">
        <v>2.1</v>
      </c>
      <c r="X7000" s="33">
        <v>2</v>
      </c>
      <c r="Y7000" s="33">
        <v>0</v>
      </c>
      <c r="Z7000" s="33">
        <v>0</v>
      </c>
      <c r="AA7000" s="33">
        <v>4</v>
      </c>
      <c r="AC7000" s="38">
        <v>2</v>
      </c>
      <c r="AD7000" s="38">
        <v>0</v>
      </c>
    </row>
    <row r="7001" spans="1:30" x14ac:dyDescent="0.25">
      <c r="A7001" s="22">
        <v>45352</v>
      </c>
      <c r="B7001" s="38">
        <v>0</v>
      </c>
      <c r="C7001" s="38">
        <v>0</v>
      </c>
      <c r="D7001" s="38">
        <v>0</v>
      </c>
      <c r="E7001" s="38">
        <v>0</v>
      </c>
      <c r="F7001" s="38">
        <v>0.8</v>
      </c>
      <c r="G7001" s="38">
        <v>0</v>
      </c>
      <c r="H7001" s="38">
        <v>0</v>
      </c>
      <c r="I7001" s="38">
        <v>1.2</v>
      </c>
      <c r="J7001" s="38">
        <v>5</v>
      </c>
      <c r="K7001" s="38">
        <v>1</v>
      </c>
      <c r="L7001" s="38">
        <v>0</v>
      </c>
      <c r="M7001" s="38">
        <v>1</v>
      </c>
      <c r="N7001" s="38">
        <v>0.2</v>
      </c>
      <c r="P7001" s="38">
        <v>6</v>
      </c>
      <c r="Q7001" s="38">
        <v>0</v>
      </c>
      <c r="R7001" s="38">
        <v>0</v>
      </c>
      <c r="S7001" s="38">
        <v>0</v>
      </c>
      <c r="T7001" s="38">
        <v>2</v>
      </c>
      <c r="U7001" s="38">
        <v>4</v>
      </c>
      <c r="V7001" s="38">
        <v>0</v>
      </c>
      <c r="W7001" s="38">
        <v>0</v>
      </c>
      <c r="X7001" s="38">
        <v>0</v>
      </c>
      <c r="Y7001" s="38">
        <v>0</v>
      </c>
      <c r="Z7001" s="38">
        <v>4.2</v>
      </c>
      <c r="AA7001" s="38">
        <v>0</v>
      </c>
      <c r="AC7001" s="38">
        <v>0</v>
      </c>
      <c r="AD7001" s="38">
        <v>0</v>
      </c>
    </row>
    <row r="7002" spans="1:30" x14ac:dyDescent="0.25">
      <c r="A7002" s="22">
        <v>45353</v>
      </c>
      <c r="B7002" s="38">
        <v>0</v>
      </c>
      <c r="C7002" s="38">
        <v>0</v>
      </c>
      <c r="D7002" s="38">
        <v>0</v>
      </c>
      <c r="E7002" s="38">
        <v>1.4</v>
      </c>
      <c r="F7002" s="38">
        <v>0</v>
      </c>
      <c r="G7002" s="38">
        <v>0</v>
      </c>
      <c r="H7002" s="38">
        <v>0</v>
      </c>
      <c r="I7002" s="38">
        <v>0</v>
      </c>
      <c r="J7002" s="38">
        <v>0</v>
      </c>
      <c r="K7002" s="38">
        <v>0</v>
      </c>
      <c r="L7002" s="38">
        <v>0</v>
      </c>
      <c r="M7002" s="38">
        <v>0</v>
      </c>
      <c r="N7002" s="38">
        <v>0.2</v>
      </c>
      <c r="O7002" s="38">
        <v>0</v>
      </c>
      <c r="P7002" s="38">
        <v>0</v>
      </c>
      <c r="Q7002" s="38">
        <v>0</v>
      </c>
      <c r="R7002" s="38">
        <v>0</v>
      </c>
      <c r="S7002" s="38">
        <v>0</v>
      </c>
      <c r="T7002" s="38">
        <v>0</v>
      </c>
      <c r="U7002" s="38">
        <v>0</v>
      </c>
      <c r="V7002" s="38">
        <v>0</v>
      </c>
      <c r="W7002" s="38">
        <v>0</v>
      </c>
      <c r="X7002" s="38">
        <v>0</v>
      </c>
      <c r="Y7002" s="38">
        <v>0</v>
      </c>
      <c r="Z7002" s="38">
        <v>0</v>
      </c>
      <c r="AA7002" s="38">
        <v>0</v>
      </c>
      <c r="AC7002" s="38">
        <v>2.2000000000000002</v>
      </c>
      <c r="AD7002" s="38">
        <v>0</v>
      </c>
    </row>
    <row r="7003" spans="1:30" x14ac:dyDescent="0.25">
      <c r="A7003" s="22">
        <v>45354</v>
      </c>
      <c r="B7003" s="38">
        <v>0</v>
      </c>
      <c r="C7003" s="38">
        <v>2.8</v>
      </c>
      <c r="D7003" s="38">
        <v>0</v>
      </c>
      <c r="E7003" s="38">
        <v>14.199999999999998</v>
      </c>
      <c r="F7003" s="38">
        <v>2</v>
      </c>
      <c r="G7003" s="38">
        <v>0</v>
      </c>
      <c r="H7003" s="38">
        <v>5</v>
      </c>
      <c r="I7003" s="38">
        <v>3.8</v>
      </c>
      <c r="J7003" s="38">
        <v>3</v>
      </c>
      <c r="K7003" s="38">
        <v>4.2</v>
      </c>
      <c r="L7003" s="38">
        <v>8.6</v>
      </c>
      <c r="M7003" s="38">
        <v>6.6</v>
      </c>
      <c r="N7003" s="38">
        <v>11</v>
      </c>
      <c r="P7003" s="38">
        <v>0</v>
      </c>
      <c r="Q7003" s="38">
        <v>9</v>
      </c>
      <c r="R7003" s="38">
        <v>0</v>
      </c>
      <c r="S7003" s="38">
        <v>0</v>
      </c>
      <c r="T7003" s="38">
        <v>0</v>
      </c>
      <c r="V7003" s="38">
        <v>0</v>
      </c>
      <c r="W7003" s="38">
        <v>2.1</v>
      </c>
      <c r="X7003" s="38">
        <v>11</v>
      </c>
      <c r="Y7003" s="38">
        <v>0</v>
      </c>
      <c r="Z7003" s="38">
        <v>0</v>
      </c>
      <c r="AA7003" s="38">
        <v>0</v>
      </c>
      <c r="AC7003" s="38">
        <v>5.8000000000000007</v>
      </c>
      <c r="AD7003" s="38">
        <v>0</v>
      </c>
    </row>
    <row r="7004" spans="1:30" x14ac:dyDescent="0.25">
      <c r="A7004" s="22">
        <v>45355</v>
      </c>
      <c r="B7004" s="38">
        <v>15</v>
      </c>
      <c r="C7004" s="38">
        <v>0</v>
      </c>
      <c r="D7004" s="38">
        <v>0</v>
      </c>
      <c r="E7004" s="38">
        <v>5.4</v>
      </c>
      <c r="F7004" s="38">
        <v>1.1000000000000001</v>
      </c>
      <c r="G7004" s="38">
        <v>6</v>
      </c>
      <c r="H7004" s="38">
        <v>1.5</v>
      </c>
      <c r="I7004" s="38">
        <v>4</v>
      </c>
      <c r="J7004" s="38">
        <v>1.6</v>
      </c>
      <c r="K7004" s="38">
        <v>2</v>
      </c>
      <c r="L7004" s="38">
        <v>1.8</v>
      </c>
      <c r="M7004" s="38">
        <v>0.6</v>
      </c>
      <c r="N7004" s="38">
        <v>12.4</v>
      </c>
      <c r="P7004" s="38">
        <v>4</v>
      </c>
      <c r="Q7004" s="38">
        <v>2.2999999999999998</v>
      </c>
      <c r="R7004" s="38">
        <v>5.6</v>
      </c>
      <c r="S7004" s="38">
        <v>2</v>
      </c>
      <c r="T7004" s="38">
        <v>2</v>
      </c>
      <c r="U7004" s="38">
        <v>6</v>
      </c>
      <c r="V7004" s="38">
        <v>0.2</v>
      </c>
      <c r="W7004" s="38">
        <v>0.2</v>
      </c>
      <c r="X7004" s="38">
        <v>0</v>
      </c>
      <c r="Y7004" s="38">
        <v>2</v>
      </c>
      <c r="Z7004" s="38">
        <v>5.6</v>
      </c>
      <c r="AA7004" s="38">
        <v>0</v>
      </c>
      <c r="AC7004" s="38">
        <v>0</v>
      </c>
      <c r="AD7004" s="38">
        <v>0</v>
      </c>
    </row>
    <row r="7005" spans="1:30" x14ac:dyDescent="0.25">
      <c r="A7005" s="22">
        <v>45356</v>
      </c>
      <c r="B7005" s="38">
        <v>70</v>
      </c>
      <c r="C7005" s="38">
        <v>22</v>
      </c>
      <c r="D7005" s="38">
        <v>32.200000000000003</v>
      </c>
      <c r="E7005" s="38">
        <v>56</v>
      </c>
      <c r="F7005" s="38">
        <v>16</v>
      </c>
      <c r="G7005" s="38">
        <v>16.5</v>
      </c>
      <c r="H7005" s="38">
        <v>19</v>
      </c>
      <c r="I7005" s="38">
        <v>10.3</v>
      </c>
      <c r="J7005" s="38">
        <v>22.8</v>
      </c>
      <c r="K7005" s="38">
        <v>27</v>
      </c>
      <c r="L7005" s="38">
        <v>45.7</v>
      </c>
      <c r="M7005" s="38">
        <v>18</v>
      </c>
      <c r="N7005" s="38">
        <v>11.6</v>
      </c>
      <c r="P7005" s="38">
        <v>40</v>
      </c>
      <c r="Q7005" s="38">
        <v>38.4</v>
      </c>
      <c r="R7005" s="38">
        <v>22</v>
      </c>
      <c r="S7005" s="38">
        <v>0.5</v>
      </c>
      <c r="T7005" s="38">
        <v>14</v>
      </c>
      <c r="U7005" s="38">
        <v>40</v>
      </c>
      <c r="V7005" s="38">
        <v>5.4</v>
      </c>
      <c r="W7005" s="38">
        <v>12.4</v>
      </c>
      <c r="X7005" s="38">
        <v>8</v>
      </c>
      <c r="Y7005" s="38">
        <v>19</v>
      </c>
      <c r="Z7005" s="38">
        <v>22</v>
      </c>
      <c r="AA7005" s="38">
        <v>48</v>
      </c>
      <c r="AC7005" s="38">
        <v>9.5999999999999979</v>
      </c>
      <c r="AD7005" s="38">
        <v>3.4000000000000004</v>
      </c>
    </row>
    <row r="7006" spans="1:30" x14ac:dyDescent="0.25">
      <c r="A7006" s="22">
        <v>45357</v>
      </c>
      <c r="B7006" s="38">
        <v>2</v>
      </c>
      <c r="C7006" s="38">
        <v>3.6</v>
      </c>
      <c r="D7006" s="38">
        <v>3.2</v>
      </c>
      <c r="E7006" s="38">
        <v>0</v>
      </c>
      <c r="F7006" s="38">
        <v>1.8</v>
      </c>
      <c r="G7006" s="38">
        <v>3.4</v>
      </c>
      <c r="H7006" s="38">
        <v>2</v>
      </c>
      <c r="I7006" s="38">
        <v>6</v>
      </c>
      <c r="J7006" s="38">
        <v>4.2</v>
      </c>
      <c r="K7006" s="38">
        <v>8.1999999999999993</v>
      </c>
      <c r="L7006" s="38">
        <v>7.4</v>
      </c>
      <c r="M7006" s="38">
        <v>2.5</v>
      </c>
      <c r="N7006" s="38">
        <v>4.2</v>
      </c>
      <c r="P7006" s="38">
        <v>6</v>
      </c>
      <c r="Q7006" s="38">
        <v>0</v>
      </c>
      <c r="R7006" s="38">
        <v>0</v>
      </c>
      <c r="S7006" s="38">
        <v>3</v>
      </c>
      <c r="T7006" s="38">
        <v>8</v>
      </c>
      <c r="U7006" s="38">
        <v>3</v>
      </c>
      <c r="V7006" s="38">
        <v>0</v>
      </c>
      <c r="W7006" s="38">
        <v>0</v>
      </c>
      <c r="X7006" s="38">
        <v>14</v>
      </c>
      <c r="Y7006" s="38">
        <v>0</v>
      </c>
      <c r="Z7006" s="38">
        <v>0</v>
      </c>
      <c r="AA7006" s="38">
        <v>10</v>
      </c>
      <c r="AC7006" s="38">
        <v>0</v>
      </c>
      <c r="AD7006" s="38">
        <v>0.2</v>
      </c>
    </row>
    <row r="7007" spans="1:30" x14ac:dyDescent="0.25">
      <c r="A7007" s="22">
        <v>45358</v>
      </c>
      <c r="B7007" s="38">
        <v>0</v>
      </c>
      <c r="C7007" s="38">
        <v>0</v>
      </c>
      <c r="D7007" s="38">
        <v>0</v>
      </c>
      <c r="E7007" s="38">
        <v>0</v>
      </c>
      <c r="F7007" s="38">
        <v>0</v>
      </c>
      <c r="H7007" s="38">
        <v>0</v>
      </c>
      <c r="I7007" s="38">
        <v>0</v>
      </c>
      <c r="J7007" s="38">
        <v>0</v>
      </c>
      <c r="K7007" s="38">
        <v>0</v>
      </c>
      <c r="L7007" s="38">
        <v>2.8</v>
      </c>
      <c r="M7007" s="38">
        <v>0</v>
      </c>
      <c r="N7007" s="38">
        <v>0.2</v>
      </c>
      <c r="P7007" s="38">
        <v>6</v>
      </c>
      <c r="Q7007" s="38">
        <v>0</v>
      </c>
      <c r="R7007" s="38">
        <v>0</v>
      </c>
      <c r="S7007" s="38">
        <v>0</v>
      </c>
      <c r="T7007" s="38">
        <v>0</v>
      </c>
      <c r="V7007" s="38">
        <v>0</v>
      </c>
      <c r="X7007" s="38">
        <v>0</v>
      </c>
      <c r="Y7007" s="38">
        <v>0</v>
      </c>
      <c r="Z7007" s="38">
        <v>0</v>
      </c>
      <c r="AA7007" s="38">
        <v>0</v>
      </c>
      <c r="AC7007" s="38">
        <v>0</v>
      </c>
      <c r="AD7007" s="38">
        <v>0</v>
      </c>
    </row>
    <row r="7008" spans="1:30" x14ac:dyDescent="0.25">
      <c r="A7008" s="22">
        <v>45359</v>
      </c>
      <c r="B7008" s="38">
        <v>0</v>
      </c>
      <c r="C7008" s="38">
        <v>0</v>
      </c>
      <c r="D7008" s="38">
        <v>0</v>
      </c>
      <c r="E7008" s="38">
        <v>2.4000000000000004</v>
      </c>
      <c r="F7008" s="38">
        <v>4.2</v>
      </c>
      <c r="G7008" s="38">
        <v>1</v>
      </c>
      <c r="H7008" s="38">
        <v>0.8</v>
      </c>
      <c r="I7008" s="38">
        <v>4.4000000000000004</v>
      </c>
      <c r="J7008" s="38">
        <v>1.6</v>
      </c>
      <c r="K7008" s="38">
        <v>1</v>
      </c>
      <c r="L7008" s="38">
        <v>0</v>
      </c>
      <c r="M7008" s="38">
        <v>2</v>
      </c>
      <c r="N7008" s="38">
        <v>0.4</v>
      </c>
      <c r="P7008" s="38">
        <v>0</v>
      </c>
      <c r="Q7008" s="38">
        <v>0</v>
      </c>
      <c r="R7008" s="38">
        <v>0</v>
      </c>
      <c r="S7008" s="38">
        <v>0</v>
      </c>
      <c r="T7008" s="38">
        <v>0</v>
      </c>
      <c r="U7008" s="38">
        <v>0</v>
      </c>
      <c r="V7008" s="38">
        <v>0</v>
      </c>
      <c r="W7008" s="38">
        <v>0</v>
      </c>
      <c r="X7008" s="38">
        <v>0</v>
      </c>
      <c r="Y7008" s="38">
        <v>0</v>
      </c>
      <c r="Z7008" s="38">
        <v>0</v>
      </c>
      <c r="AA7008" s="38">
        <v>4</v>
      </c>
      <c r="AC7008" s="38">
        <v>0.2</v>
      </c>
      <c r="AD7008" s="38">
        <v>0</v>
      </c>
    </row>
    <row r="7009" spans="1:30" x14ac:dyDescent="0.25">
      <c r="A7009" s="22">
        <v>45360</v>
      </c>
      <c r="B7009" s="38">
        <v>0</v>
      </c>
      <c r="C7009" s="38">
        <v>0</v>
      </c>
      <c r="D7009" s="38">
        <v>0</v>
      </c>
      <c r="E7009" s="38">
        <v>0</v>
      </c>
      <c r="F7009" s="38">
        <v>0</v>
      </c>
      <c r="G7009" s="38">
        <v>0</v>
      </c>
      <c r="H7009" s="38">
        <v>0</v>
      </c>
      <c r="I7009" s="38">
        <v>0.1</v>
      </c>
      <c r="J7009" s="38">
        <v>0</v>
      </c>
      <c r="K7009" s="38">
        <v>0</v>
      </c>
      <c r="L7009" s="38">
        <v>0</v>
      </c>
      <c r="M7009" s="38">
        <v>1</v>
      </c>
      <c r="N7009" s="38">
        <v>0</v>
      </c>
      <c r="P7009" s="38">
        <v>0</v>
      </c>
      <c r="Q7009" s="38">
        <v>0</v>
      </c>
      <c r="R7009" s="38">
        <v>0</v>
      </c>
      <c r="S7009" s="38">
        <v>0</v>
      </c>
      <c r="T7009" s="38">
        <v>0</v>
      </c>
      <c r="U7009" s="38">
        <v>0</v>
      </c>
      <c r="V7009" s="38">
        <v>0</v>
      </c>
      <c r="W7009" s="38">
        <v>0</v>
      </c>
      <c r="X7009" s="38">
        <v>0</v>
      </c>
      <c r="Y7009" s="38">
        <v>0</v>
      </c>
      <c r="Z7009" s="38">
        <v>0</v>
      </c>
      <c r="AA7009" s="38">
        <v>2</v>
      </c>
      <c r="AC7009" s="38">
        <v>0</v>
      </c>
      <c r="AD7009" s="38">
        <v>0</v>
      </c>
    </row>
    <row r="7010" spans="1:30" x14ac:dyDescent="0.25">
      <c r="A7010" s="22">
        <v>45361</v>
      </c>
      <c r="B7010" s="38">
        <v>0</v>
      </c>
      <c r="C7010" s="38">
        <v>0</v>
      </c>
      <c r="D7010" s="38">
        <v>0</v>
      </c>
      <c r="E7010" s="38">
        <v>0</v>
      </c>
      <c r="F7010" s="38">
        <v>0</v>
      </c>
      <c r="G7010" s="38">
        <v>0</v>
      </c>
      <c r="H7010" s="38">
        <v>0</v>
      </c>
      <c r="I7010" s="38">
        <v>0</v>
      </c>
      <c r="J7010" s="38">
        <v>1</v>
      </c>
      <c r="K7010" s="38">
        <v>0</v>
      </c>
      <c r="L7010" s="38">
        <v>0</v>
      </c>
      <c r="M7010" s="38">
        <v>0</v>
      </c>
      <c r="N7010" s="38">
        <v>1</v>
      </c>
      <c r="P7010" s="38">
        <v>0</v>
      </c>
      <c r="Q7010" s="38">
        <v>0</v>
      </c>
      <c r="R7010" s="38">
        <v>0</v>
      </c>
      <c r="S7010" s="38">
        <v>0</v>
      </c>
      <c r="T7010" s="38">
        <v>0</v>
      </c>
      <c r="V7010" s="38">
        <v>0</v>
      </c>
      <c r="W7010" s="38">
        <v>0</v>
      </c>
      <c r="X7010" s="38">
        <v>0</v>
      </c>
      <c r="Y7010" s="38">
        <v>0</v>
      </c>
      <c r="Z7010" s="38">
        <v>0</v>
      </c>
      <c r="AA7010" s="38">
        <v>0</v>
      </c>
      <c r="AC7010" s="38">
        <v>0</v>
      </c>
      <c r="AD7010" s="38">
        <v>0</v>
      </c>
    </row>
    <row r="7011" spans="1:30" x14ac:dyDescent="0.25">
      <c r="A7011" s="22">
        <v>45362</v>
      </c>
      <c r="B7011" s="38">
        <v>0</v>
      </c>
      <c r="C7011" s="38">
        <v>0</v>
      </c>
      <c r="D7011" s="38">
        <v>0</v>
      </c>
      <c r="E7011" s="38">
        <v>0</v>
      </c>
      <c r="F7011" s="38">
        <v>0</v>
      </c>
      <c r="G7011" s="38">
        <v>0</v>
      </c>
      <c r="H7011" s="38">
        <v>0</v>
      </c>
      <c r="I7011" s="38">
        <v>0</v>
      </c>
      <c r="J7011" s="38">
        <v>1.2</v>
      </c>
      <c r="K7011" s="38">
        <v>1</v>
      </c>
      <c r="L7011" s="38">
        <v>0</v>
      </c>
      <c r="M7011" s="38">
        <v>1</v>
      </c>
      <c r="N7011" s="38">
        <v>1.6</v>
      </c>
      <c r="P7011" s="38">
        <v>0</v>
      </c>
      <c r="Q7011" s="38">
        <v>0</v>
      </c>
      <c r="R7011" s="38">
        <v>0</v>
      </c>
      <c r="S7011" s="38">
        <v>0</v>
      </c>
      <c r="T7011" s="38">
        <v>0</v>
      </c>
      <c r="U7011" s="38">
        <v>0</v>
      </c>
      <c r="V7011" s="38">
        <v>0</v>
      </c>
      <c r="W7011" s="38">
        <v>0</v>
      </c>
      <c r="X7011" s="38">
        <v>0</v>
      </c>
      <c r="Y7011" s="38">
        <v>0</v>
      </c>
      <c r="Z7011" s="38">
        <v>0</v>
      </c>
      <c r="AA7011" s="38">
        <v>2</v>
      </c>
      <c r="AC7011" s="38">
        <v>0</v>
      </c>
      <c r="AD7011" s="38">
        <v>0</v>
      </c>
    </row>
    <row r="7012" spans="1:30" x14ac:dyDescent="0.25">
      <c r="A7012" s="22">
        <v>45363</v>
      </c>
      <c r="B7012" s="38">
        <v>0</v>
      </c>
      <c r="C7012" s="38">
        <v>0</v>
      </c>
      <c r="D7012" s="38">
        <v>0</v>
      </c>
      <c r="E7012" s="38">
        <v>4</v>
      </c>
      <c r="F7012" s="38">
        <v>0</v>
      </c>
      <c r="G7012" s="38">
        <v>0.5</v>
      </c>
      <c r="H7012" s="38">
        <v>0</v>
      </c>
      <c r="I7012" s="38">
        <v>1.3</v>
      </c>
      <c r="J7012" s="38">
        <v>0</v>
      </c>
      <c r="K7012" s="38">
        <v>0</v>
      </c>
      <c r="L7012" s="38">
        <v>0</v>
      </c>
      <c r="M7012" s="38">
        <v>0.6</v>
      </c>
      <c r="N7012" s="38">
        <v>5.2</v>
      </c>
      <c r="P7012" s="38">
        <v>0</v>
      </c>
      <c r="Q7012" s="38">
        <v>0</v>
      </c>
      <c r="R7012" s="38">
        <v>0</v>
      </c>
      <c r="S7012" s="38">
        <v>0</v>
      </c>
      <c r="T7012" s="38">
        <v>0.5</v>
      </c>
      <c r="U7012" s="38">
        <v>0</v>
      </c>
      <c r="V7012" s="38">
        <v>0</v>
      </c>
      <c r="W7012" s="38">
        <v>0</v>
      </c>
      <c r="X7012" s="38">
        <v>0</v>
      </c>
      <c r="Y7012" s="38">
        <v>0</v>
      </c>
      <c r="Z7012" s="38">
        <v>0</v>
      </c>
      <c r="AA7012" s="38">
        <v>0</v>
      </c>
      <c r="AC7012" s="38">
        <v>1.8</v>
      </c>
      <c r="AD7012" s="38">
        <v>0</v>
      </c>
    </row>
    <row r="7013" spans="1:30" x14ac:dyDescent="0.25">
      <c r="A7013" s="22">
        <v>45364</v>
      </c>
      <c r="B7013" s="38">
        <v>0</v>
      </c>
      <c r="C7013" s="38">
        <v>0</v>
      </c>
      <c r="D7013" s="38">
        <v>0</v>
      </c>
      <c r="E7013" s="38">
        <v>9.1999999999999957</v>
      </c>
      <c r="F7013" s="38">
        <v>0</v>
      </c>
      <c r="G7013" s="38">
        <v>5</v>
      </c>
      <c r="H7013" s="38">
        <v>0</v>
      </c>
      <c r="I7013" s="38">
        <v>3.1</v>
      </c>
      <c r="J7013" s="38">
        <v>2.2000000000000002</v>
      </c>
      <c r="K7013" s="38">
        <v>2</v>
      </c>
      <c r="L7013" s="38">
        <v>0</v>
      </c>
      <c r="M7013" s="38">
        <v>0.8</v>
      </c>
      <c r="N7013" s="38">
        <v>5</v>
      </c>
      <c r="P7013" s="38">
        <v>0</v>
      </c>
      <c r="Q7013" s="38">
        <v>0</v>
      </c>
      <c r="R7013" s="38">
        <v>4</v>
      </c>
      <c r="S7013" s="38">
        <v>0</v>
      </c>
      <c r="T7013" s="38">
        <v>0</v>
      </c>
      <c r="U7013" s="38">
        <v>2</v>
      </c>
      <c r="V7013" s="38">
        <v>0</v>
      </c>
      <c r="W7013" s="38">
        <v>0</v>
      </c>
      <c r="X7013" s="38">
        <v>0</v>
      </c>
      <c r="Y7013" s="38">
        <v>0</v>
      </c>
      <c r="Z7013" s="38">
        <v>4</v>
      </c>
      <c r="AA7013" s="38">
        <v>2</v>
      </c>
      <c r="AC7013" s="38">
        <v>4</v>
      </c>
      <c r="AD7013" s="38">
        <v>0</v>
      </c>
    </row>
    <row r="7014" spans="1:30" x14ac:dyDescent="0.25">
      <c r="A7014" s="22">
        <v>45365</v>
      </c>
      <c r="B7014" s="38">
        <v>8</v>
      </c>
      <c r="C7014" s="38">
        <v>0</v>
      </c>
      <c r="D7014" s="38">
        <v>4</v>
      </c>
      <c r="E7014" s="38">
        <v>0</v>
      </c>
      <c r="F7014" s="38">
        <v>0</v>
      </c>
      <c r="G7014" s="38">
        <v>0.5</v>
      </c>
      <c r="H7014" s="38">
        <v>2.7</v>
      </c>
      <c r="I7014" s="38">
        <v>6.8</v>
      </c>
      <c r="J7014" s="38">
        <v>5.8</v>
      </c>
      <c r="K7014" s="38">
        <v>4</v>
      </c>
      <c r="L7014" s="38">
        <v>6.62</v>
      </c>
      <c r="M7014" s="38">
        <v>4.9000000000000004</v>
      </c>
      <c r="N7014" s="38">
        <v>1</v>
      </c>
      <c r="P7014" s="38">
        <v>0</v>
      </c>
      <c r="Q7014" s="38">
        <v>11</v>
      </c>
      <c r="R7014" s="38">
        <v>0</v>
      </c>
      <c r="S7014" s="38">
        <v>0</v>
      </c>
      <c r="T7014" s="38">
        <v>0</v>
      </c>
      <c r="U7014" s="38">
        <v>5</v>
      </c>
      <c r="V7014" s="38">
        <v>0</v>
      </c>
      <c r="W7014" s="38">
        <v>10.3</v>
      </c>
      <c r="X7014" s="38">
        <v>2</v>
      </c>
      <c r="Y7014" s="38">
        <v>0</v>
      </c>
      <c r="Z7014" s="38">
        <v>0</v>
      </c>
      <c r="AA7014" s="38">
        <v>0</v>
      </c>
      <c r="AC7014" s="38">
        <v>0.4</v>
      </c>
      <c r="AD7014" s="38">
        <v>0</v>
      </c>
    </row>
    <row r="7015" spans="1:30" x14ac:dyDescent="0.25">
      <c r="A7015" s="22">
        <v>45366</v>
      </c>
      <c r="B7015" s="38">
        <v>0</v>
      </c>
      <c r="C7015" s="38">
        <v>0</v>
      </c>
      <c r="D7015" s="38">
        <v>0</v>
      </c>
      <c r="E7015" s="38">
        <v>0</v>
      </c>
      <c r="F7015" s="38">
        <v>0</v>
      </c>
      <c r="G7015" s="38">
        <v>0</v>
      </c>
      <c r="H7015" s="38">
        <v>0</v>
      </c>
      <c r="I7015" s="38">
        <v>0</v>
      </c>
      <c r="J7015" s="38">
        <v>0</v>
      </c>
      <c r="K7015" s="38">
        <v>0</v>
      </c>
      <c r="L7015" s="38">
        <v>0</v>
      </c>
      <c r="M7015" s="38">
        <v>0</v>
      </c>
      <c r="N7015" s="38">
        <v>0</v>
      </c>
      <c r="P7015" s="38">
        <v>0</v>
      </c>
      <c r="Q7015" s="38">
        <v>0</v>
      </c>
      <c r="R7015" s="38">
        <v>0</v>
      </c>
      <c r="S7015" s="38">
        <v>0</v>
      </c>
      <c r="T7015" s="38">
        <v>0</v>
      </c>
      <c r="U7015" s="38">
        <v>0</v>
      </c>
      <c r="V7015" s="38">
        <v>0</v>
      </c>
      <c r="W7015" s="38">
        <v>0</v>
      </c>
      <c r="X7015" s="38">
        <v>0</v>
      </c>
      <c r="Y7015" s="38">
        <v>4</v>
      </c>
      <c r="Z7015" s="38">
        <v>0</v>
      </c>
      <c r="AA7015" s="38">
        <v>0</v>
      </c>
      <c r="AC7015" s="38">
        <v>0</v>
      </c>
      <c r="AD7015" s="38">
        <v>0</v>
      </c>
    </row>
    <row r="7016" spans="1:30" x14ac:dyDescent="0.25">
      <c r="A7016" s="22">
        <v>45367</v>
      </c>
      <c r="B7016" s="38">
        <v>0</v>
      </c>
      <c r="C7016" s="38">
        <v>0</v>
      </c>
      <c r="D7016" s="38">
        <v>0</v>
      </c>
      <c r="E7016" s="42"/>
      <c r="F7016" s="38">
        <v>0</v>
      </c>
      <c r="G7016" s="38">
        <v>0</v>
      </c>
      <c r="H7016" s="38">
        <v>0</v>
      </c>
      <c r="I7016" s="38">
        <v>0</v>
      </c>
      <c r="J7016" s="38">
        <v>0</v>
      </c>
      <c r="K7016" s="38">
        <v>0</v>
      </c>
      <c r="L7016" s="38">
        <v>0</v>
      </c>
      <c r="M7016" s="38">
        <v>0</v>
      </c>
      <c r="N7016" s="38">
        <v>0</v>
      </c>
      <c r="P7016" s="38">
        <v>0</v>
      </c>
      <c r="Q7016" s="38">
        <v>0</v>
      </c>
      <c r="R7016" s="38">
        <v>0</v>
      </c>
      <c r="S7016" s="38">
        <v>0</v>
      </c>
      <c r="T7016" s="38">
        <v>0</v>
      </c>
      <c r="U7016" s="38">
        <v>0</v>
      </c>
      <c r="V7016" s="38">
        <v>0</v>
      </c>
      <c r="W7016" s="38">
        <v>0</v>
      </c>
      <c r="X7016" s="38">
        <v>0</v>
      </c>
      <c r="Y7016" s="38">
        <v>0</v>
      </c>
      <c r="Z7016" s="38">
        <v>0</v>
      </c>
      <c r="AA7016" s="38">
        <v>0</v>
      </c>
      <c r="AC7016" s="38">
        <v>0</v>
      </c>
      <c r="AD7016" s="38">
        <v>0</v>
      </c>
    </row>
    <row r="7017" spans="1:30" x14ac:dyDescent="0.25">
      <c r="A7017" s="22">
        <v>45368</v>
      </c>
      <c r="B7017" s="38">
        <v>11</v>
      </c>
      <c r="C7017" s="38">
        <v>8</v>
      </c>
      <c r="D7017" s="38">
        <v>0</v>
      </c>
      <c r="E7017" s="38">
        <v>13.199999999999998</v>
      </c>
      <c r="F7017" s="38">
        <v>8.4</v>
      </c>
      <c r="G7017" s="38">
        <v>8</v>
      </c>
      <c r="H7017" s="38">
        <v>6.5</v>
      </c>
      <c r="I7017" s="38">
        <v>5.5</v>
      </c>
      <c r="J7017" s="38">
        <v>8</v>
      </c>
      <c r="K7017" s="38">
        <v>7.5</v>
      </c>
      <c r="L7017" s="38">
        <v>0</v>
      </c>
      <c r="M7017" s="38">
        <v>9.6</v>
      </c>
      <c r="N7017" s="38">
        <v>10</v>
      </c>
      <c r="P7017" s="38">
        <v>17</v>
      </c>
      <c r="Q7017" s="38">
        <v>11</v>
      </c>
      <c r="R7017" s="38">
        <v>0</v>
      </c>
      <c r="S7017" s="38">
        <v>0</v>
      </c>
      <c r="T7017" s="38">
        <v>0</v>
      </c>
      <c r="V7017" s="38">
        <v>0</v>
      </c>
      <c r="W7017" s="38">
        <v>4.2</v>
      </c>
      <c r="X7017" s="38">
        <v>16</v>
      </c>
      <c r="Y7017" s="38">
        <v>6</v>
      </c>
      <c r="Z7017" s="38">
        <v>0</v>
      </c>
      <c r="AA7017" s="38">
        <v>6</v>
      </c>
      <c r="AC7017" s="38">
        <v>1</v>
      </c>
      <c r="AD7017" s="38">
        <v>0</v>
      </c>
    </row>
    <row r="7018" spans="1:30" x14ac:dyDescent="0.25">
      <c r="A7018" s="22">
        <v>45369</v>
      </c>
      <c r="B7018" s="38">
        <v>4</v>
      </c>
      <c r="C7018" s="38">
        <v>0</v>
      </c>
      <c r="D7018" s="38">
        <v>0</v>
      </c>
      <c r="E7018" s="38">
        <v>0</v>
      </c>
      <c r="F7018" s="38">
        <v>0</v>
      </c>
      <c r="G7018" s="38">
        <v>0</v>
      </c>
      <c r="H7018" s="38">
        <v>0</v>
      </c>
      <c r="I7018" s="38">
        <v>0.1</v>
      </c>
      <c r="J7018" s="38">
        <v>1.2</v>
      </c>
      <c r="K7018" s="38">
        <v>1</v>
      </c>
      <c r="L7018" s="38">
        <v>1.3</v>
      </c>
      <c r="M7018" s="38">
        <v>0.4</v>
      </c>
      <c r="N7018" s="38">
        <v>0.2</v>
      </c>
      <c r="P7018" s="38">
        <v>2</v>
      </c>
      <c r="Q7018" s="38">
        <v>0</v>
      </c>
      <c r="R7018" s="38">
        <v>0</v>
      </c>
      <c r="S7018" s="38">
        <v>1.5</v>
      </c>
      <c r="T7018" s="38">
        <v>1</v>
      </c>
      <c r="U7018" s="38">
        <v>2</v>
      </c>
      <c r="V7018" s="38">
        <v>0</v>
      </c>
      <c r="W7018" s="38">
        <v>0</v>
      </c>
      <c r="X7018" s="38">
        <v>0</v>
      </c>
      <c r="Y7018" s="38">
        <v>0</v>
      </c>
      <c r="Z7018" s="38">
        <v>0</v>
      </c>
      <c r="AA7018" s="38">
        <v>13</v>
      </c>
      <c r="AC7018" s="38">
        <v>0</v>
      </c>
      <c r="AD7018" s="38">
        <v>0</v>
      </c>
    </row>
    <row r="7019" spans="1:30" x14ac:dyDescent="0.25">
      <c r="A7019" s="22">
        <v>45370</v>
      </c>
      <c r="B7019" s="38">
        <v>0</v>
      </c>
      <c r="C7019" s="38">
        <v>0</v>
      </c>
      <c r="D7019" s="38">
        <v>0</v>
      </c>
      <c r="E7019" s="38">
        <v>12.399999999999999</v>
      </c>
      <c r="F7019" s="38">
        <v>0</v>
      </c>
      <c r="G7019" s="38">
        <v>0</v>
      </c>
      <c r="H7019" s="38">
        <v>0</v>
      </c>
      <c r="I7019" s="38">
        <v>0</v>
      </c>
      <c r="J7019" s="38">
        <v>0</v>
      </c>
      <c r="K7019" s="38">
        <v>0</v>
      </c>
      <c r="L7019" s="38">
        <v>0</v>
      </c>
      <c r="M7019" s="38">
        <v>0</v>
      </c>
      <c r="N7019" s="38">
        <v>0</v>
      </c>
      <c r="P7019" s="38">
        <v>0</v>
      </c>
      <c r="Q7019" s="38">
        <v>0</v>
      </c>
      <c r="R7019" s="38">
        <v>0</v>
      </c>
      <c r="S7019" s="38">
        <v>0.5</v>
      </c>
      <c r="T7019" s="38">
        <v>0</v>
      </c>
      <c r="U7019" s="38">
        <v>0</v>
      </c>
      <c r="V7019" s="38">
        <v>0</v>
      </c>
      <c r="W7019" s="38">
        <v>0</v>
      </c>
      <c r="X7019" s="38">
        <v>0</v>
      </c>
      <c r="Y7019" s="38">
        <v>0</v>
      </c>
      <c r="Z7019" s="38">
        <v>0</v>
      </c>
      <c r="AA7019" s="38">
        <v>0</v>
      </c>
      <c r="AC7019" s="38">
        <v>0</v>
      </c>
      <c r="AD7019" s="38">
        <v>0</v>
      </c>
    </row>
    <row r="7020" spans="1:30" x14ac:dyDescent="0.25">
      <c r="A7020" s="22">
        <v>45371</v>
      </c>
      <c r="B7020" s="38">
        <v>0</v>
      </c>
      <c r="C7020" s="38">
        <v>0</v>
      </c>
      <c r="D7020" s="38">
        <v>0</v>
      </c>
      <c r="E7020" s="38">
        <v>0</v>
      </c>
      <c r="F7020" s="38">
        <v>0</v>
      </c>
      <c r="G7020" s="38">
        <v>0</v>
      </c>
      <c r="H7020" s="38">
        <v>0</v>
      </c>
      <c r="I7020" s="38">
        <v>0</v>
      </c>
      <c r="J7020" s="38">
        <v>0</v>
      </c>
      <c r="K7020" s="38">
        <v>0</v>
      </c>
      <c r="L7020" s="38">
        <v>1.3</v>
      </c>
      <c r="M7020" s="38">
        <v>0</v>
      </c>
      <c r="N7020" s="38">
        <v>0</v>
      </c>
      <c r="P7020" s="38">
        <v>0</v>
      </c>
      <c r="Q7020" s="38">
        <v>0</v>
      </c>
      <c r="R7020" s="38">
        <v>0</v>
      </c>
      <c r="S7020" s="38">
        <v>0</v>
      </c>
      <c r="T7020" s="38">
        <v>0</v>
      </c>
      <c r="U7020" s="38">
        <v>0</v>
      </c>
      <c r="V7020" s="38">
        <v>0</v>
      </c>
      <c r="W7020" s="38">
        <v>0</v>
      </c>
      <c r="X7020" s="38">
        <v>0</v>
      </c>
      <c r="Y7020" s="38">
        <v>0</v>
      </c>
      <c r="Z7020" s="38">
        <v>0</v>
      </c>
      <c r="AA7020" s="38">
        <v>0</v>
      </c>
      <c r="AC7020" s="38">
        <v>0</v>
      </c>
      <c r="AD7020" s="38">
        <v>0</v>
      </c>
    </row>
    <row r="7021" spans="1:30" x14ac:dyDescent="0.25">
      <c r="A7021" s="22">
        <v>45372</v>
      </c>
      <c r="B7021" s="38">
        <v>0</v>
      </c>
      <c r="C7021" s="38">
        <v>0</v>
      </c>
      <c r="D7021" s="38">
        <v>0</v>
      </c>
      <c r="E7021" s="38">
        <v>0</v>
      </c>
      <c r="F7021" s="38">
        <v>0</v>
      </c>
      <c r="G7021" s="38">
        <v>0</v>
      </c>
      <c r="H7021" s="38">
        <v>0</v>
      </c>
      <c r="I7021" s="38">
        <v>0</v>
      </c>
      <c r="J7021" s="38">
        <v>0</v>
      </c>
      <c r="K7021" s="38">
        <v>0</v>
      </c>
      <c r="L7021" s="38">
        <v>0</v>
      </c>
      <c r="M7021" s="38">
        <v>0</v>
      </c>
      <c r="N7021" s="38">
        <v>0</v>
      </c>
      <c r="P7021" s="38">
        <v>0</v>
      </c>
      <c r="Q7021" s="38">
        <v>0</v>
      </c>
      <c r="R7021" s="38">
        <v>0</v>
      </c>
      <c r="S7021" s="38">
        <v>0</v>
      </c>
      <c r="T7021" s="38">
        <v>0</v>
      </c>
      <c r="U7021" s="38">
        <v>0</v>
      </c>
      <c r="V7021" s="38">
        <v>0</v>
      </c>
      <c r="W7021" s="38">
        <v>0</v>
      </c>
      <c r="X7021" s="38">
        <v>0</v>
      </c>
      <c r="Y7021" s="38">
        <v>0</v>
      </c>
      <c r="Z7021" s="38">
        <v>0</v>
      </c>
      <c r="AA7021" s="38">
        <v>0</v>
      </c>
      <c r="AC7021" s="38">
        <v>0</v>
      </c>
      <c r="AD7021" s="38">
        <v>0</v>
      </c>
    </row>
    <row r="7022" spans="1:30" x14ac:dyDescent="0.25">
      <c r="A7022" s="22">
        <v>45373</v>
      </c>
      <c r="B7022" s="38">
        <v>0</v>
      </c>
      <c r="C7022" s="38">
        <v>0</v>
      </c>
      <c r="D7022" s="38">
        <v>0</v>
      </c>
      <c r="E7022" s="38">
        <v>8</v>
      </c>
      <c r="F7022" s="38">
        <v>0</v>
      </c>
      <c r="G7022" s="38">
        <v>0</v>
      </c>
      <c r="H7022" s="38">
        <v>0</v>
      </c>
      <c r="I7022" s="38">
        <v>0</v>
      </c>
      <c r="J7022" s="38">
        <v>0</v>
      </c>
      <c r="K7022" s="38">
        <v>0</v>
      </c>
      <c r="L7022" s="38">
        <v>0</v>
      </c>
      <c r="M7022" s="38">
        <v>0</v>
      </c>
      <c r="N7022" s="38">
        <v>0</v>
      </c>
      <c r="P7022" s="38">
        <v>0</v>
      </c>
      <c r="Q7022" s="38">
        <v>1.2</v>
      </c>
      <c r="R7022" s="38">
        <v>0</v>
      </c>
      <c r="S7022" s="38">
        <v>0</v>
      </c>
      <c r="T7022" s="38">
        <v>0</v>
      </c>
      <c r="U7022" s="38">
        <v>0</v>
      </c>
      <c r="V7022" s="38">
        <v>0</v>
      </c>
      <c r="W7022" s="38">
        <v>0</v>
      </c>
      <c r="X7022" s="38">
        <v>0</v>
      </c>
      <c r="Y7022" s="38">
        <v>0</v>
      </c>
      <c r="Z7022" s="38">
        <v>0</v>
      </c>
      <c r="AA7022" s="38">
        <v>0</v>
      </c>
      <c r="AC7022" s="38">
        <v>0</v>
      </c>
      <c r="AD7022" s="38">
        <v>0</v>
      </c>
    </row>
    <row r="7023" spans="1:30" x14ac:dyDescent="0.25">
      <c r="A7023" s="22">
        <v>45374</v>
      </c>
      <c r="B7023" s="38">
        <v>14</v>
      </c>
      <c r="C7023" s="38">
        <v>17.2</v>
      </c>
      <c r="D7023" s="38">
        <v>16</v>
      </c>
      <c r="E7023" s="38">
        <v>12</v>
      </c>
      <c r="F7023" s="38">
        <v>9.3000000000000007</v>
      </c>
      <c r="G7023" s="38">
        <v>18</v>
      </c>
      <c r="H7023" s="38">
        <v>11.2</v>
      </c>
      <c r="I7023" s="38">
        <v>12.8</v>
      </c>
      <c r="J7023" s="38">
        <v>12.8</v>
      </c>
      <c r="K7023" s="38">
        <v>10</v>
      </c>
      <c r="L7023" s="38">
        <v>0</v>
      </c>
      <c r="M7023" s="38">
        <v>15.2</v>
      </c>
      <c r="N7023" s="38">
        <v>6.6</v>
      </c>
      <c r="P7023" s="38">
        <v>18</v>
      </c>
      <c r="Q7023" s="38">
        <v>13.7</v>
      </c>
      <c r="R7023" s="38">
        <v>4</v>
      </c>
      <c r="S7023" s="38">
        <v>0</v>
      </c>
      <c r="T7023" s="38">
        <v>0</v>
      </c>
      <c r="U7023" s="38">
        <v>13</v>
      </c>
      <c r="V7023" s="38">
        <v>0</v>
      </c>
      <c r="W7023" s="38">
        <v>5.3</v>
      </c>
      <c r="X7023" s="38">
        <v>3</v>
      </c>
      <c r="Y7023" s="38">
        <v>4</v>
      </c>
      <c r="Z7023" s="38">
        <v>4</v>
      </c>
      <c r="AA7023" s="38">
        <v>14</v>
      </c>
      <c r="AC7023" s="38">
        <v>0.2</v>
      </c>
      <c r="AD7023" s="38">
        <v>0.2</v>
      </c>
    </row>
    <row r="7024" spans="1:30" x14ac:dyDescent="0.25">
      <c r="A7024" s="22">
        <v>45375</v>
      </c>
      <c r="B7024" s="38">
        <v>0</v>
      </c>
      <c r="C7024" s="38">
        <v>4</v>
      </c>
      <c r="D7024" s="38">
        <v>0</v>
      </c>
      <c r="E7024" s="38">
        <v>0</v>
      </c>
      <c r="F7024" s="38">
        <v>2.2000000000000002</v>
      </c>
      <c r="G7024" s="38">
        <v>5.5</v>
      </c>
      <c r="H7024" s="38">
        <v>2</v>
      </c>
      <c r="I7024" s="38">
        <v>8.9</v>
      </c>
      <c r="J7024" s="38">
        <v>3.8</v>
      </c>
      <c r="K7024" s="38">
        <v>3.2</v>
      </c>
      <c r="L7024" s="38">
        <v>0</v>
      </c>
      <c r="M7024" s="38">
        <v>4.0999999999999996</v>
      </c>
      <c r="N7024" s="38">
        <v>0.2</v>
      </c>
      <c r="P7024" s="38">
        <v>4</v>
      </c>
      <c r="Q7024" s="38">
        <v>0</v>
      </c>
      <c r="R7024" s="38">
        <v>4</v>
      </c>
      <c r="S7024" s="38">
        <v>0</v>
      </c>
      <c r="T7024" s="38">
        <v>0</v>
      </c>
      <c r="U7024" s="38">
        <v>0</v>
      </c>
      <c r="V7024" s="38">
        <v>0</v>
      </c>
      <c r="W7024" s="38">
        <v>4.2</v>
      </c>
      <c r="X7024" s="38">
        <v>3</v>
      </c>
      <c r="Y7024" s="38">
        <v>8</v>
      </c>
      <c r="Z7024" s="38">
        <v>4</v>
      </c>
      <c r="AA7024" s="38">
        <v>6</v>
      </c>
      <c r="AC7024" s="38">
        <v>4.6000000000000005</v>
      </c>
      <c r="AD7024" s="38">
        <v>1.4</v>
      </c>
    </row>
    <row r="7025" spans="1:30" x14ac:dyDescent="0.25">
      <c r="A7025" s="22">
        <v>45376</v>
      </c>
      <c r="B7025" s="38">
        <v>0</v>
      </c>
      <c r="C7025" s="38">
        <v>0</v>
      </c>
      <c r="D7025" s="38">
        <v>0</v>
      </c>
      <c r="E7025" s="38">
        <v>0</v>
      </c>
      <c r="F7025" s="38">
        <v>0</v>
      </c>
      <c r="G7025" s="38">
        <v>1</v>
      </c>
      <c r="H7025" s="38">
        <v>0</v>
      </c>
      <c r="I7025" s="38">
        <v>1.8</v>
      </c>
      <c r="J7025" s="38">
        <v>1.6</v>
      </c>
      <c r="K7025" s="38">
        <v>0</v>
      </c>
      <c r="L7025" s="38">
        <v>0</v>
      </c>
      <c r="M7025" s="38">
        <v>2.2000000000000002</v>
      </c>
      <c r="N7025" s="38">
        <v>0.2</v>
      </c>
      <c r="P7025" s="38">
        <v>0</v>
      </c>
      <c r="Q7025" s="38">
        <v>0</v>
      </c>
      <c r="R7025" s="38">
        <v>0</v>
      </c>
      <c r="S7025" s="38">
        <v>0</v>
      </c>
      <c r="T7025" s="38">
        <v>2</v>
      </c>
      <c r="U7025" s="38">
        <v>0</v>
      </c>
      <c r="V7025" s="38">
        <v>0</v>
      </c>
      <c r="W7025" s="38">
        <v>0</v>
      </c>
      <c r="X7025" s="38">
        <v>0</v>
      </c>
      <c r="Y7025" s="38">
        <v>0</v>
      </c>
      <c r="Z7025" s="38">
        <v>0</v>
      </c>
      <c r="AA7025" s="38">
        <v>0</v>
      </c>
      <c r="AC7025" s="38">
        <v>0</v>
      </c>
      <c r="AD7025" s="38">
        <v>0</v>
      </c>
    </row>
    <row r="7026" spans="1:30" x14ac:dyDescent="0.25">
      <c r="A7026" s="22">
        <v>45377</v>
      </c>
      <c r="B7026" s="38">
        <v>0</v>
      </c>
      <c r="C7026" s="38">
        <v>0</v>
      </c>
      <c r="D7026" s="38">
        <v>0</v>
      </c>
      <c r="E7026" s="38">
        <v>0</v>
      </c>
      <c r="F7026" s="38">
        <v>0</v>
      </c>
      <c r="G7026" s="38">
        <v>0.2</v>
      </c>
      <c r="H7026" s="38">
        <v>1.2</v>
      </c>
      <c r="I7026" s="38">
        <v>1.1000000000000001</v>
      </c>
      <c r="J7026" s="38">
        <v>0</v>
      </c>
      <c r="K7026" s="38">
        <v>0</v>
      </c>
      <c r="L7026" s="38">
        <v>0</v>
      </c>
      <c r="M7026" s="38">
        <v>0</v>
      </c>
      <c r="N7026" s="38">
        <v>0</v>
      </c>
      <c r="P7026" s="38">
        <v>0</v>
      </c>
      <c r="Q7026" s="38">
        <v>0</v>
      </c>
      <c r="R7026" s="38">
        <v>0</v>
      </c>
      <c r="S7026" s="38">
        <v>0</v>
      </c>
      <c r="T7026" s="38">
        <v>0</v>
      </c>
      <c r="U7026" s="38">
        <v>0</v>
      </c>
      <c r="V7026" s="38">
        <v>0</v>
      </c>
      <c r="W7026" s="38">
        <v>0</v>
      </c>
      <c r="X7026" s="38">
        <v>0</v>
      </c>
      <c r="Y7026" s="38">
        <v>0</v>
      </c>
      <c r="Z7026" s="38">
        <v>0</v>
      </c>
      <c r="AA7026" s="38">
        <v>0</v>
      </c>
      <c r="AC7026" s="38">
        <v>0</v>
      </c>
      <c r="AD7026" s="38">
        <v>0</v>
      </c>
    </row>
    <row r="7027" spans="1:30" x14ac:dyDescent="0.25">
      <c r="A7027" s="22">
        <v>45378</v>
      </c>
      <c r="B7027" s="38">
        <v>0</v>
      </c>
      <c r="C7027" s="38">
        <v>0</v>
      </c>
      <c r="D7027" s="38">
        <v>0</v>
      </c>
      <c r="E7027" s="38">
        <v>1.2000000000000002</v>
      </c>
      <c r="F7027" s="38">
        <v>0</v>
      </c>
      <c r="G7027" s="38">
        <v>0</v>
      </c>
      <c r="H7027" s="38">
        <v>0</v>
      </c>
      <c r="I7027" s="38">
        <v>0</v>
      </c>
      <c r="J7027" s="38">
        <v>0</v>
      </c>
      <c r="K7027" s="38">
        <v>0</v>
      </c>
      <c r="L7027" s="38">
        <v>0</v>
      </c>
      <c r="M7027" s="38">
        <v>0</v>
      </c>
      <c r="N7027" s="38">
        <v>3.6</v>
      </c>
      <c r="P7027" s="38">
        <v>0</v>
      </c>
      <c r="Q7027" s="38">
        <v>0</v>
      </c>
      <c r="R7027" s="38">
        <v>0</v>
      </c>
      <c r="S7027" s="38">
        <v>0</v>
      </c>
      <c r="T7027" s="38">
        <v>0</v>
      </c>
      <c r="U7027" s="38">
        <v>0</v>
      </c>
      <c r="V7027" s="38">
        <v>0</v>
      </c>
      <c r="W7027" s="38">
        <v>0</v>
      </c>
      <c r="X7027" s="38">
        <v>0</v>
      </c>
      <c r="Y7027" s="38">
        <v>0</v>
      </c>
      <c r="Z7027" s="38">
        <v>0</v>
      </c>
      <c r="AA7027" s="38">
        <v>0</v>
      </c>
      <c r="AC7027" s="38">
        <v>0</v>
      </c>
      <c r="AD7027" s="38">
        <v>0</v>
      </c>
    </row>
    <row r="7028" spans="1:30" x14ac:dyDescent="0.25">
      <c r="A7028" s="22">
        <v>45379</v>
      </c>
      <c r="B7028" s="38">
        <v>0</v>
      </c>
      <c r="C7028" s="38">
        <v>0</v>
      </c>
      <c r="D7028" s="38">
        <v>0</v>
      </c>
      <c r="E7028" s="38">
        <v>6.8</v>
      </c>
      <c r="F7028" s="38">
        <v>0</v>
      </c>
      <c r="G7028" s="38">
        <v>2.5</v>
      </c>
      <c r="H7028" s="38">
        <v>8</v>
      </c>
      <c r="I7028" s="38">
        <v>2.9</v>
      </c>
      <c r="J7028" s="38">
        <v>0</v>
      </c>
      <c r="K7028" s="38">
        <v>0</v>
      </c>
      <c r="L7028" s="38">
        <v>7.4</v>
      </c>
      <c r="M7028" s="38">
        <v>0</v>
      </c>
      <c r="N7028" s="38">
        <v>0</v>
      </c>
      <c r="P7028" s="38">
        <v>2</v>
      </c>
      <c r="Q7028" s="38">
        <v>4.3</v>
      </c>
      <c r="R7028" s="38">
        <v>4</v>
      </c>
      <c r="S7028" s="38">
        <v>0</v>
      </c>
      <c r="T7028" s="38">
        <v>2</v>
      </c>
      <c r="U7028" s="38">
        <v>14</v>
      </c>
      <c r="V7028" s="38">
        <v>0</v>
      </c>
      <c r="W7028" s="38">
        <v>0.2</v>
      </c>
      <c r="X7028" s="38">
        <v>2</v>
      </c>
      <c r="Y7028" s="38">
        <v>4</v>
      </c>
      <c r="Z7028" s="38">
        <v>4</v>
      </c>
      <c r="AA7028" s="38">
        <v>0</v>
      </c>
      <c r="AC7028" s="38">
        <v>0</v>
      </c>
      <c r="AD7028" s="38">
        <v>0</v>
      </c>
    </row>
    <row r="7029" spans="1:30" x14ac:dyDescent="0.25">
      <c r="A7029" s="22">
        <v>45380</v>
      </c>
      <c r="B7029" s="38">
        <v>0</v>
      </c>
      <c r="C7029" s="38">
        <v>0</v>
      </c>
      <c r="D7029" s="38">
        <v>0</v>
      </c>
      <c r="E7029" s="38">
        <v>5.6000000000000014</v>
      </c>
      <c r="F7029" s="38">
        <v>0</v>
      </c>
      <c r="G7029" s="38">
        <v>0</v>
      </c>
      <c r="H7029" s="38">
        <v>1.5</v>
      </c>
      <c r="I7029" s="38">
        <v>1.1000000000000001</v>
      </c>
      <c r="J7029" s="38">
        <v>1</v>
      </c>
      <c r="K7029" s="38">
        <v>0</v>
      </c>
      <c r="L7029" s="38">
        <v>10.199999999999999</v>
      </c>
      <c r="M7029" s="38">
        <v>3.4</v>
      </c>
      <c r="N7029" s="38">
        <v>0</v>
      </c>
      <c r="P7029" s="38">
        <v>0</v>
      </c>
      <c r="Q7029" s="38">
        <v>0</v>
      </c>
      <c r="R7029" s="38">
        <v>0</v>
      </c>
      <c r="U7029" s="38">
        <v>0</v>
      </c>
      <c r="V7029" s="38">
        <v>0</v>
      </c>
      <c r="W7029" s="38">
        <v>0</v>
      </c>
      <c r="X7029" s="38">
        <v>0</v>
      </c>
      <c r="Y7029" s="38">
        <v>0</v>
      </c>
      <c r="Z7029" s="38">
        <v>0</v>
      </c>
      <c r="AA7029" s="38">
        <v>0</v>
      </c>
      <c r="AC7029" s="38">
        <v>0</v>
      </c>
      <c r="AD7029" s="38">
        <v>0</v>
      </c>
    </row>
    <row r="7030" spans="1:30" x14ac:dyDescent="0.25">
      <c r="A7030" s="22">
        <v>45381</v>
      </c>
      <c r="B7030" s="38">
        <v>0</v>
      </c>
      <c r="C7030" s="38">
        <v>0</v>
      </c>
      <c r="D7030" s="38">
        <v>0</v>
      </c>
      <c r="E7030" s="38">
        <v>0</v>
      </c>
      <c r="F7030" s="38">
        <v>0</v>
      </c>
      <c r="G7030" s="38">
        <v>3.4</v>
      </c>
      <c r="H7030" s="38">
        <v>0</v>
      </c>
      <c r="I7030" s="38">
        <v>1.8</v>
      </c>
      <c r="J7030" s="38">
        <v>0</v>
      </c>
      <c r="K7030" s="38">
        <v>0</v>
      </c>
      <c r="L7030" s="38">
        <v>2.2999999999999998</v>
      </c>
      <c r="M7030" s="38">
        <v>0</v>
      </c>
      <c r="N7030" s="38">
        <v>0</v>
      </c>
      <c r="P7030" s="38">
        <v>0</v>
      </c>
      <c r="Q7030" s="38">
        <v>1.2</v>
      </c>
      <c r="R7030" s="38">
        <v>0</v>
      </c>
      <c r="U7030" s="38">
        <v>0</v>
      </c>
      <c r="V7030" s="38">
        <v>0</v>
      </c>
      <c r="W7030" s="38">
        <v>0</v>
      </c>
      <c r="X7030" s="38">
        <v>0</v>
      </c>
      <c r="Y7030" s="38">
        <v>0</v>
      </c>
      <c r="Z7030" s="38">
        <v>0</v>
      </c>
      <c r="AA7030" s="38">
        <v>0</v>
      </c>
      <c r="AC7030" s="38">
        <v>0</v>
      </c>
      <c r="AD7030" s="38">
        <v>0</v>
      </c>
    </row>
    <row r="7031" spans="1:30" x14ac:dyDescent="0.25">
      <c r="A7031" s="22">
        <v>45382</v>
      </c>
      <c r="B7031" s="38">
        <v>0</v>
      </c>
      <c r="C7031" s="38">
        <v>2.4</v>
      </c>
      <c r="D7031" s="38">
        <v>1</v>
      </c>
      <c r="E7031" s="38">
        <v>6.4</v>
      </c>
      <c r="F7031" s="38">
        <v>0</v>
      </c>
      <c r="G7031" s="38">
        <v>0</v>
      </c>
      <c r="H7031" s="38">
        <v>0</v>
      </c>
      <c r="I7031" s="38">
        <v>0.1</v>
      </c>
      <c r="J7031" s="38">
        <v>0</v>
      </c>
      <c r="K7031" s="38">
        <v>0.2</v>
      </c>
      <c r="L7031" s="38">
        <v>1.8</v>
      </c>
      <c r="M7031" s="38">
        <v>0</v>
      </c>
      <c r="N7031" s="38">
        <v>7</v>
      </c>
      <c r="P7031" s="38">
        <v>3</v>
      </c>
      <c r="Q7031" s="38">
        <v>5</v>
      </c>
      <c r="R7031" s="38">
        <v>0</v>
      </c>
      <c r="U7031" s="38">
        <v>0</v>
      </c>
      <c r="V7031" s="38">
        <v>0</v>
      </c>
      <c r="W7031" s="38">
        <v>0</v>
      </c>
      <c r="X7031" s="38">
        <v>0</v>
      </c>
      <c r="Y7031" s="38">
        <v>0</v>
      </c>
      <c r="Z7031" s="38">
        <v>0</v>
      </c>
      <c r="AA7031" s="38">
        <v>0</v>
      </c>
      <c r="AC7031" s="38">
        <v>0</v>
      </c>
      <c r="AD7031" s="38">
        <v>1.2</v>
      </c>
    </row>
    <row r="7032" spans="1:30" x14ac:dyDescent="0.25">
      <c r="A7032" s="22">
        <v>45383</v>
      </c>
      <c r="B7032" s="38">
        <v>9</v>
      </c>
      <c r="C7032" s="38">
        <v>2.2000000000000002</v>
      </c>
      <c r="D7032" s="38">
        <v>10</v>
      </c>
      <c r="E7032" s="38">
        <v>0.8</v>
      </c>
      <c r="F7032" s="38">
        <v>13.4</v>
      </c>
      <c r="G7032" s="38">
        <v>8.5</v>
      </c>
      <c r="H7032" s="38">
        <v>1.7</v>
      </c>
      <c r="I7032" s="38">
        <v>3.8</v>
      </c>
      <c r="J7032" s="38">
        <v>8</v>
      </c>
      <c r="K7032" s="38">
        <v>9.6</v>
      </c>
      <c r="L7032" s="38">
        <v>1.52</v>
      </c>
      <c r="M7032" s="38">
        <v>4</v>
      </c>
      <c r="N7032" s="38">
        <v>4.4000000000000004</v>
      </c>
      <c r="P7032" s="38">
        <v>0</v>
      </c>
      <c r="Q7032" s="38">
        <v>0</v>
      </c>
      <c r="R7032" s="38">
        <v>0</v>
      </c>
      <c r="S7032" s="38">
        <v>0</v>
      </c>
      <c r="T7032" s="38">
        <v>0</v>
      </c>
      <c r="U7032" s="38">
        <v>14</v>
      </c>
      <c r="V7032" s="38">
        <v>2.2000000000000002</v>
      </c>
      <c r="W7032" s="38">
        <v>0</v>
      </c>
      <c r="X7032" s="38">
        <v>0</v>
      </c>
      <c r="Y7032" s="38">
        <v>0</v>
      </c>
      <c r="Z7032" s="38">
        <v>0</v>
      </c>
      <c r="AA7032" s="38">
        <v>24</v>
      </c>
    </row>
    <row r="7033" spans="1:30" x14ac:dyDescent="0.25">
      <c r="A7033" s="22">
        <v>45384</v>
      </c>
      <c r="B7033" s="38">
        <v>0</v>
      </c>
      <c r="C7033" s="38">
        <v>0</v>
      </c>
      <c r="D7033" s="38">
        <v>0</v>
      </c>
      <c r="E7033" s="38">
        <v>2</v>
      </c>
      <c r="F7033" s="38">
        <v>0</v>
      </c>
      <c r="G7033" s="38">
        <v>1.5</v>
      </c>
      <c r="H7033" s="38">
        <v>1.1000000000000001</v>
      </c>
      <c r="I7033" s="38">
        <v>2</v>
      </c>
      <c r="J7033" s="38">
        <v>1.2</v>
      </c>
      <c r="K7033" s="38">
        <v>1.2</v>
      </c>
      <c r="L7033" s="38">
        <v>0</v>
      </c>
      <c r="M7033" s="38">
        <v>1</v>
      </c>
      <c r="N7033" s="38">
        <v>3.4000000000000004</v>
      </c>
      <c r="P7033" s="38">
        <v>1</v>
      </c>
      <c r="Q7033" s="38">
        <v>7</v>
      </c>
      <c r="R7033" s="38">
        <v>0</v>
      </c>
      <c r="S7033" s="38">
        <v>0</v>
      </c>
      <c r="T7033" s="38">
        <v>0</v>
      </c>
      <c r="U7033" s="38">
        <v>0</v>
      </c>
      <c r="V7033" s="38">
        <v>0</v>
      </c>
      <c r="W7033" s="38">
        <v>0</v>
      </c>
      <c r="X7033" s="38">
        <v>0</v>
      </c>
      <c r="Y7033" s="38">
        <v>0</v>
      </c>
      <c r="Z7033" s="38">
        <v>0</v>
      </c>
      <c r="AA7033" s="38">
        <v>10</v>
      </c>
    </row>
    <row r="7034" spans="1:30" x14ac:dyDescent="0.25">
      <c r="A7034" s="22">
        <v>45385</v>
      </c>
      <c r="B7034" s="38">
        <v>2</v>
      </c>
      <c r="C7034" s="38">
        <v>7.6</v>
      </c>
      <c r="D7034" s="38">
        <v>7.6</v>
      </c>
      <c r="E7034" s="38">
        <v>6</v>
      </c>
      <c r="F7034" s="38">
        <v>3.2</v>
      </c>
      <c r="G7034" s="38">
        <v>0</v>
      </c>
      <c r="H7034" s="38">
        <v>2.2000000000000002</v>
      </c>
      <c r="I7034" s="38">
        <v>4</v>
      </c>
      <c r="J7034" s="38">
        <v>6.6</v>
      </c>
      <c r="K7034" s="38">
        <v>10.4</v>
      </c>
      <c r="L7034" s="38">
        <v>0</v>
      </c>
      <c r="M7034" s="38">
        <v>6</v>
      </c>
      <c r="N7034" s="38">
        <v>2.8000000000000003</v>
      </c>
      <c r="P7034" s="38">
        <v>0</v>
      </c>
      <c r="Q7034" s="38">
        <v>3</v>
      </c>
      <c r="R7034" s="38">
        <v>8</v>
      </c>
      <c r="S7034" s="38">
        <v>0</v>
      </c>
      <c r="T7034" s="38">
        <v>0</v>
      </c>
      <c r="U7034" s="38">
        <v>6</v>
      </c>
      <c r="V7034" s="38">
        <v>4.2</v>
      </c>
      <c r="W7034" s="38">
        <v>4.4000000000000004</v>
      </c>
      <c r="X7034" s="38">
        <v>0</v>
      </c>
      <c r="Y7034" s="38">
        <v>0</v>
      </c>
      <c r="Z7034" s="38">
        <v>0</v>
      </c>
      <c r="AA7034" s="38">
        <v>0</v>
      </c>
    </row>
    <row r="7035" spans="1:30" x14ac:dyDescent="0.25">
      <c r="A7035" s="22">
        <v>45386</v>
      </c>
      <c r="B7035" s="38">
        <v>0</v>
      </c>
      <c r="C7035" s="38">
        <v>2.6</v>
      </c>
      <c r="D7035" s="38">
        <v>5.2</v>
      </c>
      <c r="E7035" s="38">
        <v>0.4</v>
      </c>
      <c r="F7035" s="38">
        <v>0</v>
      </c>
      <c r="G7035" s="38">
        <v>0</v>
      </c>
      <c r="H7035" s="38">
        <v>0</v>
      </c>
      <c r="I7035" s="38">
        <v>0.3</v>
      </c>
      <c r="J7035" s="38">
        <v>1.8</v>
      </c>
      <c r="K7035" s="38">
        <v>1.6</v>
      </c>
      <c r="L7035" s="38">
        <v>5.6</v>
      </c>
      <c r="M7035" s="38">
        <v>0</v>
      </c>
      <c r="N7035" s="38">
        <v>1.4</v>
      </c>
      <c r="P7035" s="38">
        <v>2</v>
      </c>
      <c r="Q7035" s="38">
        <v>0</v>
      </c>
      <c r="R7035" s="38">
        <v>6.1</v>
      </c>
      <c r="S7035" s="38">
        <v>0</v>
      </c>
      <c r="T7035" s="38">
        <v>0</v>
      </c>
      <c r="U7035" s="38">
        <v>1</v>
      </c>
      <c r="V7035" s="38">
        <v>0</v>
      </c>
      <c r="W7035" s="38">
        <v>0</v>
      </c>
      <c r="X7035" s="38">
        <v>0</v>
      </c>
      <c r="Y7035" s="38">
        <v>2</v>
      </c>
      <c r="Z7035" s="38">
        <v>2</v>
      </c>
      <c r="AA7035" s="38">
        <v>0</v>
      </c>
    </row>
    <row r="7036" spans="1:30" x14ac:dyDescent="0.25">
      <c r="A7036" s="22">
        <v>45387</v>
      </c>
      <c r="B7036" s="38">
        <v>13</v>
      </c>
      <c r="C7036" s="38">
        <v>0.8</v>
      </c>
      <c r="D7036" s="38">
        <v>1</v>
      </c>
      <c r="E7036" s="38">
        <v>0</v>
      </c>
      <c r="F7036" s="38">
        <v>0</v>
      </c>
      <c r="G7036" s="38">
        <v>0</v>
      </c>
      <c r="H7036" s="38">
        <v>0</v>
      </c>
      <c r="I7036" s="38">
        <v>0.2</v>
      </c>
      <c r="J7036" s="38">
        <v>1.1000000000000001</v>
      </c>
      <c r="K7036" s="38">
        <v>1.8</v>
      </c>
      <c r="L7036" s="38">
        <v>0</v>
      </c>
      <c r="M7036" s="38">
        <v>0</v>
      </c>
      <c r="N7036" s="38">
        <v>1.4</v>
      </c>
      <c r="P7036" s="38">
        <v>0</v>
      </c>
      <c r="Q7036" s="38">
        <v>0</v>
      </c>
      <c r="R7036" s="38">
        <v>0</v>
      </c>
      <c r="S7036" s="38">
        <v>0</v>
      </c>
      <c r="T7036" s="38">
        <v>0</v>
      </c>
      <c r="U7036" s="38">
        <v>0</v>
      </c>
      <c r="V7036" s="38">
        <v>0</v>
      </c>
      <c r="W7036" s="38">
        <v>0</v>
      </c>
      <c r="X7036" s="38">
        <v>0</v>
      </c>
      <c r="Y7036" s="38">
        <v>0</v>
      </c>
      <c r="Z7036" s="38">
        <v>0</v>
      </c>
      <c r="AA7036" s="38">
        <v>0</v>
      </c>
    </row>
    <row r="7037" spans="1:30" x14ac:dyDescent="0.25">
      <c r="A7037" s="22">
        <v>45388</v>
      </c>
      <c r="B7037" s="38">
        <v>0</v>
      </c>
      <c r="C7037" s="38">
        <v>0</v>
      </c>
      <c r="D7037" s="38">
        <v>0</v>
      </c>
      <c r="E7037" s="38">
        <v>0</v>
      </c>
      <c r="F7037" s="38">
        <v>0</v>
      </c>
      <c r="G7037" s="38">
        <v>0</v>
      </c>
      <c r="H7037" s="38">
        <v>0</v>
      </c>
      <c r="I7037" s="38">
        <v>1.1000000000000001</v>
      </c>
      <c r="J7037" s="38">
        <v>0</v>
      </c>
      <c r="K7037" s="38">
        <v>0</v>
      </c>
      <c r="L7037" s="38">
        <v>0</v>
      </c>
      <c r="M7037" s="38">
        <v>0.4</v>
      </c>
      <c r="N7037" s="38">
        <v>0.60000000000000009</v>
      </c>
      <c r="P7037" s="38">
        <v>0</v>
      </c>
      <c r="Q7037" s="38">
        <v>0</v>
      </c>
      <c r="R7037" s="38">
        <v>0</v>
      </c>
      <c r="S7037" s="38">
        <v>0</v>
      </c>
      <c r="T7037" s="38">
        <v>0</v>
      </c>
      <c r="U7037" s="38">
        <v>0</v>
      </c>
      <c r="V7037" s="38">
        <v>0.2</v>
      </c>
      <c r="W7037" s="38">
        <v>0</v>
      </c>
      <c r="X7037" s="38">
        <v>1.5</v>
      </c>
      <c r="Y7037" s="38">
        <v>0</v>
      </c>
      <c r="Z7037" s="38">
        <v>0</v>
      </c>
      <c r="AA7037" s="38">
        <v>0</v>
      </c>
    </row>
    <row r="7038" spans="1:30" x14ac:dyDescent="0.25">
      <c r="A7038" s="22">
        <v>45389</v>
      </c>
      <c r="B7038" s="38">
        <v>0</v>
      </c>
      <c r="C7038" s="38">
        <v>0</v>
      </c>
      <c r="D7038" s="38">
        <v>0</v>
      </c>
      <c r="E7038" s="38">
        <v>0</v>
      </c>
      <c r="F7038" s="38">
        <v>0</v>
      </c>
      <c r="G7038" s="38">
        <v>0</v>
      </c>
      <c r="H7038" s="38">
        <v>0</v>
      </c>
      <c r="I7038" s="38">
        <v>0</v>
      </c>
      <c r="J7038" s="38">
        <v>0</v>
      </c>
      <c r="K7038" s="38">
        <v>0</v>
      </c>
      <c r="L7038" s="38">
        <v>0</v>
      </c>
      <c r="M7038" s="38">
        <v>0</v>
      </c>
      <c r="N7038" s="38">
        <v>0</v>
      </c>
      <c r="P7038" s="38">
        <v>0</v>
      </c>
      <c r="Q7038" s="38">
        <v>0</v>
      </c>
      <c r="R7038" s="38">
        <v>0</v>
      </c>
      <c r="S7038" s="38">
        <v>0</v>
      </c>
      <c r="T7038" s="38">
        <v>0</v>
      </c>
      <c r="U7038" s="38">
        <v>0</v>
      </c>
      <c r="V7038" s="38">
        <v>0</v>
      </c>
      <c r="W7038" s="38">
        <v>0</v>
      </c>
      <c r="X7038" s="38">
        <v>0</v>
      </c>
      <c r="Y7038" s="38">
        <v>0</v>
      </c>
      <c r="Z7038" s="38">
        <v>0</v>
      </c>
      <c r="AA7038" s="38">
        <v>0</v>
      </c>
    </row>
    <row r="7039" spans="1:30" x14ac:dyDescent="0.25">
      <c r="A7039" s="22">
        <v>45390</v>
      </c>
      <c r="B7039" s="38">
        <v>0</v>
      </c>
      <c r="C7039" s="38">
        <v>0</v>
      </c>
      <c r="D7039" s="38">
        <v>0</v>
      </c>
      <c r="E7039" s="38">
        <v>0</v>
      </c>
      <c r="F7039" s="38">
        <v>0</v>
      </c>
      <c r="G7039" s="38">
        <v>0</v>
      </c>
      <c r="H7039" s="38">
        <v>0</v>
      </c>
      <c r="I7039" s="38">
        <v>0</v>
      </c>
      <c r="J7039" s="38">
        <v>0</v>
      </c>
      <c r="K7039" s="38">
        <v>0</v>
      </c>
      <c r="L7039" s="38">
        <v>0</v>
      </c>
      <c r="M7039" s="38">
        <v>0</v>
      </c>
      <c r="N7039" s="38">
        <v>0</v>
      </c>
      <c r="P7039" s="38">
        <v>0</v>
      </c>
      <c r="Q7039" s="38">
        <v>0</v>
      </c>
      <c r="R7039" s="38">
        <v>0</v>
      </c>
      <c r="S7039" s="38">
        <v>0</v>
      </c>
      <c r="T7039" s="38">
        <v>0</v>
      </c>
      <c r="U7039" s="38">
        <v>0</v>
      </c>
      <c r="V7039" s="38">
        <v>0</v>
      </c>
      <c r="W7039" s="38">
        <v>0</v>
      </c>
      <c r="X7039" s="38">
        <v>0</v>
      </c>
      <c r="Y7039" s="38">
        <v>0</v>
      </c>
      <c r="Z7039" s="38">
        <v>0</v>
      </c>
      <c r="AA7039" s="38">
        <v>0</v>
      </c>
    </row>
    <row r="7040" spans="1:30" x14ac:dyDescent="0.25">
      <c r="A7040" s="22">
        <v>45391</v>
      </c>
      <c r="B7040" s="38">
        <v>0</v>
      </c>
      <c r="C7040" s="38">
        <v>0</v>
      </c>
      <c r="D7040" s="38">
        <v>0</v>
      </c>
      <c r="E7040" s="38">
        <v>0</v>
      </c>
      <c r="F7040" s="38">
        <v>0</v>
      </c>
      <c r="G7040" s="38">
        <v>0</v>
      </c>
      <c r="H7040" s="38">
        <v>0</v>
      </c>
      <c r="I7040" s="38">
        <v>0</v>
      </c>
      <c r="J7040" s="38">
        <v>0</v>
      </c>
      <c r="K7040" s="38">
        <v>0</v>
      </c>
      <c r="L7040" s="38">
        <v>0</v>
      </c>
      <c r="M7040" s="38">
        <v>0</v>
      </c>
      <c r="N7040" s="38">
        <v>0</v>
      </c>
      <c r="P7040" s="38">
        <v>0</v>
      </c>
      <c r="Q7040" s="38">
        <v>0</v>
      </c>
      <c r="R7040" s="38">
        <v>0</v>
      </c>
      <c r="S7040" s="38">
        <v>0</v>
      </c>
      <c r="T7040" s="38">
        <v>0</v>
      </c>
      <c r="U7040" s="38">
        <v>0</v>
      </c>
      <c r="V7040" s="38">
        <v>0</v>
      </c>
      <c r="W7040" s="38">
        <v>0</v>
      </c>
      <c r="X7040" s="38">
        <v>0</v>
      </c>
      <c r="Y7040" s="38">
        <v>0</v>
      </c>
      <c r="Z7040" s="38">
        <v>0</v>
      </c>
      <c r="AA7040" s="38">
        <v>0</v>
      </c>
    </row>
    <row r="7041" spans="1:27" x14ac:dyDescent="0.25">
      <c r="A7041" s="22">
        <v>45392</v>
      </c>
      <c r="B7041" s="38">
        <v>0</v>
      </c>
      <c r="C7041" s="38">
        <v>0</v>
      </c>
      <c r="D7041" s="38">
        <v>0</v>
      </c>
      <c r="E7041" s="38">
        <v>0.8</v>
      </c>
      <c r="F7041" s="38">
        <v>0</v>
      </c>
      <c r="G7041" s="38">
        <v>0</v>
      </c>
      <c r="H7041" s="38">
        <v>0</v>
      </c>
      <c r="I7041" s="38">
        <v>0</v>
      </c>
      <c r="J7041" s="38">
        <v>0</v>
      </c>
      <c r="K7041" s="38">
        <v>0</v>
      </c>
      <c r="L7041" s="38">
        <v>0</v>
      </c>
      <c r="M7041" s="38">
        <v>0</v>
      </c>
      <c r="N7041" s="38">
        <v>0</v>
      </c>
      <c r="P7041" s="38">
        <v>0</v>
      </c>
      <c r="Q7041" s="38">
        <v>0</v>
      </c>
      <c r="R7041" s="38">
        <v>0</v>
      </c>
      <c r="S7041" s="38">
        <v>0</v>
      </c>
      <c r="T7041" s="38">
        <v>0</v>
      </c>
      <c r="U7041" s="38">
        <v>0</v>
      </c>
      <c r="V7041" s="38">
        <v>0</v>
      </c>
      <c r="W7041" s="38">
        <v>0</v>
      </c>
      <c r="X7041" s="38">
        <v>0</v>
      </c>
      <c r="Y7041" s="38">
        <v>0</v>
      </c>
      <c r="Z7041" s="38">
        <v>0</v>
      </c>
      <c r="AA7041" s="38">
        <v>0</v>
      </c>
    </row>
    <row r="7042" spans="1:27" x14ac:dyDescent="0.25">
      <c r="A7042" s="22">
        <v>45393</v>
      </c>
      <c r="B7042" s="38">
        <v>2</v>
      </c>
      <c r="C7042" s="38">
        <v>0</v>
      </c>
      <c r="D7042" s="38">
        <v>0</v>
      </c>
      <c r="E7042" s="38">
        <v>0</v>
      </c>
      <c r="F7042" s="38">
        <v>0</v>
      </c>
      <c r="G7042" s="38">
        <v>0</v>
      </c>
      <c r="H7042" s="38">
        <v>0</v>
      </c>
      <c r="I7042" s="38">
        <v>0</v>
      </c>
      <c r="J7042" s="38">
        <v>0</v>
      </c>
      <c r="K7042" s="38">
        <v>0</v>
      </c>
      <c r="L7042" s="38">
        <v>1.5</v>
      </c>
      <c r="M7042" s="38">
        <v>0</v>
      </c>
      <c r="N7042" s="38">
        <v>0.2</v>
      </c>
      <c r="P7042" s="38">
        <v>7</v>
      </c>
      <c r="Q7042" s="38">
        <v>0</v>
      </c>
      <c r="R7042" s="38">
        <v>0</v>
      </c>
      <c r="S7042" s="38">
        <v>0</v>
      </c>
      <c r="T7042" s="38">
        <v>1</v>
      </c>
      <c r="U7042" s="38">
        <v>0</v>
      </c>
      <c r="V7042" s="38">
        <v>0</v>
      </c>
      <c r="W7042" s="38">
        <v>0</v>
      </c>
      <c r="X7042" s="38">
        <v>0</v>
      </c>
      <c r="Y7042" s="38">
        <v>0</v>
      </c>
      <c r="Z7042" s="38">
        <v>0</v>
      </c>
      <c r="AA7042" s="38">
        <v>0</v>
      </c>
    </row>
    <row r="7043" spans="1:27" x14ac:dyDescent="0.25">
      <c r="A7043" s="22">
        <v>45394</v>
      </c>
      <c r="B7043" s="38">
        <v>0</v>
      </c>
      <c r="C7043" s="38">
        <v>2.8</v>
      </c>
      <c r="D7043" s="38">
        <v>2.1</v>
      </c>
      <c r="E7043" s="38">
        <v>0</v>
      </c>
      <c r="F7043" s="38">
        <v>0</v>
      </c>
      <c r="G7043" s="38">
        <v>1.1000000000000001</v>
      </c>
      <c r="H7043" s="38">
        <v>0</v>
      </c>
      <c r="I7043" s="38">
        <v>0</v>
      </c>
      <c r="J7043" s="38">
        <v>3</v>
      </c>
      <c r="K7043" s="38">
        <v>2</v>
      </c>
      <c r="L7043" s="38">
        <v>0</v>
      </c>
      <c r="M7043" s="38">
        <v>1</v>
      </c>
      <c r="N7043" s="38">
        <v>1.7999999999999998</v>
      </c>
      <c r="P7043" s="38">
        <v>1</v>
      </c>
      <c r="Q7043" s="38">
        <v>1.7</v>
      </c>
      <c r="R7043" s="38">
        <v>0</v>
      </c>
      <c r="S7043" s="38">
        <v>0</v>
      </c>
      <c r="T7043" s="38">
        <v>3</v>
      </c>
      <c r="U7043" s="38">
        <v>0</v>
      </c>
      <c r="V7043" s="38">
        <v>0.2</v>
      </c>
      <c r="W7043" s="38">
        <v>0.3</v>
      </c>
      <c r="X7043" s="38">
        <v>0</v>
      </c>
      <c r="Y7043" s="38">
        <v>0</v>
      </c>
      <c r="Z7043" s="38">
        <v>0</v>
      </c>
      <c r="AA7043" s="38">
        <v>0</v>
      </c>
    </row>
    <row r="7044" spans="1:27" x14ac:dyDescent="0.25">
      <c r="A7044" s="22">
        <v>45395</v>
      </c>
      <c r="B7044" s="38">
        <v>0</v>
      </c>
      <c r="C7044" s="38">
        <v>6.4</v>
      </c>
      <c r="D7044" s="38">
        <v>1</v>
      </c>
      <c r="E7044" s="38">
        <v>9.2000000000000011</v>
      </c>
      <c r="F7044" s="38">
        <v>1.4</v>
      </c>
      <c r="G7044" s="38">
        <v>2.5</v>
      </c>
      <c r="H7044" s="38">
        <v>2.4</v>
      </c>
      <c r="I7044" s="38">
        <v>1.2</v>
      </c>
      <c r="J7044" s="38">
        <v>1.8</v>
      </c>
      <c r="K7044" s="38">
        <v>0</v>
      </c>
      <c r="L7044" s="38">
        <v>2.2999999999999998</v>
      </c>
      <c r="M7044" s="38">
        <v>2.8</v>
      </c>
      <c r="N7044" s="38">
        <v>0.2</v>
      </c>
      <c r="P7044" s="38">
        <v>8</v>
      </c>
      <c r="Q7044" s="38">
        <v>3.9</v>
      </c>
      <c r="R7044" s="38">
        <v>0</v>
      </c>
      <c r="S7044" s="38">
        <v>0</v>
      </c>
      <c r="T7044" s="38">
        <v>0</v>
      </c>
      <c r="U7044" s="38">
        <v>0</v>
      </c>
      <c r="V7044" s="38">
        <v>0.2</v>
      </c>
      <c r="W7044" s="38">
        <v>2.4</v>
      </c>
      <c r="X7044" s="38">
        <v>2</v>
      </c>
      <c r="Y7044" s="38">
        <v>4</v>
      </c>
      <c r="Z7044" s="38">
        <v>4.5999999999999996</v>
      </c>
      <c r="AA7044" s="38">
        <v>4</v>
      </c>
    </row>
    <row r="7045" spans="1:27" x14ac:dyDescent="0.25">
      <c r="A7045" s="22">
        <v>45396</v>
      </c>
      <c r="B7045" s="38">
        <v>0</v>
      </c>
      <c r="C7045" s="38">
        <v>0</v>
      </c>
      <c r="D7045" s="38">
        <v>2</v>
      </c>
      <c r="E7045" s="38">
        <v>0.60000000000000009</v>
      </c>
      <c r="F7045" s="38">
        <v>3.1</v>
      </c>
      <c r="G7045" s="38">
        <v>3.4</v>
      </c>
      <c r="H7045" s="38">
        <v>2.2999999999999998</v>
      </c>
      <c r="I7045" s="38">
        <v>1.2</v>
      </c>
      <c r="J7045" s="38">
        <v>3.9</v>
      </c>
      <c r="K7045" s="38">
        <v>3</v>
      </c>
      <c r="L7045" s="38">
        <v>4.5999999999999996</v>
      </c>
      <c r="M7045" s="38">
        <v>4</v>
      </c>
      <c r="N7045" s="38">
        <v>2.8</v>
      </c>
      <c r="P7045" s="38">
        <v>1</v>
      </c>
      <c r="Q7045" s="38">
        <v>17</v>
      </c>
      <c r="R7045" s="38">
        <v>4.5</v>
      </c>
      <c r="S7045" s="38">
        <v>0</v>
      </c>
      <c r="T7045" s="38">
        <v>0</v>
      </c>
      <c r="U7045" s="38">
        <v>0</v>
      </c>
      <c r="V7045" s="38">
        <v>0.2</v>
      </c>
      <c r="W7045" s="38">
        <v>0.3</v>
      </c>
      <c r="X7045" s="38">
        <v>2</v>
      </c>
      <c r="Y7045" s="38">
        <v>0</v>
      </c>
      <c r="Z7045" s="38">
        <v>0</v>
      </c>
      <c r="AA7045" s="38">
        <v>0</v>
      </c>
    </row>
    <row r="7046" spans="1:27" x14ac:dyDescent="0.25">
      <c r="A7046" s="22">
        <v>45397</v>
      </c>
      <c r="B7046" s="38">
        <v>5</v>
      </c>
      <c r="C7046" s="38">
        <v>13.2</v>
      </c>
      <c r="D7046" s="38">
        <v>19</v>
      </c>
      <c r="E7046" s="38">
        <v>14.799999999999999</v>
      </c>
      <c r="F7046" s="38">
        <v>10.1</v>
      </c>
      <c r="G7046" s="38">
        <v>10.5</v>
      </c>
      <c r="H7046" s="38">
        <v>11.9</v>
      </c>
      <c r="I7046" s="38">
        <v>8</v>
      </c>
      <c r="J7046" s="38">
        <v>11.6</v>
      </c>
      <c r="K7046" s="38">
        <v>3</v>
      </c>
      <c r="L7046" s="38">
        <v>13.9</v>
      </c>
      <c r="M7046" s="38">
        <v>12</v>
      </c>
      <c r="N7046" s="38">
        <v>14.799999999999995</v>
      </c>
      <c r="P7046" s="38">
        <v>8</v>
      </c>
      <c r="Q7046" s="38">
        <v>0</v>
      </c>
      <c r="R7046" s="38">
        <v>10.199999999999999</v>
      </c>
      <c r="S7046" s="38">
        <v>0</v>
      </c>
      <c r="T7046" s="38">
        <v>7</v>
      </c>
      <c r="U7046" s="38">
        <v>22</v>
      </c>
      <c r="V7046" s="38">
        <v>4.3</v>
      </c>
      <c r="W7046" s="38">
        <v>6.3</v>
      </c>
      <c r="X7046" s="38">
        <v>21</v>
      </c>
      <c r="Y7046" s="38">
        <v>16</v>
      </c>
      <c r="Z7046" s="38">
        <v>16.5</v>
      </c>
      <c r="AA7046" s="38">
        <v>20</v>
      </c>
    </row>
    <row r="7047" spans="1:27" x14ac:dyDescent="0.25">
      <c r="A7047" s="22">
        <v>45398</v>
      </c>
      <c r="B7047" s="38">
        <v>0</v>
      </c>
      <c r="C7047" s="38">
        <v>0</v>
      </c>
      <c r="D7047" s="38">
        <v>0</v>
      </c>
      <c r="E7047" s="38">
        <v>0</v>
      </c>
      <c r="F7047" s="38">
        <v>0</v>
      </c>
      <c r="G7047" s="38">
        <v>0</v>
      </c>
      <c r="H7047" s="38">
        <v>0</v>
      </c>
      <c r="I7047" s="38">
        <v>0</v>
      </c>
      <c r="J7047" s="38">
        <v>0</v>
      </c>
      <c r="K7047" s="38">
        <v>0</v>
      </c>
      <c r="L7047" s="38">
        <v>0</v>
      </c>
      <c r="M7047" s="38">
        <v>0</v>
      </c>
      <c r="N7047" s="38">
        <v>0.2</v>
      </c>
      <c r="P7047" s="38">
        <v>0</v>
      </c>
      <c r="Q7047" s="38">
        <v>0</v>
      </c>
      <c r="R7047" s="38">
        <v>0</v>
      </c>
      <c r="S7047" s="38">
        <v>0</v>
      </c>
      <c r="T7047" s="38">
        <v>0</v>
      </c>
      <c r="U7047" s="38">
        <v>0</v>
      </c>
      <c r="V7047" s="38">
        <v>0</v>
      </c>
      <c r="W7047" s="38">
        <v>0</v>
      </c>
      <c r="X7047" s="38">
        <v>0</v>
      </c>
      <c r="Y7047" s="38">
        <v>0</v>
      </c>
      <c r="Z7047" s="38">
        <v>0</v>
      </c>
      <c r="AA7047" s="38">
        <v>0</v>
      </c>
    </row>
    <row r="7048" spans="1:27" x14ac:dyDescent="0.25">
      <c r="A7048" s="22">
        <v>45399</v>
      </c>
      <c r="B7048" s="38">
        <v>0</v>
      </c>
      <c r="C7048" s="38">
        <v>0</v>
      </c>
      <c r="D7048" s="38">
        <v>0</v>
      </c>
      <c r="E7048" s="38">
        <v>0</v>
      </c>
      <c r="F7048" s="38">
        <v>0</v>
      </c>
      <c r="G7048" s="38">
        <v>0</v>
      </c>
      <c r="H7048" s="38">
        <v>0</v>
      </c>
      <c r="I7048" s="38">
        <v>0</v>
      </c>
      <c r="J7048" s="38">
        <v>0</v>
      </c>
      <c r="K7048" s="38">
        <v>0</v>
      </c>
      <c r="L7048" s="38">
        <v>0</v>
      </c>
      <c r="M7048" s="38">
        <v>0</v>
      </c>
      <c r="N7048" s="38">
        <v>0</v>
      </c>
      <c r="P7048" s="38">
        <v>0</v>
      </c>
      <c r="Q7048" s="38">
        <v>0</v>
      </c>
      <c r="R7048" s="38">
        <v>0</v>
      </c>
      <c r="S7048" s="38">
        <v>0</v>
      </c>
      <c r="T7048" s="38">
        <v>0</v>
      </c>
      <c r="U7048" s="38">
        <v>0</v>
      </c>
      <c r="V7048" s="38">
        <v>0</v>
      </c>
      <c r="W7048" s="38">
        <v>0</v>
      </c>
      <c r="X7048" s="38">
        <v>0</v>
      </c>
      <c r="Y7048" s="38">
        <v>0</v>
      </c>
      <c r="Z7048" s="38">
        <v>0</v>
      </c>
      <c r="AA7048" s="38">
        <v>0</v>
      </c>
    </row>
    <row r="7049" spans="1:27" x14ac:dyDescent="0.25">
      <c r="A7049" s="22">
        <v>45400</v>
      </c>
      <c r="B7049" s="38">
        <v>0</v>
      </c>
      <c r="C7049" s="38">
        <v>0</v>
      </c>
      <c r="D7049" s="38">
        <v>0</v>
      </c>
      <c r="E7049" s="38">
        <v>0</v>
      </c>
      <c r="F7049" s="38">
        <v>0</v>
      </c>
      <c r="G7049" s="38">
        <v>0</v>
      </c>
      <c r="H7049" s="38">
        <v>0</v>
      </c>
      <c r="I7049" s="38">
        <v>0</v>
      </c>
      <c r="J7049" s="38">
        <v>0</v>
      </c>
      <c r="K7049" s="38">
        <v>0</v>
      </c>
      <c r="L7049" s="38">
        <v>0</v>
      </c>
      <c r="M7049" s="38">
        <v>0</v>
      </c>
      <c r="N7049" s="38">
        <v>0</v>
      </c>
      <c r="P7049" s="38">
        <v>0</v>
      </c>
      <c r="Q7049" s="38">
        <v>0</v>
      </c>
      <c r="R7049" s="38">
        <v>0</v>
      </c>
      <c r="S7049" s="38">
        <v>0</v>
      </c>
      <c r="T7049" s="38">
        <v>0</v>
      </c>
      <c r="U7049" s="38">
        <v>0</v>
      </c>
      <c r="V7049" s="38">
        <v>0</v>
      </c>
      <c r="W7049" s="38">
        <v>0</v>
      </c>
      <c r="X7049" s="38">
        <v>0</v>
      </c>
      <c r="Y7049" s="38">
        <v>0</v>
      </c>
      <c r="Z7049" s="38">
        <v>0</v>
      </c>
      <c r="AA7049" s="38">
        <v>0</v>
      </c>
    </row>
    <row r="7050" spans="1:27" x14ac:dyDescent="0.25">
      <c r="A7050" s="22">
        <v>45401</v>
      </c>
      <c r="B7050" s="38">
        <v>0</v>
      </c>
      <c r="C7050" s="38">
        <v>0</v>
      </c>
      <c r="D7050" s="38">
        <v>3.6</v>
      </c>
      <c r="E7050" s="38">
        <v>5.2</v>
      </c>
      <c r="F7050" s="38">
        <v>0</v>
      </c>
      <c r="G7050" s="38">
        <v>0</v>
      </c>
      <c r="H7050" s="38">
        <v>0</v>
      </c>
      <c r="I7050" s="38">
        <v>0</v>
      </c>
      <c r="J7050" s="38">
        <v>0</v>
      </c>
      <c r="K7050" s="38">
        <v>0</v>
      </c>
      <c r="L7050" s="38">
        <v>0</v>
      </c>
      <c r="M7050" s="38">
        <v>0</v>
      </c>
      <c r="N7050" s="38">
        <v>15.799999999999999</v>
      </c>
      <c r="P7050" s="38">
        <v>0</v>
      </c>
      <c r="Q7050" s="38">
        <v>0</v>
      </c>
      <c r="R7050" s="38">
        <v>0</v>
      </c>
      <c r="S7050" s="38">
        <v>0</v>
      </c>
      <c r="T7050" s="38">
        <v>0</v>
      </c>
      <c r="U7050" s="38">
        <v>0</v>
      </c>
      <c r="V7050" s="38">
        <v>0</v>
      </c>
      <c r="W7050" s="38">
        <v>0</v>
      </c>
      <c r="X7050" s="38">
        <v>0</v>
      </c>
      <c r="Y7050" s="38">
        <v>0</v>
      </c>
      <c r="Z7050" s="38">
        <v>0</v>
      </c>
      <c r="AA7050" s="38">
        <v>0</v>
      </c>
    </row>
    <row r="7051" spans="1:27" x14ac:dyDescent="0.25">
      <c r="A7051" s="22">
        <v>45402</v>
      </c>
      <c r="B7051" s="38">
        <v>0</v>
      </c>
      <c r="C7051" s="38">
        <v>22.8</v>
      </c>
      <c r="D7051" s="38">
        <v>24.8</v>
      </c>
      <c r="E7051" s="38">
        <v>0</v>
      </c>
      <c r="F7051" s="38">
        <v>0</v>
      </c>
      <c r="G7051" s="38">
        <v>0</v>
      </c>
      <c r="H7051" s="38">
        <v>0</v>
      </c>
      <c r="I7051" s="38">
        <v>0</v>
      </c>
      <c r="J7051" s="38">
        <v>5.2</v>
      </c>
      <c r="K7051" s="38">
        <v>14.4</v>
      </c>
      <c r="L7051" s="38">
        <v>0</v>
      </c>
      <c r="M7051" s="38">
        <v>0</v>
      </c>
      <c r="N7051" s="38">
        <v>2.6000000000000005</v>
      </c>
      <c r="P7051" s="38">
        <v>0</v>
      </c>
      <c r="Q7051" s="38">
        <v>0</v>
      </c>
      <c r="R7051" s="38">
        <v>0</v>
      </c>
      <c r="S7051" s="38">
        <v>0</v>
      </c>
      <c r="T7051" s="38">
        <v>0</v>
      </c>
      <c r="U7051" s="38">
        <v>63</v>
      </c>
      <c r="V7051" s="38">
        <v>0.3</v>
      </c>
      <c r="W7051" s="38">
        <v>0.2</v>
      </c>
      <c r="X7051" s="38">
        <v>0</v>
      </c>
      <c r="Y7051" s="38">
        <v>0</v>
      </c>
      <c r="Z7051" s="38">
        <v>0</v>
      </c>
      <c r="AA7051" s="38">
        <v>0</v>
      </c>
    </row>
    <row r="7052" spans="1:27" x14ac:dyDescent="0.25">
      <c r="A7052" s="22">
        <v>45403</v>
      </c>
      <c r="B7052" s="38">
        <v>0</v>
      </c>
      <c r="C7052" s="38">
        <v>0</v>
      </c>
      <c r="D7052" s="38">
        <v>1</v>
      </c>
      <c r="E7052" s="38">
        <v>0</v>
      </c>
      <c r="F7052" s="38">
        <v>0</v>
      </c>
      <c r="G7052" s="38">
        <v>5.5</v>
      </c>
      <c r="H7052" s="38">
        <v>5.4</v>
      </c>
      <c r="I7052" s="38">
        <v>1</v>
      </c>
      <c r="J7052" s="38">
        <v>14.4</v>
      </c>
      <c r="K7052" s="38">
        <v>3.9</v>
      </c>
      <c r="L7052" s="38">
        <v>2</v>
      </c>
      <c r="M7052" s="38">
        <v>5</v>
      </c>
      <c r="N7052" s="38">
        <v>4.8</v>
      </c>
      <c r="P7052" s="38">
        <v>7</v>
      </c>
      <c r="Q7052" s="38">
        <v>4.5</v>
      </c>
      <c r="R7052" s="38">
        <v>0</v>
      </c>
      <c r="S7052" s="38">
        <v>0</v>
      </c>
      <c r="T7052" s="38">
        <v>0</v>
      </c>
      <c r="U7052" s="38">
        <v>4</v>
      </c>
      <c r="V7052" s="38">
        <v>0.2</v>
      </c>
      <c r="W7052" s="38">
        <v>0.3</v>
      </c>
      <c r="X7052" s="38">
        <v>0</v>
      </c>
      <c r="Y7052" s="38">
        <v>0</v>
      </c>
      <c r="Z7052" s="38">
        <v>0</v>
      </c>
      <c r="AA7052" s="38">
        <v>0</v>
      </c>
    </row>
    <row r="7053" spans="1:27" x14ac:dyDescent="0.25">
      <c r="A7053" s="22">
        <v>45404</v>
      </c>
      <c r="B7053" s="38">
        <v>5</v>
      </c>
      <c r="C7053" s="38">
        <v>0</v>
      </c>
      <c r="D7053" s="38">
        <v>1.2</v>
      </c>
      <c r="E7053" s="38">
        <v>0</v>
      </c>
      <c r="F7053" s="38">
        <v>0</v>
      </c>
      <c r="G7053" s="38">
        <v>0</v>
      </c>
      <c r="H7053" s="38">
        <v>0</v>
      </c>
      <c r="I7053" s="38">
        <v>0</v>
      </c>
      <c r="J7053" s="38">
        <v>0.5</v>
      </c>
      <c r="K7053" s="38">
        <v>0</v>
      </c>
      <c r="L7053" s="38">
        <v>0</v>
      </c>
      <c r="M7053" s="38">
        <v>0</v>
      </c>
      <c r="N7053" s="38">
        <v>0</v>
      </c>
      <c r="P7053" s="38">
        <v>0</v>
      </c>
      <c r="Q7053" s="38">
        <v>0</v>
      </c>
      <c r="R7053" s="38">
        <v>1.2</v>
      </c>
      <c r="S7053" s="38">
        <v>13</v>
      </c>
      <c r="T7053" s="38">
        <v>12</v>
      </c>
      <c r="U7053" s="38">
        <v>0</v>
      </c>
      <c r="V7053" s="38">
        <v>2.2000000000000002</v>
      </c>
      <c r="W7053" s="38">
        <v>0</v>
      </c>
      <c r="X7053" s="38">
        <v>0</v>
      </c>
      <c r="Y7053" s="38">
        <v>0</v>
      </c>
      <c r="Z7053" s="38">
        <v>0</v>
      </c>
      <c r="AA7053" s="38">
        <v>0</v>
      </c>
    </row>
    <row r="7054" spans="1:27" x14ac:dyDescent="0.25">
      <c r="A7054" s="22">
        <v>45405</v>
      </c>
      <c r="B7054" s="38">
        <v>0</v>
      </c>
      <c r="C7054" s="38">
        <v>0</v>
      </c>
      <c r="D7054" s="38">
        <v>0</v>
      </c>
      <c r="E7054" s="38">
        <v>0</v>
      </c>
      <c r="F7054" s="38">
        <v>0</v>
      </c>
      <c r="G7054" s="38">
        <v>0.3</v>
      </c>
      <c r="H7054" s="38">
        <v>0</v>
      </c>
      <c r="I7054" s="38">
        <v>2</v>
      </c>
      <c r="J7054" s="38">
        <v>0</v>
      </c>
      <c r="K7054" s="38">
        <v>0</v>
      </c>
      <c r="L7054" s="38">
        <v>0</v>
      </c>
      <c r="M7054" s="38">
        <v>1.5</v>
      </c>
      <c r="N7054" s="38">
        <v>0</v>
      </c>
      <c r="P7054" s="38">
        <v>0</v>
      </c>
      <c r="Q7054" s="38">
        <v>0</v>
      </c>
      <c r="R7054" s="38">
        <v>0</v>
      </c>
      <c r="S7054" s="38">
        <v>0</v>
      </c>
      <c r="T7054" s="38">
        <v>0</v>
      </c>
      <c r="U7054" s="38">
        <v>0</v>
      </c>
      <c r="V7054" s="38">
        <v>0</v>
      </c>
      <c r="W7054" s="38">
        <v>0</v>
      </c>
      <c r="X7054" s="38">
        <v>4</v>
      </c>
      <c r="Y7054" s="38">
        <v>0</v>
      </c>
      <c r="Z7054" s="38">
        <v>0</v>
      </c>
      <c r="AA7054" s="38">
        <v>0</v>
      </c>
    </row>
    <row r="7055" spans="1:27" x14ac:dyDescent="0.25">
      <c r="A7055" s="22">
        <v>45406</v>
      </c>
      <c r="B7055" s="38">
        <v>0</v>
      </c>
      <c r="C7055" s="38">
        <v>0</v>
      </c>
      <c r="D7055" s="38">
        <v>0</v>
      </c>
      <c r="E7055" s="38">
        <v>0</v>
      </c>
      <c r="F7055" s="38">
        <v>0</v>
      </c>
      <c r="G7055" s="38">
        <v>1.8</v>
      </c>
      <c r="H7055" s="38">
        <v>0</v>
      </c>
      <c r="I7055" s="38">
        <v>2</v>
      </c>
      <c r="J7055" s="38">
        <v>0</v>
      </c>
      <c r="K7055" s="38">
        <v>0</v>
      </c>
      <c r="L7055" s="38">
        <v>0</v>
      </c>
      <c r="M7055" s="38">
        <v>1</v>
      </c>
      <c r="N7055" s="38">
        <v>0</v>
      </c>
      <c r="P7055" s="38">
        <v>0</v>
      </c>
      <c r="Q7055" s="38">
        <v>0</v>
      </c>
      <c r="R7055" s="38">
        <v>0</v>
      </c>
      <c r="S7055" s="38">
        <v>0</v>
      </c>
      <c r="T7055" s="38">
        <v>0</v>
      </c>
      <c r="U7055" s="38">
        <v>0</v>
      </c>
      <c r="V7055" s="38">
        <v>0</v>
      </c>
      <c r="W7055" s="38">
        <v>0.1</v>
      </c>
      <c r="X7055" s="38">
        <v>0</v>
      </c>
      <c r="Y7055" s="38">
        <v>0</v>
      </c>
      <c r="Z7055" s="38">
        <v>0</v>
      </c>
      <c r="AA7055" s="38">
        <v>0</v>
      </c>
    </row>
    <row r="7056" spans="1:27" x14ac:dyDescent="0.25">
      <c r="A7056" s="22">
        <v>45407</v>
      </c>
      <c r="B7056" s="38">
        <v>15</v>
      </c>
      <c r="C7056" s="38">
        <v>0</v>
      </c>
      <c r="D7056" s="38">
        <v>0</v>
      </c>
      <c r="E7056" s="38">
        <v>0</v>
      </c>
      <c r="F7056" s="38">
        <v>0</v>
      </c>
      <c r="G7056" s="38">
        <v>0</v>
      </c>
      <c r="H7056" s="38">
        <v>0</v>
      </c>
      <c r="I7056" s="38">
        <v>0</v>
      </c>
      <c r="J7056" s="38">
        <v>0</v>
      </c>
      <c r="K7056" s="38">
        <v>0</v>
      </c>
      <c r="L7056" s="38">
        <v>0</v>
      </c>
      <c r="M7056" s="38">
        <v>0.2</v>
      </c>
      <c r="N7056" s="38">
        <v>0.2</v>
      </c>
      <c r="P7056" s="38">
        <v>0</v>
      </c>
      <c r="Q7056" s="38">
        <v>2</v>
      </c>
      <c r="R7056" s="38">
        <v>0</v>
      </c>
      <c r="S7056" s="38">
        <v>0</v>
      </c>
      <c r="T7056" s="38">
        <v>0</v>
      </c>
      <c r="U7056" s="38">
        <v>0</v>
      </c>
      <c r="V7056" s="38">
        <v>0</v>
      </c>
      <c r="W7056" s="38">
        <v>0</v>
      </c>
      <c r="X7056" s="38">
        <v>0</v>
      </c>
      <c r="Y7056" s="38">
        <v>0</v>
      </c>
      <c r="Z7056" s="38">
        <v>0</v>
      </c>
      <c r="AA7056" s="38">
        <v>0</v>
      </c>
    </row>
    <row r="7057" spans="1:27" x14ac:dyDescent="0.25">
      <c r="A7057" s="22">
        <v>45408</v>
      </c>
      <c r="B7057" s="38">
        <v>5</v>
      </c>
      <c r="C7057" s="38">
        <v>2.4</v>
      </c>
      <c r="D7057" s="38">
        <v>0</v>
      </c>
      <c r="E7057" s="38">
        <v>0.4</v>
      </c>
      <c r="F7057" s="38">
        <v>2.4</v>
      </c>
      <c r="G7057" s="38">
        <v>10.4</v>
      </c>
      <c r="H7057" s="38">
        <v>1.4</v>
      </c>
      <c r="I7057" s="38">
        <v>5</v>
      </c>
      <c r="J7057" s="38">
        <v>5</v>
      </c>
      <c r="K7057" s="38">
        <v>2</v>
      </c>
      <c r="L7057" s="38">
        <v>0</v>
      </c>
      <c r="M7057" s="38">
        <v>0</v>
      </c>
      <c r="N7057" s="38">
        <v>7.1999999999999993</v>
      </c>
      <c r="P7057" s="38">
        <v>0</v>
      </c>
      <c r="Q7057" s="38">
        <v>0</v>
      </c>
      <c r="R7057" s="38">
        <v>0</v>
      </c>
      <c r="S7057" s="38">
        <v>0</v>
      </c>
      <c r="T7057" s="38">
        <v>0</v>
      </c>
      <c r="U7057" s="38">
        <v>6</v>
      </c>
      <c r="V7057" s="38">
        <v>2.2000000000000002</v>
      </c>
      <c r="W7057" s="38">
        <v>4.0999999999999996</v>
      </c>
      <c r="X7057" s="38">
        <v>2</v>
      </c>
      <c r="Y7057" s="38">
        <v>5.2</v>
      </c>
      <c r="Z7057" s="38">
        <v>6</v>
      </c>
      <c r="AA7057" s="38">
        <v>0</v>
      </c>
    </row>
    <row r="7058" spans="1:27" x14ac:dyDescent="0.25">
      <c r="A7058" s="22">
        <v>45409</v>
      </c>
      <c r="B7058" s="38">
        <v>0</v>
      </c>
      <c r="C7058" s="38">
        <v>0</v>
      </c>
      <c r="D7058" s="38">
        <v>1</v>
      </c>
      <c r="E7058" s="38">
        <v>0</v>
      </c>
      <c r="F7058" s="38">
        <v>0.8</v>
      </c>
      <c r="G7058" s="38">
        <v>2.8</v>
      </c>
      <c r="H7058" s="38">
        <v>0</v>
      </c>
      <c r="I7058" s="38">
        <v>2</v>
      </c>
      <c r="J7058" s="38">
        <v>1.2</v>
      </c>
      <c r="K7058" s="38">
        <v>3</v>
      </c>
      <c r="L7058" s="38">
        <v>0</v>
      </c>
      <c r="M7058" s="38">
        <v>8.6</v>
      </c>
      <c r="N7058" s="38">
        <v>0.2</v>
      </c>
      <c r="P7058" s="38">
        <v>0</v>
      </c>
      <c r="Q7058" s="38">
        <v>1.2</v>
      </c>
      <c r="R7058" s="38">
        <v>0</v>
      </c>
      <c r="S7058" s="38">
        <v>1</v>
      </c>
      <c r="T7058" s="38">
        <v>1</v>
      </c>
      <c r="U7058" s="38">
        <v>4</v>
      </c>
      <c r="V7058" s="38">
        <v>0</v>
      </c>
      <c r="W7058" s="38">
        <v>0</v>
      </c>
      <c r="X7058" s="38">
        <v>3</v>
      </c>
      <c r="Y7058" s="38">
        <v>4.5999999999999996</v>
      </c>
      <c r="Z7058" s="38">
        <v>4</v>
      </c>
      <c r="AA7058" s="38">
        <v>20</v>
      </c>
    </row>
    <row r="7059" spans="1:27" x14ac:dyDescent="0.25">
      <c r="A7059" s="22">
        <v>45410</v>
      </c>
      <c r="B7059" s="38">
        <v>4</v>
      </c>
      <c r="C7059" s="38">
        <v>0</v>
      </c>
      <c r="D7059" s="38">
        <v>0.8</v>
      </c>
      <c r="E7059" s="38">
        <v>4.8000000000000007</v>
      </c>
      <c r="F7059" s="38">
        <v>0</v>
      </c>
      <c r="G7059" s="38">
        <v>2.5</v>
      </c>
      <c r="H7059" s="38">
        <v>4.2</v>
      </c>
      <c r="I7059" s="38">
        <v>0.3</v>
      </c>
      <c r="J7059" s="38">
        <v>1</v>
      </c>
      <c r="K7059" s="38">
        <v>3</v>
      </c>
      <c r="L7059" s="38">
        <v>0</v>
      </c>
      <c r="M7059" s="38">
        <v>0</v>
      </c>
      <c r="N7059" s="38">
        <v>0</v>
      </c>
      <c r="P7059" s="38">
        <v>0</v>
      </c>
      <c r="Q7059" s="38">
        <v>0</v>
      </c>
      <c r="R7059" s="38">
        <v>0</v>
      </c>
      <c r="S7059" s="38">
        <v>0</v>
      </c>
      <c r="T7059" s="38">
        <v>0</v>
      </c>
      <c r="U7059" s="38">
        <v>0</v>
      </c>
      <c r="V7059" s="38">
        <v>0</v>
      </c>
      <c r="W7059" s="38">
        <v>0.3</v>
      </c>
      <c r="X7059" s="38">
        <v>0</v>
      </c>
      <c r="Y7059" s="38">
        <v>0</v>
      </c>
      <c r="Z7059" s="38">
        <v>0</v>
      </c>
      <c r="AA7059" s="38">
        <v>0</v>
      </c>
    </row>
    <row r="7060" spans="1:27" x14ac:dyDescent="0.25">
      <c r="A7060" s="22">
        <v>45411</v>
      </c>
      <c r="B7060" s="38">
        <v>3</v>
      </c>
      <c r="C7060" s="38">
        <v>0</v>
      </c>
      <c r="D7060" s="38">
        <v>0</v>
      </c>
      <c r="E7060" s="38">
        <v>0</v>
      </c>
      <c r="F7060" s="38">
        <v>0</v>
      </c>
      <c r="G7060" s="38">
        <v>0</v>
      </c>
      <c r="H7060" s="38">
        <v>0</v>
      </c>
      <c r="I7060" s="38">
        <v>0.5</v>
      </c>
      <c r="J7060" s="38">
        <v>0</v>
      </c>
      <c r="K7060" s="38">
        <v>0</v>
      </c>
      <c r="L7060" s="38">
        <v>0</v>
      </c>
      <c r="M7060" s="38">
        <v>1</v>
      </c>
      <c r="N7060" s="38">
        <v>0</v>
      </c>
      <c r="P7060" s="38">
        <v>0</v>
      </c>
      <c r="Q7060" s="38">
        <v>0</v>
      </c>
      <c r="R7060" s="38">
        <v>0</v>
      </c>
      <c r="S7060" s="38">
        <v>0</v>
      </c>
      <c r="T7060" s="38">
        <v>5</v>
      </c>
      <c r="U7060" s="38">
        <v>0</v>
      </c>
      <c r="V7060" s="38">
        <v>0</v>
      </c>
      <c r="W7060" s="38">
        <v>0</v>
      </c>
      <c r="X7060" s="38">
        <v>0</v>
      </c>
      <c r="Y7060" s="38">
        <v>0</v>
      </c>
      <c r="Z7060" s="38">
        <v>0</v>
      </c>
      <c r="AA7060" s="38">
        <v>0</v>
      </c>
    </row>
    <row r="7061" spans="1:27" x14ac:dyDescent="0.25">
      <c r="A7061" s="22">
        <v>45412</v>
      </c>
      <c r="B7061" s="38">
        <v>2</v>
      </c>
      <c r="C7061" s="38">
        <v>0</v>
      </c>
      <c r="D7061" s="38">
        <v>0.4</v>
      </c>
      <c r="E7061" s="38">
        <v>3.0000000000000004</v>
      </c>
      <c r="F7061" s="38">
        <v>0</v>
      </c>
      <c r="G7061" s="38">
        <v>1.5</v>
      </c>
      <c r="H7061" s="38">
        <v>0</v>
      </c>
      <c r="I7061" s="38">
        <v>0.5</v>
      </c>
      <c r="J7061" s="38">
        <v>0</v>
      </c>
      <c r="K7061" s="38">
        <v>0</v>
      </c>
      <c r="L7061" s="38">
        <v>1.8</v>
      </c>
      <c r="M7061" s="38">
        <v>2.4</v>
      </c>
      <c r="N7061" s="38">
        <v>0</v>
      </c>
      <c r="P7061" s="38">
        <v>1</v>
      </c>
      <c r="Q7061" s="38">
        <v>3.2</v>
      </c>
      <c r="R7061" s="38">
        <v>0</v>
      </c>
      <c r="S7061" s="38">
        <v>0</v>
      </c>
      <c r="T7061" s="38">
        <v>0</v>
      </c>
      <c r="U7061" s="38">
        <v>0</v>
      </c>
      <c r="V7061" s="38">
        <v>0</v>
      </c>
      <c r="W7061" s="38">
        <v>0</v>
      </c>
      <c r="X7061" s="38">
        <v>0</v>
      </c>
      <c r="Y7061" s="38">
        <v>0</v>
      </c>
      <c r="Z7061" s="38">
        <v>0</v>
      </c>
      <c r="AA7061" s="38">
        <v>0</v>
      </c>
    </row>
    <row r="7062" spans="1:27" x14ac:dyDescent="0.25">
      <c r="A7062" s="22">
        <v>45413</v>
      </c>
      <c r="B7062" s="38">
        <v>6.5</v>
      </c>
      <c r="C7062" s="38">
        <v>3.2</v>
      </c>
      <c r="D7062" s="38">
        <v>0</v>
      </c>
      <c r="E7062" s="38">
        <v>2</v>
      </c>
      <c r="F7062" s="38">
        <v>0</v>
      </c>
      <c r="G7062" s="38">
        <v>2</v>
      </c>
      <c r="H7062" s="38">
        <v>0</v>
      </c>
      <c r="I7062" s="38">
        <v>0.2</v>
      </c>
      <c r="J7062" s="38">
        <v>1.6</v>
      </c>
      <c r="K7062" s="38">
        <v>2.4</v>
      </c>
      <c r="L7062" s="38">
        <v>1.3</v>
      </c>
      <c r="M7062" s="38">
        <v>0.2</v>
      </c>
      <c r="N7062" s="38">
        <v>0.8</v>
      </c>
      <c r="P7062" s="38">
        <v>0</v>
      </c>
      <c r="Q7062" s="38">
        <v>3.2</v>
      </c>
      <c r="R7062" s="38">
        <v>1.1000000000000001</v>
      </c>
      <c r="S7062" s="38">
        <v>0</v>
      </c>
      <c r="T7062" s="38">
        <v>0</v>
      </c>
      <c r="U7062" s="38">
        <v>5</v>
      </c>
      <c r="V7062" s="38">
        <v>0.1</v>
      </c>
      <c r="W7062" s="38">
        <v>0.2</v>
      </c>
      <c r="X7062" s="38">
        <v>1</v>
      </c>
      <c r="Y7062" s="38">
        <v>0</v>
      </c>
      <c r="Z7062" s="38">
        <v>0</v>
      </c>
      <c r="AA7062" s="38">
        <v>0</v>
      </c>
    </row>
    <row r="7063" spans="1:27" x14ac:dyDescent="0.25">
      <c r="A7063" s="22">
        <v>45414</v>
      </c>
      <c r="B7063" s="38">
        <v>5</v>
      </c>
      <c r="C7063" s="38">
        <v>2</v>
      </c>
      <c r="D7063" s="38">
        <v>0</v>
      </c>
      <c r="E7063" s="38">
        <v>1</v>
      </c>
      <c r="F7063" s="38">
        <v>0</v>
      </c>
      <c r="G7063" s="38">
        <v>1.5</v>
      </c>
      <c r="H7063" s="38">
        <v>0</v>
      </c>
      <c r="I7063" s="38">
        <v>0.1</v>
      </c>
      <c r="J7063" s="38">
        <v>1.2</v>
      </c>
      <c r="K7063" s="38">
        <v>2</v>
      </c>
      <c r="L7063" s="38">
        <v>1.3</v>
      </c>
      <c r="M7063" s="38">
        <v>0</v>
      </c>
      <c r="N7063" s="38">
        <v>2.2000000000000002</v>
      </c>
      <c r="P7063" s="38">
        <v>4</v>
      </c>
      <c r="Q7063" s="38">
        <v>0</v>
      </c>
      <c r="R7063" s="38">
        <v>0</v>
      </c>
      <c r="S7063" s="38">
        <v>0</v>
      </c>
      <c r="T7063" s="38">
        <v>0</v>
      </c>
      <c r="U7063" s="38">
        <v>0</v>
      </c>
      <c r="V7063" s="38">
        <v>0.2</v>
      </c>
      <c r="W7063" s="38">
        <v>0.1</v>
      </c>
      <c r="X7063" s="38">
        <v>0</v>
      </c>
      <c r="Y7063" s="38">
        <v>0</v>
      </c>
      <c r="Z7063" s="38">
        <v>0</v>
      </c>
      <c r="AA7063" s="38">
        <v>0</v>
      </c>
    </row>
    <row r="7064" spans="1:27" x14ac:dyDescent="0.25">
      <c r="A7064" s="22">
        <v>45415</v>
      </c>
      <c r="B7064" s="38">
        <v>5</v>
      </c>
      <c r="C7064" s="38">
        <v>0</v>
      </c>
      <c r="D7064" s="38">
        <v>0</v>
      </c>
      <c r="E7064" s="38">
        <v>0</v>
      </c>
      <c r="F7064" s="38">
        <v>0</v>
      </c>
      <c r="G7064" s="38">
        <v>0</v>
      </c>
      <c r="H7064" s="38">
        <v>0</v>
      </c>
      <c r="I7064" s="38">
        <v>1.2</v>
      </c>
      <c r="J7064" s="38">
        <v>0</v>
      </c>
      <c r="K7064" s="38">
        <v>0</v>
      </c>
      <c r="L7064" s="38">
        <v>3.1</v>
      </c>
      <c r="M7064" s="38">
        <v>0</v>
      </c>
      <c r="N7064" s="38">
        <v>0</v>
      </c>
      <c r="P7064" s="38">
        <v>0</v>
      </c>
      <c r="Q7064" s="38">
        <v>0</v>
      </c>
      <c r="R7064" s="38">
        <v>4.2</v>
      </c>
      <c r="S7064" s="38">
        <v>0</v>
      </c>
      <c r="T7064" s="38">
        <v>2</v>
      </c>
      <c r="U7064" s="38">
        <v>0</v>
      </c>
      <c r="V7064" s="38">
        <v>0</v>
      </c>
      <c r="W7064" s="38">
        <v>0</v>
      </c>
      <c r="X7064" s="38">
        <v>3</v>
      </c>
      <c r="Y7064" s="38">
        <v>0</v>
      </c>
      <c r="Z7064" s="38">
        <v>0</v>
      </c>
      <c r="AA7064" s="38">
        <v>0</v>
      </c>
    </row>
    <row r="7065" spans="1:27" x14ac:dyDescent="0.25">
      <c r="A7065" s="22">
        <v>45416</v>
      </c>
      <c r="B7065" s="38">
        <v>0</v>
      </c>
      <c r="C7065" s="38">
        <v>0</v>
      </c>
      <c r="D7065" s="38">
        <v>0</v>
      </c>
      <c r="E7065" s="38">
        <v>0</v>
      </c>
      <c r="F7065" s="38">
        <v>0</v>
      </c>
      <c r="G7065" s="38">
        <v>0</v>
      </c>
      <c r="H7065" s="38">
        <v>0</v>
      </c>
      <c r="I7065" s="38">
        <v>0</v>
      </c>
      <c r="J7065" s="38">
        <v>0</v>
      </c>
      <c r="K7065" s="38">
        <v>0</v>
      </c>
      <c r="L7065" s="38">
        <v>0</v>
      </c>
      <c r="M7065" s="38">
        <v>0.8</v>
      </c>
      <c r="N7065" s="38">
        <v>0.2</v>
      </c>
      <c r="P7065" s="38">
        <v>0</v>
      </c>
      <c r="Q7065" s="38">
        <v>0</v>
      </c>
      <c r="R7065" s="38">
        <v>0</v>
      </c>
      <c r="S7065" s="38">
        <v>0</v>
      </c>
      <c r="T7065" s="38">
        <v>0</v>
      </c>
      <c r="U7065" s="38">
        <v>0</v>
      </c>
      <c r="V7065" s="38">
        <v>0</v>
      </c>
      <c r="W7065" s="38">
        <v>0</v>
      </c>
      <c r="X7065" s="38">
        <v>0</v>
      </c>
      <c r="Y7065" s="38">
        <v>0</v>
      </c>
      <c r="Z7065" s="38">
        <v>0</v>
      </c>
      <c r="AA7065" s="38">
        <v>0</v>
      </c>
    </row>
    <row r="7066" spans="1:27" x14ac:dyDescent="0.25">
      <c r="A7066" s="22">
        <v>45417</v>
      </c>
      <c r="B7066" s="38">
        <v>0</v>
      </c>
      <c r="C7066" s="38">
        <v>0</v>
      </c>
      <c r="D7066" s="38">
        <v>0</v>
      </c>
      <c r="E7066" s="38">
        <v>0</v>
      </c>
      <c r="F7066" s="38">
        <v>0</v>
      </c>
      <c r="G7066" s="38">
        <v>0</v>
      </c>
      <c r="H7066" s="38">
        <v>0</v>
      </c>
      <c r="I7066" s="38">
        <v>0</v>
      </c>
      <c r="J7066" s="38">
        <v>0</v>
      </c>
      <c r="K7066" s="38">
        <v>0</v>
      </c>
      <c r="L7066" s="38">
        <v>0</v>
      </c>
      <c r="M7066" s="38">
        <v>0</v>
      </c>
      <c r="N7066" s="38">
        <v>0</v>
      </c>
      <c r="P7066" s="38">
        <v>0</v>
      </c>
      <c r="Q7066" s="38">
        <v>0</v>
      </c>
      <c r="R7066" s="38">
        <v>0</v>
      </c>
      <c r="S7066" s="38">
        <v>0</v>
      </c>
      <c r="T7066" s="38">
        <v>0</v>
      </c>
      <c r="U7066" s="38">
        <v>0</v>
      </c>
      <c r="V7066" s="38">
        <v>0</v>
      </c>
      <c r="W7066" s="38">
        <v>0</v>
      </c>
      <c r="X7066" s="38">
        <v>0</v>
      </c>
      <c r="Y7066" s="38">
        <v>0</v>
      </c>
      <c r="Z7066" s="38">
        <v>0</v>
      </c>
      <c r="AA7066" s="38">
        <v>0</v>
      </c>
    </row>
    <row r="7067" spans="1:27" x14ac:dyDescent="0.25">
      <c r="A7067" s="22">
        <v>45418</v>
      </c>
      <c r="B7067" s="38">
        <v>2</v>
      </c>
      <c r="C7067" s="38">
        <v>0</v>
      </c>
      <c r="D7067" s="38">
        <v>0</v>
      </c>
      <c r="E7067" s="38">
        <v>0</v>
      </c>
      <c r="F7067" s="38">
        <v>0</v>
      </c>
      <c r="G7067" s="38">
        <v>0</v>
      </c>
      <c r="H7067" s="38">
        <v>0</v>
      </c>
      <c r="I7067" s="38">
        <v>0</v>
      </c>
      <c r="J7067" s="38">
        <v>0</v>
      </c>
      <c r="K7067" s="38">
        <v>0</v>
      </c>
      <c r="L7067" s="38">
        <v>0</v>
      </c>
      <c r="M7067" s="38">
        <v>0</v>
      </c>
      <c r="N7067" s="38">
        <v>0</v>
      </c>
      <c r="P7067" s="38">
        <v>0</v>
      </c>
      <c r="Q7067" s="38">
        <v>0</v>
      </c>
      <c r="R7067" s="38">
        <v>0</v>
      </c>
      <c r="S7067" s="38">
        <v>0</v>
      </c>
      <c r="T7067" s="38">
        <v>1</v>
      </c>
      <c r="U7067" s="38">
        <v>0</v>
      </c>
      <c r="V7067" s="38">
        <v>0</v>
      </c>
      <c r="W7067" s="38">
        <v>0</v>
      </c>
      <c r="X7067" s="38">
        <v>0</v>
      </c>
      <c r="Y7067" s="38">
        <v>0</v>
      </c>
      <c r="Z7067" s="38">
        <v>0</v>
      </c>
      <c r="AA7067" s="38">
        <v>0</v>
      </c>
    </row>
    <row r="7068" spans="1:27" x14ac:dyDescent="0.25">
      <c r="A7068" s="22">
        <v>45419</v>
      </c>
      <c r="B7068" s="38">
        <v>0</v>
      </c>
      <c r="C7068" s="38">
        <v>0</v>
      </c>
      <c r="D7068" s="38">
        <v>0</v>
      </c>
      <c r="E7068" s="38">
        <v>0.2</v>
      </c>
      <c r="F7068" s="38">
        <v>0</v>
      </c>
      <c r="G7068" s="38">
        <v>0</v>
      </c>
      <c r="H7068" s="38">
        <v>0</v>
      </c>
      <c r="I7068" s="38">
        <v>0</v>
      </c>
      <c r="J7068" s="38">
        <v>0</v>
      </c>
      <c r="K7068" s="38">
        <v>0</v>
      </c>
      <c r="L7068" s="38">
        <v>0</v>
      </c>
      <c r="M7068" s="38">
        <v>0</v>
      </c>
      <c r="N7068" s="38">
        <v>0</v>
      </c>
      <c r="P7068" s="38">
        <v>0</v>
      </c>
      <c r="Q7068" s="38">
        <v>0</v>
      </c>
      <c r="R7068" s="38">
        <v>0</v>
      </c>
      <c r="S7068" s="38">
        <v>0</v>
      </c>
      <c r="T7068" s="38">
        <v>0</v>
      </c>
      <c r="U7068" s="38">
        <v>0</v>
      </c>
      <c r="V7068" s="38">
        <v>0</v>
      </c>
      <c r="W7068" s="38">
        <v>0</v>
      </c>
      <c r="X7068" s="38">
        <v>0</v>
      </c>
      <c r="Y7068" s="38">
        <v>0</v>
      </c>
      <c r="Z7068" s="38">
        <v>0</v>
      </c>
      <c r="AA7068" s="38">
        <v>0</v>
      </c>
    </row>
    <row r="7069" spans="1:27" x14ac:dyDescent="0.25">
      <c r="A7069" s="22">
        <v>45420</v>
      </c>
      <c r="B7069" s="38">
        <v>4</v>
      </c>
      <c r="C7069" s="38">
        <v>0</v>
      </c>
      <c r="D7069" s="38">
        <v>0</v>
      </c>
      <c r="E7069" s="38">
        <v>0</v>
      </c>
      <c r="F7069" s="38">
        <v>0</v>
      </c>
      <c r="G7069" s="38">
        <v>0</v>
      </c>
      <c r="H7069" s="38">
        <v>0</v>
      </c>
      <c r="I7069" s="38">
        <v>0</v>
      </c>
      <c r="J7069" s="38">
        <v>0</v>
      </c>
      <c r="K7069" s="38">
        <v>0</v>
      </c>
      <c r="L7069" s="38">
        <v>0</v>
      </c>
      <c r="M7069" s="38">
        <v>0</v>
      </c>
      <c r="N7069" s="38">
        <v>0.2</v>
      </c>
      <c r="P7069" s="38">
        <v>0</v>
      </c>
      <c r="Q7069" s="38">
        <v>0</v>
      </c>
      <c r="R7069" s="38">
        <v>0</v>
      </c>
      <c r="S7069" s="38">
        <v>0</v>
      </c>
      <c r="T7069" s="38">
        <v>0</v>
      </c>
      <c r="U7069" s="38">
        <v>0</v>
      </c>
      <c r="V7069" s="38">
        <v>0</v>
      </c>
      <c r="W7069" s="38">
        <v>0</v>
      </c>
      <c r="X7069" s="38">
        <v>0</v>
      </c>
      <c r="Y7069" s="38">
        <v>0</v>
      </c>
      <c r="Z7069" s="38">
        <v>0</v>
      </c>
      <c r="AA7069" s="38">
        <v>0</v>
      </c>
    </row>
    <row r="7070" spans="1:27" x14ac:dyDescent="0.25">
      <c r="A7070" s="22">
        <v>45421</v>
      </c>
      <c r="B7070" s="38">
        <v>0</v>
      </c>
      <c r="C7070" s="38">
        <v>0</v>
      </c>
      <c r="D7070" s="38">
        <v>0</v>
      </c>
      <c r="E7070" s="38">
        <v>0.2</v>
      </c>
      <c r="F7070" s="38">
        <v>0</v>
      </c>
      <c r="G7070" s="38">
        <v>0</v>
      </c>
      <c r="H7070" s="38">
        <v>0</v>
      </c>
      <c r="I7070" s="38">
        <v>0</v>
      </c>
      <c r="J7070" s="38">
        <v>0</v>
      </c>
      <c r="K7070" s="38">
        <v>0</v>
      </c>
      <c r="L7070" s="38">
        <v>0</v>
      </c>
      <c r="M7070" s="38">
        <v>0</v>
      </c>
      <c r="N7070" s="38">
        <v>0</v>
      </c>
      <c r="P7070" s="38">
        <v>0</v>
      </c>
      <c r="Q7070" s="38">
        <v>0</v>
      </c>
      <c r="R7070" s="38">
        <v>0</v>
      </c>
      <c r="S7070" s="38">
        <v>0</v>
      </c>
      <c r="T7070" s="38">
        <v>0</v>
      </c>
      <c r="U7070" s="38">
        <v>0</v>
      </c>
      <c r="V7070" s="38">
        <v>0</v>
      </c>
      <c r="W7070" s="38">
        <v>0</v>
      </c>
      <c r="X7070" s="38">
        <v>0</v>
      </c>
      <c r="Y7070" s="38">
        <v>0</v>
      </c>
      <c r="Z7070" s="38">
        <v>0</v>
      </c>
      <c r="AA7070" s="38">
        <v>0</v>
      </c>
    </row>
    <row r="7071" spans="1:27" x14ac:dyDescent="0.25">
      <c r="A7071" s="22">
        <v>45422</v>
      </c>
      <c r="B7071" s="38">
        <v>0</v>
      </c>
      <c r="C7071" s="38">
        <v>0</v>
      </c>
      <c r="D7071" s="38">
        <v>0</v>
      </c>
      <c r="E7071" s="38">
        <v>0.2</v>
      </c>
      <c r="F7071" s="38">
        <v>0</v>
      </c>
      <c r="G7071" s="38">
        <v>0</v>
      </c>
      <c r="H7071" s="38">
        <v>0</v>
      </c>
      <c r="I7071" s="38">
        <v>0</v>
      </c>
      <c r="J7071" s="38">
        <v>0</v>
      </c>
      <c r="K7071" s="38">
        <v>0</v>
      </c>
      <c r="L7071" s="38">
        <v>0</v>
      </c>
      <c r="M7071" s="38">
        <v>0</v>
      </c>
      <c r="N7071" s="38">
        <v>0</v>
      </c>
      <c r="P7071" s="38">
        <v>0</v>
      </c>
      <c r="Q7071" s="38">
        <v>0</v>
      </c>
      <c r="R7071" s="38">
        <v>0</v>
      </c>
      <c r="S7071" s="38">
        <v>0</v>
      </c>
      <c r="T7071" s="38">
        <v>0</v>
      </c>
      <c r="U7071" s="38">
        <v>0</v>
      </c>
      <c r="V7071" s="38">
        <v>0</v>
      </c>
      <c r="W7071" s="38">
        <v>2.38</v>
      </c>
      <c r="X7071" s="38">
        <v>0</v>
      </c>
      <c r="Y7071" s="38">
        <v>0</v>
      </c>
      <c r="Z7071" s="38">
        <v>0</v>
      </c>
      <c r="AA7071" s="38">
        <v>0</v>
      </c>
    </row>
    <row r="7072" spans="1:27" x14ac:dyDescent="0.25">
      <c r="A7072" s="22">
        <v>45423</v>
      </c>
      <c r="B7072" s="38">
        <v>0</v>
      </c>
      <c r="C7072" s="38">
        <v>0</v>
      </c>
      <c r="D7072" s="38">
        <v>0</v>
      </c>
      <c r="E7072" s="38">
        <v>0</v>
      </c>
      <c r="F7072" s="38">
        <v>0</v>
      </c>
      <c r="G7072" s="38">
        <v>0</v>
      </c>
      <c r="H7072" s="38">
        <v>0</v>
      </c>
      <c r="I7072" s="38">
        <v>0</v>
      </c>
      <c r="J7072" s="38">
        <v>0</v>
      </c>
      <c r="K7072" s="38">
        <v>0</v>
      </c>
      <c r="L7072" s="38">
        <v>0</v>
      </c>
      <c r="M7072" s="38">
        <v>0</v>
      </c>
      <c r="N7072" s="38">
        <v>0</v>
      </c>
      <c r="P7072" s="38">
        <v>0</v>
      </c>
      <c r="Q7072" s="38">
        <v>0</v>
      </c>
      <c r="R7072" s="38">
        <v>0</v>
      </c>
      <c r="S7072" s="38">
        <v>0</v>
      </c>
      <c r="T7072" s="38">
        <v>0</v>
      </c>
      <c r="U7072" s="38">
        <v>0</v>
      </c>
      <c r="V7072" s="38">
        <v>0</v>
      </c>
      <c r="W7072" s="38">
        <v>0</v>
      </c>
      <c r="X7072" s="38">
        <v>0</v>
      </c>
      <c r="Y7072" s="38">
        <v>0</v>
      </c>
      <c r="Z7072" s="38">
        <v>0</v>
      </c>
      <c r="AA7072" s="38">
        <v>0</v>
      </c>
    </row>
    <row r="7073" spans="1:27" x14ac:dyDescent="0.25">
      <c r="A7073" s="22">
        <v>45424</v>
      </c>
      <c r="B7073" s="38">
        <v>0</v>
      </c>
      <c r="C7073" s="38">
        <v>0</v>
      </c>
      <c r="D7073" s="38">
        <v>0</v>
      </c>
      <c r="E7073" s="38">
        <v>0</v>
      </c>
      <c r="F7073" s="38">
        <v>0</v>
      </c>
      <c r="G7073" s="38">
        <v>0</v>
      </c>
      <c r="H7073" s="38">
        <v>0</v>
      </c>
      <c r="I7073" s="38">
        <v>0</v>
      </c>
      <c r="J7073" s="38">
        <v>0</v>
      </c>
      <c r="K7073" s="38">
        <v>0</v>
      </c>
      <c r="L7073" s="38">
        <v>0</v>
      </c>
      <c r="M7073" s="38">
        <v>0</v>
      </c>
      <c r="N7073" s="38">
        <v>0.2</v>
      </c>
      <c r="P7073" s="38">
        <v>0</v>
      </c>
      <c r="Q7073" s="38">
        <v>0</v>
      </c>
      <c r="R7073" s="38">
        <v>0</v>
      </c>
      <c r="S7073" s="38">
        <v>0</v>
      </c>
      <c r="T7073" s="38">
        <v>0</v>
      </c>
      <c r="U7073" s="38">
        <v>0</v>
      </c>
      <c r="V7073" s="38">
        <v>0</v>
      </c>
      <c r="W7073" s="38">
        <v>0</v>
      </c>
      <c r="X7073" s="38">
        <v>0</v>
      </c>
      <c r="Y7073" s="38">
        <v>0</v>
      </c>
      <c r="Z7073" s="38">
        <v>0</v>
      </c>
      <c r="AA7073" s="38">
        <v>0</v>
      </c>
    </row>
    <row r="7074" spans="1:27" x14ac:dyDescent="0.25">
      <c r="A7074" s="22">
        <v>45425</v>
      </c>
      <c r="B7074" s="38">
        <v>0</v>
      </c>
      <c r="C7074" s="38">
        <v>0</v>
      </c>
      <c r="D7074" s="38">
        <v>0</v>
      </c>
      <c r="E7074" s="38">
        <v>0</v>
      </c>
      <c r="F7074" s="38">
        <v>0</v>
      </c>
      <c r="G7074" s="38">
        <v>0</v>
      </c>
      <c r="H7074" s="38">
        <v>0</v>
      </c>
      <c r="I7074" s="38">
        <v>0</v>
      </c>
      <c r="J7074" s="38">
        <v>0</v>
      </c>
      <c r="K7074" s="38">
        <v>0</v>
      </c>
      <c r="L7074" s="38">
        <v>0</v>
      </c>
      <c r="M7074" s="38">
        <v>0</v>
      </c>
      <c r="N7074" s="38">
        <v>0</v>
      </c>
      <c r="P7074" s="38">
        <v>0</v>
      </c>
      <c r="Q7074" s="38">
        <v>0</v>
      </c>
      <c r="R7074" s="38">
        <v>0</v>
      </c>
      <c r="S7074" s="38">
        <v>0</v>
      </c>
      <c r="T7074" s="38">
        <v>0</v>
      </c>
      <c r="U7074" s="38">
        <v>0</v>
      </c>
      <c r="V7074" s="38">
        <v>0</v>
      </c>
      <c r="W7074" s="38">
        <v>0</v>
      </c>
      <c r="X7074" s="38">
        <v>0</v>
      </c>
      <c r="Y7074" s="38">
        <v>0</v>
      </c>
      <c r="Z7074" s="38">
        <v>0</v>
      </c>
      <c r="AA7074" s="38">
        <v>0</v>
      </c>
    </row>
    <row r="7075" spans="1:27" x14ac:dyDescent="0.25">
      <c r="A7075" s="22">
        <v>45426</v>
      </c>
      <c r="B7075" s="38">
        <v>6</v>
      </c>
      <c r="C7075" s="38">
        <v>2.4</v>
      </c>
      <c r="D7075" s="38">
        <v>1.6</v>
      </c>
      <c r="E7075" s="38">
        <v>7.2</v>
      </c>
      <c r="F7075" s="38">
        <v>0</v>
      </c>
      <c r="G7075" s="38">
        <v>0</v>
      </c>
      <c r="H7075" s="38">
        <v>0</v>
      </c>
      <c r="I7075" s="38">
        <v>0</v>
      </c>
      <c r="J7075" s="38">
        <v>5.4</v>
      </c>
      <c r="K7075" s="38">
        <v>6</v>
      </c>
      <c r="L7075" s="38">
        <v>4.5999999999999996</v>
      </c>
      <c r="M7075" s="38">
        <v>0</v>
      </c>
      <c r="N7075" s="38">
        <v>3.2</v>
      </c>
      <c r="P7075" s="38">
        <v>0</v>
      </c>
      <c r="Q7075" s="38">
        <v>4</v>
      </c>
      <c r="R7075" s="38">
        <v>0</v>
      </c>
      <c r="S7075" s="38">
        <v>0</v>
      </c>
      <c r="T7075" s="38">
        <v>0</v>
      </c>
      <c r="U7075" s="38">
        <v>0</v>
      </c>
      <c r="V7075" s="38">
        <v>0</v>
      </c>
      <c r="W7075" s="38">
        <v>0</v>
      </c>
      <c r="X7075" s="38">
        <v>0</v>
      </c>
      <c r="Y7075" s="38">
        <v>3.6</v>
      </c>
      <c r="Z7075" s="38">
        <v>2</v>
      </c>
      <c r="AA7075" s="38">
        <v>0</v>
      </c>
    </row>
    <row r="7076" spans="1:27" x14ac:dyDescent="0.25">
      <c r="A7076" s="22">
        <v>45427</v>
      </c>
      <c r="B7076" s="38">
        <v>7</v>
      </c>
      <c r="C7076" s="38">
        <v>3.2</v>
      </c>
      <c r="D7076" s="38">
        <v>4.0999999999999996</v>
      </c>
      <c r="E7076" s="38">
        <v>0</v>
      </c>
      <c r="F7076" s="38">
        <v>1.2</v>
      </c>
      <c r="G7076" s="38">
        <v>1.2</v>
      </c>
      <c r="H7076" s="38">
        <v>1.3</v>
      </c>
      <c r="I7076" s="38">
        <v>1.8</v>
      </c>
      <c r="J7076" s="38">
        <v>8.3000000000000007</v>
      </c>
      <c r="K7076" s="38">
        <v>11</v>
      </c>
      <c r="L7076" s="38">
        <v>0</v>
      </c>
      <c r="M7076" s="38">
        <v>0.2</v>
      </c>
      <c r="N7076" s="38">
        <v>2</v>
      </c>
      <c r="P7076" s="38">
        <v>4</v>
      </c>
      <c r="Q7076" s="38">
        <v>0</v>
      </c>
      <c r="R7076" s="38">
        <v>0</v>
      </c>
      <c r="S7076" s="38">
        <v>0</v>
      </c>
      <c r="T7076" s="38">
        <v>0</v>
      </c>
      <c r="U7076" s="38">
        <v>3</v>
      </c>
      <c r="V7076" s="38">
        <v>0</v>
      </c>
      <c r="W7076" s="38">
        <v>0</v>
      </c>
      <c r="X7076" s="38">
        <v>3</v>
      </c>
      <c r="Y7076" s="38">
        <v>2</v>
      </c>
      <c r="Z7076" s="38">
        <v>2</v>
      </c>
      <c r="AA7076" s="38">
        <v>0</v>
      </c>
    </row>
    <row r="7077" spans="1:27" x14ac:dyDescent="0.25">
      <c r="A7077" s="22">
        <v>45428</v>
      </c>
      <c r="B7077" s="38">
        <v>0</v>
      </c>
      <c r="C7077" s="38">
        <v>0</v>
      </c>
      <c r="D7077" s="38">
        <v>0</v>
      </c>
      <c r="E7077" s="38">
        <v>2.4</v>
      </c>
      <c r="F7077" s="38">
        <v>0</v>
      </c>
      <c r="G7077" s="38">
        <v>0</v>
      </c>
      <c r="H7077" s="38">
        <v>0</v>
      </c>
      <c r="I7077" s="38">
        <v>0</v>
      </c>
      <c r="J7077" s="38">
        <v>1</v>
      </c>
      <c r="K7077" s="38">
        <v>1</v>
      </c>
      <c r="L7077" s="38">
        <v>0</v>
      </c>
      <c r="M7077" s="38">
        <v>0</v>
      </c>
      <c r="N7077" s="38">
        <v>1.5999999999999999</v>
      </c>
      <c r="P7077" s="38">
        <v>2</v>
      </c>
      <c r="Q7077" s="38">
        <v>0</v>
      </c>
      <c r="R7077" s="38">
        <v>0</v>
      </c>
      <c r="S7077" s="38">
        <v>1</v>
      </c>
      <c r="T7077" s="38">
        <v>0.6</v>
      </c>
      <c r="U7077" s="38">
        <v>0</v>
      </c>
      <c r="V7077" s="38">
        <v>0.2</v>
      </c>
      <c r="W7077" s="38">
        <v>0</v>
      </c>
      <c r="X7077" s="38">
        <v>0</v>
      </c>
      <c r="Y7077" s="38">
        <v>0</v>
      </c>
      <c r="Z7077" s="38">
        <v>0</v>
      </c>
      <c r="AA7077" s="38">
        <v>0</v>
      </c>
    </row>
    <row r="7078" spans="1:27" x14ac:dyDescent="0.25">
      <c r="A7078" s="22">
        <v>45429</v>
      </c>
      <c r="B7078" s="38">
        <v>5</v>
      </c>
      <c r="C7078" s="38">
        <v>8.8000000000000007</v>
      </c>
      <c r="D7078" s="38">
        <v>3.6</v>
      </c>
      <c r="E7078" s="38">
        <v>0</v>
      </c>
      <c r="F7078" s="38">
        <v>0</v>
      </c>
      <c r="G7078" s="38">
        <v>5.5</v>
      </c>
      <c r="H7078" s="38">
        <v>4</v>
      </c>
      <c r="I7078" s="38">
        <v>7.1</v>
      </c>
      <c r="J7078" s="38">
        <v>3.4</v>
      </c>
      <c r="K7078" s="38">
        <v>4</v>
      </c>
      <c r="L7078" s="38">
        <v>4.8</v>
      </c>
      <c r="M7078" s="38">
        <v>7</v>
      </c>
      <c r="N7078" s="38">
        <v>1.4</v>
      </c>
      <c r="P7078" s="38">
        <v>4</v>
      </c>
      <c r="Q7078" s="38">
        <v>1.5</v>
      </c>
      <c r="R7078" s="38">
        <v>2</v>
      </c>
      <c r="S7078" s="38">
        <v>0.5</v>
      </c>
      <c r="T7078" s="38">
        <v>8.6000000000000014</v>
      </c>
      <c r="U7078" s="38">
        <v>0</v>
      </c>
      <c r="V7078" s="38">
        <v>0.2</v>
      </c>
      <c r="W7078" s="38">
        <v>6.1</v>
      </c>
      <c r="X7078" s="38">
        <v>0</v>
      </c>
      <c r="Y7078" s="38">
        <v>2</v>
      </c>
      <c r="Z7078" s="38">
        <v>4</v>
      </c>
      <c r="AA7078" s="38">
        <v>4</v>
      </c>
    </row>
    <row r="7079" spans="1:27" x14ac:dyDescent="0.25">
      <c r="A7079" s="22">
        <v>45430</v>
      </c>
      <c r="B7079" s="38">
        <v>0</v>
      </c>
      <c r="C7079" s="38">
        <v>2.4</v>
      </c>
      <c r="D7079" s="38">
        <v>0</v>
      </c>
      <c r="E7079" s="38">
        <v>0.8</v>
      </c>
      <c r="F7079" s="38">
        <v>0</v>
      </c>
      <c r="G7079" s="38">
        <v>0</v>
      </c>
      <c r="H7079" s="38">
        <v>0</v>
      </c>
      <c r="I7079" s="38">
        <v>0.1</v>
      </c>
      <c r="J7079" s="38">
        <v>0</v>
      </c>
      <c r="K7079" s="38">
        <v>0</v>
      </c>
      <c r="L7079" s="38">
        <v>0</v>
      </c>
      <c r="M7079" s="38">
        <v>0</v>
      </c>
      <c r="N7079" s="38">
        <v>0</v>
      </c>
      <c r="P7079" s="38">
        <v>0</v>
      </c>
      <c r="Q7079" s="38">
        <v>0</v>
      </c>
      <c r="R7079" s="38">
        <v>0</v>
      </c>
      <c r="S7079" s="38">
        <v>0</v>
      </c>
      <c r="T7079" s="38">
        <v>2.1999999999999997</v>
      </c>
      <c r="U7079" s="38">
        <v>0</v>
      </c>
      <c r="V7079" s="38">
        <v>0</v>
      </c>
      <c r="W7079" s="38">
        <v>0</v>
      </c>
      <c r="X7079" s="38">
        <v>0</v>
      </c>
      <c r="Y7079" s="38">
        <v>0</v>
      </c>
      <c r="Z7079" s="38">
        <v>0</v>
      </c>
      <c r="AA7079" s="38">
        <v>0</v>
      </c>
    </row>
    <row r="7080" spans="1:27" x14ac:dyDescent="0.25">
      <c r="A7080" s="22">
        <v>45431</v>
      </c>
      <c r="B7080" s="38">
        <v>0</v>
      </c>
      <c r="C7080" s="38">
        <v>0</v>
      </c>
      <c r="D7080" s="38">
        <v>4</v>
      </c>
      <c r="E7080" s="38">
        <v>0</v>
      </c>
      <c r="F7080" s="38">
        <v>4.3</v>
      </c>
      <c r="G7080" s="38">
        <v>0</v>
      </c>
      <c r="H7080" s="38">
        <v>0</v>
      </c>
      <c r="I7080" s="38">
        <v>0.1</v>
      </c>
      <c r="J7080" s="38">
        <v>0</v>
      </c>
      <c r="K7080" s="38">
        <v>0</v>
      </c>
      <c r="L7080" s="38">
        <v>0</v>
      </c>
      <c r="M7080" s="38">
        <v>0</v>
      </c>
      <c r="N7080" s="38">
        <v>0</v>
      </c>
      <c r="P7080" s="38">
        <v>0</v>
      </c>
      <c r="Q7080" s="38">
        <v>0</v>
      </c>
      <c r="R7080" s="38">
        <v>0</v>
      </c>
      <c r="S7080" s="38">
        <v>0</v>
      </c>
      <c r="T7080" s="38">
        <v>0</v>
      </c>
      <c r="U7080" s="38">
        <v>0</v>
      </c>
      <c r="V7080" s="38">
        <v>0</v>
      </c>
      <c r="W7080" s="38">
        <v>0.1</v>
      </c>
      <c r="X7080" s="38">
        <v>0</v>
      </c>
      <c r="Y7080" s="38">
        <v>0</v>
      </c>
      <c r="Z7080" s="38">
        <v>0</v>
      </c>
      <c r="AA7080" s="38">
        <v>0</v>
      </c>
    </row>
    <row r="7081" spans="1:27" x14ac:dyDescent="0.25">
      <c r="A7081" s="22">
        <v>45432</v>
      </c>
      <c r="B7081" s="38">
        <v>0</v>
      </c>
      <c r="C7081" s="38">
        <v>0</v>
      </c>
      <c r="D7081" s="38">
        <v>0</v>
      </c>
      <c r="E7081" s="38">
        <v>0</v>
      </c>
      <c r="F7081" s="38">
        <v>0</v>
      </c>
      <c r="G7081" s="38">
        <v>0</v>
      </c>
      <c r="H7081" s="38">
        <v>0</v>
      </c>
      <c r="I7081" s="38">
        <v>0</v>
      </c>
      <c r="J7081" s="38">
        <v>0</v>
      </c>
      <c r="K7081" s="38">
        <v>0</v>
      </c>
      <c r="L7081" s="38">
        <v>0</v>
      </c>
      <c r="M7081" s="38">
        <v>0</v>
      </c>
      <c r="N7081" s="38">
        <v>0.2</v>
      </c>
      <c r="P7081" s="38">
        <v>0</v>
      </c>
      <c r="Q7081" s="38">
        <v>0</v>
      </c>
      <c r="R7081" s="38">
        <v>0</v>
      </c>
      <c r="S7081" s="38">
        <v>0</v>
      </c>
      <c r="T7081" s="38">
        <v>2.8000000000000003</v>
      </c>
      <c r="U7081" s="38">
        <v>7</v>
      </c>
      <c r="V7081" s="38">
        <v>0</v>
      </c>
      <c r="W7081" s="38">
        <v>0</v>
      </c>
      <c r="X7081" s="38">
        <v>2</v>
      </c>
      <c r="Y7081" s="38">
        <v>0</v>
      </c>
      <c r="Z7081" s="38">
        <v>0</v>
      </c>
      <c r="AA7081" s="38">
        <v>0</v>
      </c>
    </row>
    <row r="7082" spans="1:27" x14ac:dyDescent="0.25">
      <c r="A7082" s="22">
        <v>45433</v>
      </c>
      <c r="B7082" s="38">
        <v>0</v>
      </c>
      <c r="C7082" s="38">
        <v>0</v>
      </c>
      <c r="D7082" s="38">
        <v>0</v>
      </c>
      <c r="E7082" s="38">
        <v>1.2000000000000002</v>
      </c>
      <c r="F7082" s="38">
        <v>0</v>
      </c>
      <c r="G7082" s="38">
        <v>0</v>
      </c>
      <c r="H7082" s="38">
        <v>0</v>
      </c>
      <c r="I7082" s="38">
        <v>0</v>
      </c>
      <c r="J7082" s="38">
        <v>1</v>
      </c>
      <c r="K7082" s="38">
        <v>1</v>
      </c>
      <c r="L7082" s="38">
        <v>0</v>
      </c>
      <c r="M7082" s="38">
        <v>0</v>
      </c>
      <c r="N7082" s="38">
        <v>0</v>
      </c>
      <c r="P7082" s="38">
        <v>0</v>
      </c>
      <c r="Q7082" s="38">
        <v>0</v>
      </c>
      <c r="R7082" s="38">
        <v>0</v>
      </c>
      <c r="S7082" s="38">
        <v>0</v>
      </c>
      <c r="T7082" s="38">
        <v>0</v>
      </c>
      <c r="U7082" s="38">
        <v>0</v>
      </c>
      <c r="V7082" s="38">
        <v>0</v>
      </c>
      <c r="W7082" s="38">
        <v>0</v>
      </c>
      <c r="X7082" s="38">
        <v>0</v>
      </c>
      <c r="Y7082" s="38">
        <v>0</v>
      </c>
      <c r="Z7082" s="38">
        <v>0</v>
      </c>
      <c r="AA7082" s="38">
        <v>0</v>
      </c>
    </row>
    <row r="7083" spans="1:27" x14ac:dyDescent="0.25">
      <c r="A7083" s="22">
        <v>45434</v>
      </c>
      <c r="B7083" s="38">
        <v>2</v>
      </c>
      <c r="C7083" s="38">
        <v>0</v>
      </c>
      <c r="D7083" s="38">
        <v>0</v>
      </c>
      <c r="E7083" s="38">
        <v>0</v>
      </c>
      <c r="F7083" s="38">
        <v>0</v>
      </c>
      <c r="G7083" s="38">
        <v>0</v>
      </c>
      <c r="H7083" s="38">
        <v>0</v>
      </c>
      <c r="I7083" s="38">
        <v>0</v>
      </c>
      <c r="J7083" s="38">
        <v>0</v>
      </c>
      <c r="K7083" s="38">
        <v>0</v>
      </c>
      <c r="L7083" s="38">
        <v>0</v>
      </c>
      <c r="M7083" s="38">
        <v>0</v>
      </c>
      <c r="N7083" s="38">
        <v>0</v>
      </c>
      <c r="P7083" s="38">
        <v>0</v>
      </c>
      <c r="Q7083" s="38">
        <v>3.4</v>
      </c>
      <c r="R7083" s="38">
        <v>0</v>
      </c>
      <c r="S7083" s="38">
        <v>3</v>
      </c>
      <c r="T7083" s="38">
        <v>0</v>
      </c>
      <c r="U7083" s="38">
        <v>0</v>
      </c>
      <c r="V7083" s="38">
        <v>0</v>
      </c>
      <c r="W7083" s="38">
        <v>0</v>
      </c>
      <c r="X7083" s="38">
        <v>0</v>
      </c>
      <c r="Y7083" s="38">
        <v>0</v>
      </c>
      <c r="Z7083" s="38">
        <v>0</v>
      </c>
      <c r="AA7083" s="38">
        <v>0</v>
      </c>
    </row>
    <row r="7084" spans="1:27" x14ac:dyDescent="0.25">
      <c r="A7084" s="22">
        <v>45435</v>
      </c>
      <c r="B7084" s="38">
        <v>4</v>
      </c>
      <c r="C7084" s="38">
        <v>6</v>
      </c>
      <c r="D7084" s="38">
        <v>5.2</v>
      </c>
      <c r="E7084" s="38">
        <v>2.8</v>
      </c>
      <c r="F7084" s="38">
        <v>2</v>
      </c>
      <c r="G7084" s="38">
        <v>9</v>
      </c>
      <c r="H7084" s="38">
        <v>2.4</v>
      </c>
      <c r="I7084" s="38">
        <v>3.2</v>
      </c>
      <c r="J7084" s="38">
        <v>3.2</v>
      </c>
      <c r="K7084" s="38">
        <v>4</v>
      </c>
      <c r="L7084" s="38">
        <v>2</v>
      </c>
      <c r="M7084" s="38">
        <v>6.8</v>
      </c>
      <c r="N7084" s="38">
        <v>0.2</v>
      </c>
      <c r="P7084" s="38">
        <v>4</v>
      </c>
      <c r="Q7084" s="38">
        <v>4.2</v>
      </c>
      <c r="R7084" s="38">
        <v>0</v>
      </c>
      <c r="S7084" s="38">
        <v>0</v>
      </c>
      <c r="T7084" s="38">
        <v>1.5999999999999999</v>
      </c>
      <c r="U7084" s="38">
        <v>9</v>
      </c>
      <c r="V7084" s="38">
        <v>0.2</v>
      </c>
      <c r="W7084" s="38">
        <v>2.4</v>
      </c>
      <c r="X7084" s="38">
        <v>8</v>
      </c>
      <c r="Y7084" s="38">
        <v>2</v>
      </c>
      <c r="Z7084" s="38">
        <v>2</v>
      </c>
      <c r="AA7084" s="38">
        <v>0</v>
      </c>
    </row>
    <row r="7085" spans="1:27" x14ac:dyDescent="0.25">
      <c r="A7085" s="22">
        <v>45436</v>
      </c>
      <c r="B7085" s="38">
        <v>0</v>
      </c>
      <c r="C7085" s="38">
        <v>0</v>
      </c>
      <c r="D7085" s="38">
        <v>0</v>
      </c>
      <c r="E7085" s="38">
        <v>1.2000000000000002</v>
      </c>
      <c r="F7085" s="38">
        <v>0</v>
      </c>
      <c r="G7085" s="38">
        <v>2.7</v>
      </c>
      <c r="H7085" s="38">
        <v>0</v>
      </c>
      <c r="I7085" s="38">
        <v>4.7</v>
      </c>
      <c r="J7085" s="38">
        <v>0.8</v>
      </c>
      <c r="K7085" s="38">
        <v>0</v>
      </c>
      <c r="L7085" s="38">
        <v>2.8</v>
      </c>
      <c r="M7085" s="38">
        <v>1</v>
      </c>
      <c r="N7085" s="38">
        <v>0.4</v>
      </c>
      <c r="P7085" s="38">
        <v>0</v>
      </c>
      <c r="Q7085" s="38">
        <v>1.2</v>
      </c>
      <c r="R7085" s="38">
        <v>0</v>
      </c>
      <c r="S7085" s="38">
        <v>0</v>
      </c>
      <c r="T7085" s="38">
        <v>0.4</v>
      </c>
      <c r="U7085" s="38">
        <v>8</v>
      </c>
      <c r="V7085" s="38">
        <v>0</v>
      </c>
      <c r="W7085" s="38">
        <v>2.1</v>
      </c>
      <c r="X7085" s="38">
        <v>2</v>
      </c>
      <c r="Y7085" s="38">
        <v>0</v>
      </c>
      <c r="Z7085" s="38">
        <v>0</v>
      </c>
      <c r="AA7085" s="38">
        <v>0</v>
      </c>
    </row>
    <row r="7086" spans="1:27" x14ac:dyDescent="0.25">
      <c r="A7086" s="22">
        <v>45437</v>
      </c>
      <c r="B7086" s="38">
        <v>0</v>
      </c>
      <c r="C7086" s="38">
        <v>0</v>
      </c>
      <c r="D7086" s="38">
        <v>0</v>
      </c>
      <c r="E7086" s="38">
        <v>8.1999999999999993</v>
      </c>
      <c r="F7086" s="38">
        <v>0</v>
      </c>
      <c r="G7086" s="38">
        <v>0</v>
      </c>
      <c r="H7086" s="38">
        <v>0</v>
      </c>
      <c r="I7086" s="38">
        <v>1.1000000000000001</v>
      </c>
      <c r="J7086" s="38">
        <v>0</v>
      </c>
      <c r="K7086" s="38">
        <v>0</v>
      </c>
      <c r="L7086" s="38">
        <v>0</v>
      </c>
      <c r="M7086" s="38">
        <v>0</v>
      </c>
      <c r="N7086" s="38">
        <v>0.60000000000000009</v>
      </c>
      <c r="P7086" s="38">
        <v>2</v>
      </c>
      <c r="Q7086" s="38">
        <v>0</v>
      </c>
      <c r="R7086" s="38">
        <v>0</v>
      </c>
      <c r="S7086" s="38">
        <v>0</v>
      </c>
      <c r="T7086" s="38">
        <v>11.2</v>
      </c>
      <c r="U7086" s="38">
        <v>0</v>
      </c>
      <c r="V7086" s="38">
        <v>0</v>
      </c>
      <c r="W7086" s="38">
        <v>0</v>
      </c>
      <c r="X7086" s="38">
        <v>0</v>
      </c>
      <c r="Y7086" s="38">
        <v>0</v>
      </c>
      <c r="Z7086" s="38">
        <v>0</v>
      </c>
      <c r="AA7086" s="38">
        <v>0</v>
      </c>
    </row>
    <row r="7087" spans="1:27" x14ac:dyDescent="0.25">
      <c r="A7087" s="22">
        <v>45438</v>
      </c>
      <c r="B7087" s="38">
        <v>0</v>
      </c>
      <c r="C7087" s="38">
        <v>0</v>
      </c>
      <c r="D7087" s="38">
        <v>2.4</v>
      </c>
      <c r="E7087" s="38">
        <v>0</v>
      </c>
      <c r="F7087" s="38">
        <v>1</v>
      </c>
      <c r="G7087" s="38">
        <v>2</v>
      </c>
      <c r="H7087" s="38">
        <v>2</v>
      </c>
      <c r="I7087" s="38">
        <v>0.6</v>
      </c>
      <c r="J7087" s="38">
        <v>1.9</v>
      </c>
      <c r="K7087" s="38">
        <v>0</v>
      </c>
      <c r="L7087" s="38">
        <v>4.3</v>
      </c>
      <c r="M7087" s="38">
        <v>1</v>
      </c>
      <c r="N7087" s="38">
        <v>0</v>
      </c>
      <c r="P7087" s="38">
        <v>2</v>
      </c>
      <c r="Q7087" s="38">
        <v>4</v>
      </c>
      <c r="R7087" s="38">
        <v>15</v>
      </c>
      <c r="S7087" s="38">
        <v>0</v>
      </c>
      <c r="T7087" s="38">
        <v>2</v>
      </c>
      <c r="U7087" s="38">
        <v>3</v>
      </c>
      <c r="V7087" s="38">
        <v>0.3</v>
      </c>
      <c r="W7087" s="38">
        <v>0.1</v>
      </c>
      <c r="X7087" s="38">
        <v>0</v>
      </c>
      <c r="Y7087" s="38">
        <v>0</v>
      </c>
      <c r="Z7087" s="38">
        <v>6</v>
      </c>
      <c r="AA7087" s="38">
        <v>0</v>
      </c>
    </row>
    <row r="7088" spans="1:27" x14ac:dyDescent="0.25">
      <c r="A7088" s="22">
        <v>45439</v>
      </c>
      <c r="B7088" s="38">
        <v>6</v>
      </c>
      <c r="C7088" s="38">
        <v>0</v>
      </c>
      <c r="D7088" s="38">
        <v>0</v>
      </c>
      <c r="E7088" s="38">
        <v>2</v>
      </c>
      <c r="F7088" s="38">
        <v>0</v>
      </c>
      <c r="G7088" s="38">
        <v>0</v>
      </c>
      <c r="H7088" s="38">
        <v>0</v>
      </c>
      <c r="I7088" s="38">
        <v>0</v>
      </c>
      <c r="J7088" s="38">
        <v>1</v>
      </c>
      <c r="K7088" s="38">
        <v>0.8</v>
      </c>
      <c r="L7088" s="38">
        <v>0</v>
      </c>
      <c r="M7088" s="38">
        <v>0</v>
      </c>
      <c r="N7088" s="38">
        <v>0.4</v>
      </c>
      <c r="P7088" s="38">
        <v>0</v>
      </c>
      <c r="Q7088" s="38">
        <v>0</v>
      </c>
      <c r="R7088" s="38">
        <v>4</v>
      </c>
      <c r="S7088" s="38">
        <v>11</v>
      </c>
      <c r="T7088" s="38">
        <v>0</v>
      </c>
      <c r="U7088" s="38">
        <v>0</v>
      </c>
      <c r="V7088" s="38">
        <v>0</v>
      </c>
      <c r="W7088" s="38">
        <v>0</v>
      </c>
      <c r="X7088" s="38">
        <v>0</v>
      </c>
      <c r="Y7088" s="38">
        <v>0</v>
      </c>
      <c r="Z7088" s="38">
        <v>0</v>
      </c>
      <c r="AA7088" s="38">
        <v>0</v>
      </c>
    </row>
    <row r="7089" spans="1:27" x14ac:dyDescent="0.25">
      <c r="A7089" s="22">
        <v>45440</v>
      </c>
      <c r="B7089" s="38">
        <v>8</v>
      </c>
      <c r="C7089" s="38">
        <v>10.8</v>
      </c>
      <c r="D7089" s="38">
        <v>7</v>
      </c>
      <c r="E7089" s="38">
        <v>12</v>
      </c>
      <c r="F7089" s="38">
        <v>26</v>
      </c>
      <c r="G7089" s="38">
        <v>29.5</v>
      </c>
      <c r="H7089" s="38">
        <v>22.2</v>
      </c>
      <c r="I7089" s="38">
        <v>17.399999999999999</v>
      </c>
      <c r="J7089" s="38">
        <v>21</v>
      </c>
      <c r="K7089" s="38">
        <v>17.399999999999999</v>
      </c>
      <c r="L7089" s="38">
        <v>5.6</v>
      </c>
      <c r="M7089" s="38">
        <v>25</v>
      </c>
      <c r="N7089" s="38">
        <v>25</v>
      </c>
      <c r="P7089" s="38">
        <v>10</v>
      </c>
      <c r="Q7089" s="38">
        <v>18.899999999999999</v>
      </c>
      <c r="R7089" s="38">
        <v>16.100000000000001</v>
      </c>
      <c r="T7089" s="38">
        <v>0</v>
      </c>
      <c r="U7089" s="38">
        <v>30</v>
      </c>
      <c r="V7089" s="38">
        <v>7</v>
      </c>
      <c r="W7089" s="38">
        <v>24</v>
      </c>
      <c r="X7089" s="38">
        <v>18.5</v>
      </c>
      <c r="Y7089" s="38">
        <v>24</v>
      </c>
      <c r="Z7089" s="38">
        <v>26</v>
      </c>
      <c r="AA7089" s="38">
        <v>6</v>
      </c>
    </row>
    <row r="7090" spans="1:27" x14ac:dyDescent="0.25">
      <c r="A7090" s="22">
        <v>45441</v>
      </c>
      <c r="B7090" s="38">
        <v>2</v>
      </c>
      <c r="C7090" s="38">
        <v>0</v>
      </c>
      <c r="D7090" s="38">
        <v>0</v>
      </c>
      <c r="E7090" s="38">
        <v>2</v>
      </c>
      <c r="F7090" s="38">
        <v>0</v>
      </c>
      <c r="G7090" s="38">
        <v>0</v>
      </c>
      <c r="H7090" s="38">
        <v>0.4</v>
      </c>
      <c r="I7090" s="38">
        <v>1</v>
      </c>
      <c r="J7090" s="38">
        <v>2</v>
      </c>
      <c r="K7090" s="38">
        <v>1.2</v>
      </c>
      <c r="L7090" s="38">
        <v>0</v>
      </c>
      <c r="M7090" s="38">
        <v>0</v>
      </c>
      <c r="N7090" s="38">
        <v>0.4</v>
      </c>
      <c r="P7090" s="38">
        <v>0</v>
      </c>
      <c r="Q7090" s="38">
        <v>0</v>
      </c>
      <c r="R7090" s="38">
        <v>0</v>
      </c>
      <c r="T7090" s="38">
        <v>16.000000000000004</v>
      </c>
      <c r="U7090" s="38">
        <v>3</v>
      </c>
      <c r="V7090" s="38">
        <v>0</v>
      </c>
      <c r="W7090" s="38">
        <v>0</v>
      </c>
      <c r="X7090" s="38">
        <v>0</v>
      </c>
      <c r="Y7090" s="38">
        <v>0</v>
      </c>
      <c r="Z7090" s="38">
        <v>0</v>
      </c>
      <c r="AA7090" s="38">
        <v>10</v>
      </c>
    </row>
    <row r="7091" spans="1:27" x14ac:dyDescent="0.25">
      <c r="A7091" s="22">
        <v>45442</v>
      </c>
      <c r="B7091" s="38">
        <v>33</v>
      </c>
      <c r="C7091" s="38">
        <v>45</v>
      </c>
      <c r="D7091" s="38">
        <v>11.6</v>
      </c>
      <c r="E7091" s="38">
        <v>27.399999999999995</v>
      </c>
      <c r="F7091" s="38">
        <v>22</v>
      </c>
      <c r="G7091" s="38">
        <v>23.5</v>
      </c>
      <c r="H7091" s="38">
        <v>8</v>
      </c>
      <c r="I7091" s="38">
        <v>13</v>
      </c>
      <c r="J7091" s="38">
        <v>33</v>
      </c>
      <c r="K7091" s="38">
        <v>27</v>
      </c>
      <c r="L7091" s="38">
        <v>11.2</v>
      </c>
      <c r="M7091" s="38">
        <v>22.8</v>
      </c>
      <c r="N7091" s="38">
        <v>35</v>
      </c>
      <c r="P7091" s="38">
        <v>16</v>
      </c>
      <c r="Q7091" s="38">
        <v>21.2</v>
      </c>
      <c r="R7091" s="38">
        <v>12</v>
      </c>
      <c r="T7091" s="38">
        <v>7.8000000000000016</v>
      </c>
      <c r="U7091" s="38">
        <v>30</v>
      </c>
      <c r="V7091" s="38">
        <v>10.199999999999999</v>
      </c>
      <c r="W7091" s="38">
        <v>18.399999999999999</v>
      </c>
      <c r="X7091" s="38">
        <v>8</v>
      </c>
      <c r="Y7091" s="38">
        <v>10</v>
      </c>
      <c r="Z7091" s="38">
        <v>6</v>
      </c>
      <c r="AA7091" s="38">
        <v>8</v>
      </c>
    </row>
    <row r="7092" spans="1:27" x14ac:dyDescent="0.25">
      <c r="A7092" s="22">
        <v>45443</v>
      </c>
      <c r="B7092" s="38">
        <v>11</v>
      </c>
      <c r="D7092" s="38">
        <v>23.2</v>
      </c>
      <c r="E7092" s="38">
        <v>21.599999999999998</v>
      </c>
      <c r="F7092" s="38">
        <v>8.4</v>
      </c>
      <c r="G7092" s="38">
        <v>2</v>
      </c>
      <c r="H7092" s="38">
        <v>9.1</v>
      </c>
      <c r="I7092" s="38">
        <v>12.2</v>
      </c>
      <c r="J7092" s="38">
        <v>5</v>
      </c>
      <c r="K7092" s="38">
        <v>23.8</v>
      </c>
      <c r="L7092" s="38">
        <v>16.5</v>
      </c>
      <c r="M7092" s="38">
        <v>0</v>
      </c>
      <c r="N7092" s="38">
        <v>6.2</v>
      </c>
      <c r="P7092" s="38">
        <v>6</v>
      </c>
      <c r="Q7092" s="38">
        <v>6</v>
      </c>
      <c r="R7092" s="38">
        <v>15</v>
      </c>
      <c r="T7092" s="38">
        <v>5.0000000000000009</v>
      </c>
      <c r="U7092" s="38">
        <v>11</v>
      </c>
      <c r="V7092" s="38">
        <v>0</v>
      </c>
      <c r="W7092" s="38">
        <v>10</v>
      </c>
      <c r="X7092" s="38">
        <v>6</v>
      </c>
      <c r="Y7092" s="38">
        <v>8.1999999999999993</v>
      </c>
      <c r="Z7092" s="38">
        <v>12</v>
      </c>
      <c r="AA7092" s="38">
        <v>10</v>
      </c>
    </row>
    <row r="7093" spans="1:27" x14ac:dyDescent="0.25">
      <c r="A7093" s="22">
        <v>45444</v>
      </c>
      <c r="C7093" s="38">
        <v>7.6</v>
      </c>
      <c r="D7093" s="38">
        <v>4</v>
      </c>
      <c r="E7093" s="38">
        <v>9.6</v>
      </c>
      <c r="F7093" s="38">
        <v>4.3</v>
      </c>
      <c r="G7093" s="38">
        <v>9</v>
      </c>
      <c r="H7093" s="38">
        <v>7.3</v>
      </c>
      <c r="I7093" s="38">
        <v>8.6</v>
      </c>
      <c r="J7093" s="38">
        <v>9.8000000000000007</v>
      </c>
      <c r="K7093" s="38">
        <v>7.5</v>
      </c>
      <c r="L7093" s="38">
        <v>10.16</v>
      </c>
      <c r="M7093" s="38">
        <v>8.1999999999999993</v>
      </c>
      <c r="N7093" s="38">
        <v>10.399999999999997</v>
      </c>
      <c r="Q7093" s="38">
        <v>8.3000000000000007</v>
      </c>
      <c r="R7093" s="38">
        <v>7.2</v>
      </c>
      <c r="T7093" s="38">
        <v>1</v>
      </c>
      <c r="U7093" s="38">
        <v>6</v>
      </c>
      <c r="V7093" s="38">
        <v>2</v>
      </c>
      <c r="W7093" s="38">
        <v>7</v>
      </c>
      <c r="X7093" s="38">
        <v>6</v>
      </c>
      <c r="Y7093" s="38">
        <v>7.2</v>
      </c>
      <c r="Z7093" s="38">
        <v>6</v>
      </c>
      <c r="AA7093" s="38">
        <v>6</v>
      </c>
    </row>
    <row r="7094" spans="1:27" x14ac:dyDescent="0.25">
      <c r="A7094" s="22">
        <v>45445</v>
      </c>
      <c r="B7094" s="38">
        <v>10</v>
      </c>
      <c r="C7094" s="38">
        <v>12</v>
      </c>
      <c r="D7094" s="38">
        <v>8</v>
      </c>
      <c r="F7094" s="38">
        <v>5.2</v>
      </c>
      <c r="G7094" s="38">
        <v>2.5</v>
      </c>
      <c r="H7094" s="38">
        <v>0.2</v>
      </c>
      <c r="I7094" s="38">
        <v>0.8</v>
      </c>
      <c r="J7094" s="38">
        <v>1.5</v>
      </c>
      <c r="K7094" s="38">
        <v>6</v>
      </c>
      <c r="L7094" s="38">
        <v>4.8259999999999996</v>
      </c>
      <c r="M7094" s="38">
        <v>1</v>
      </c>
      <c r="N7094" s="38">
        <v>7.8000000000000007</v>
      </c>
      <c r="P7094" s="38">
        <v>0</v>
      </c>
      <c r="Q7094" s="38">
        <v>1.5</v>
      </c>
      <c r="R7094" s="38">
        <v>0</v>
      </c>
      <c r="T7094" s="38">
        <v>10.599999999999998</v>
      </c>
      <c r="U7094" s="38">
        <v>13</v>
      </c>
      <c r="V7094" s="38">
        <v>1.4</v>
      </c>
      <c r="W7094" s="38">
        <v>2.4</v>
      </c>
      <c r="X7094" s="38">
        <v>2</v>
      </c>
      <c r="Y7094" s="38">
        <v>2</v>
      </c>
      <c r="Z7094" s="38">
        <v>2</v>
      </c>
      <c r="AA7094" s="38">
        <v>0</v>
      </c>
    </row>
    <row r="7095" spans="1:27" x14ac:dyDescent="0.25">
      <c r="A7095" s="22">
        <v>45446</v>
      </c>
      <c r="B7095" s="38">
        <v>38</v>
      </c>
      <c r="C7095" s="38">
        <v>18.399999999999999</v>
      </c>
      <c r="D7095" s="38">
        <v>7.6</v>
      </c>
      <c r="E7095" s="38">
        <v>1.5999999999999999</v>
      </c>
      <c r="F7095" s="38">
        <v>0.3</v>
      </c>
      <c r="G7095" s="38">
        <v>3.2</v>
      </c>
      <c r="H7095" s="38">
        <v>4.2</v>
      </c>
      <c r="I7095" s="38">
        <v>1.3</v>
      </c>
      <c r="J7095" s="38">
        <v>6.2</v>
      </c>
      <c r="K7095" s="38">
        <v>2</v>
      </c>
      <c r="L7095" s="38">
        <v>5.5880000000000001</v>
      </c>
      <c r="M7095" s="38">
        <v>2</v>
      </c>
      <c r="N7095" s="38">
        <v>3.4000000000000004</v>
      </c>
      <c r="P7095" s="38">
        <v>0</v>
      </c>
      <c r="Q7095" s="38">
        <v>5</v>
      </c>
      <c r="R7095" s="38">
        <v>0</v>
      </c>
      <c r="T7095" s="38">
        <v>5.4</v>
      </c>
      <c r="U7095" s="38">
        <v>5</v>
      </c>
      <c r="V7095" s="38">
        <v>0</v>
      </c>
      <c r="W7095" s="38">
        <v>4.4000000000000004</v>
      </c>
      <c r="X7095" s="38">
        <v>0</v>
      </c>
      <c r="Y7095" s="38">
        <v>4</v>
      </c>
      <c r="Z7095" s="38">
        <v>4</v>
      </c>
      <c r="AA7095" s="38">
        <v>14</v>
      </c>
    </row>
    <row r="7096" spans="1:27" x14ac:dyDescent="0.25">
      <c r="A7096" s="22">
        <v>45447</v>
      </c>
      <c r="B7096" s="38">
        <v>7</v>
      </c>
      <c r="C7096" s="38">
        <v>9.6</v>
      </c>
      <c r="D7096" s="38">
        <v>2</v>
      </c>
      <c r="E7096" s="42"/>
      <c r="F7096" s="38">
        <v>1.2</v>
      </c>
      <c r="G7096" s="38">
        <v>4.4000000000000004</v>
      </c>
      <c r="H7096" s="38">
        <v>2.1</v>
      </c>
      <c r="I7096" s="38">
        <v>1.9</v>
      </c>
      <c r="J7096" s="38">
        <v>4.2</v>
      </c>
      <c r="K7096" s="38">
        <v>8.1999999999999993</v>
      </c>
      <c r="L7096" s="38">
        <v>1.5239999999999998</v>
      </c>
      <c r="M7096" s="38">
        <v>3.8</v>
      </c>
      <c r="N7096" s="38">
        <v>0.4</v>
      </c>
      <c r="P7096" s="38">
        <v>11</v>
      </c>
      <c r="Q7096" s="38">
        <v>4.4000000000000004</v>
      </c>
      <c r="R7096" s="38">
        <v>3.2</v>
      </c>
      <c r="S7096" s="38">
        <v>9</v>
      </c>
      <c r="T7096" s="38">
        <v>0.2</v>
      </c>
      <c r="U7096" s="38">
        <v>8</v>
      </c>
      <c r="V7096" s="38">
        <v>3</v>
      </c>
      <c r="W7096" s="38">
        <v>4</v>
      </c>
      <c r="X7096" s="38">
        <v>2</v>
      </c>
      <c r="Y7096" s="38">
        <v>2</v>
      </c>
      <c r="Z7096" s="38">
        <v>2.5</v>
      </c>
      <c r="AA7096" s="38">
        <v>20</v>
      </c>
    </row>
    <row r="7097" spans="1:27" x14ac:dyDescent="0.25">
      <c r="A7097" s="22">
        <v>45448</v>
      </c>
      <c r="B7097" s="38">
        <v>4</v>
      </c>
      <c r="C7097" s="38">
        <v>0.4</v>
      </c>
      <c r="D7097" s="38">
        <v>1.6</v>
      </c>
      <c r="E7097" s="38">
        <v>0</v>
      </c>
      <c r="F7097" s="38">
        <v>0</v>
      </c>
      <c r="G7097" s="38">
        <v>2</v>
      </c>
      <c r="H7097" s="38">
        <v>0</v>
      </c>
      <c r="I7097" s="38">
        <v>0.6</v>
      </c>
      <c r="J7097" s="38">
        <v>0</v>
      </c>
      <c r="K7097" s="38">
        <v>1.4</v>
      </c>
      <c r="L7097" s="38">
        <v>0.50800000000000001</v>
      </c>
      <c r="M7097" s="38">
        <v>0</v>
      </c>
      <c r="N7097" s="38">
        <v>0.60000000000000009</v>
      </c>
      <c r="P7097" s="38">
        <v>0</v>
      </c>
      <c r="Q7097" s="38">
        <v>0</v>
      </c>
      <c r="R7097" s="38">
        <v>0</v>
      </c>
      <c r="S7097" s="38">
        <v>2.5</v>
      </c>
      <c r="T7097" s="38">
        <v>0</v>
      </c>
      <c r="U7097" s="38">
        <v>0</v>
      </c>
      <c r="V7097" s="38">
        <v>0</v>
      </c>
      <c r="W7097" s="38">
        <v>0.4</v>
      </c>
      <c r="X7097" s="38">
        <v>0</v>
      </c>
      <c r="Y7097" s="38">
        <v>0</v>
      </c>
      <c r="Z7097" s="38">
        <v>0</v>
      </c>
      <c r="AA7097" s="38">
        <v>0</v>
      </c>
    </row>
    <row r="7098" spans="1:27" x14ac:dyDescent="0.25">
      <c r="A7098" s="22">
        <v>45449</v>
      </c>
      <c r="B7098" s="38">
        <v>0</v>
      </c>
      <c r="C7098" s="38">
        <v>2</v>
      </c>
      <c r="D7098" s="38">
        <v>0</v>
      </c>
      <c r="E7098" s="38">
        <v>0</v>
      </c>
      <c r="F7098" s="38">
        <v>0</v>
      </c>
      <c r="G7098" s="38">
        <v>0.4</v>
      </c>
      <c r="H7098" s="38">
        <v>0</v>
      </c>
      <c r="I7098" s="38">
        <v>0</v>
      </c>
      <c r="J7098" s="38">
        <v>0.5</v>
      </c>
      <c r="K7098" s="38">
        <v>0</v>
      </c>
      <c r="L7098" s="38">
        <v>0.7619999999999999</v>
      </c>
      <c r="M7098" s="38">
        <v>0</v>
      </c>
      <c r="N7098" s="38">
        <v>0.60000000000000009</v>
      </c>
      <c r="P7098" s="38">
        <v>2</v>
      </c>
      <c r="Q7098" s="38">
        <v>0</v>
      </c>
      <c r="R7098" s="38">
        <v>0</v>
      </c>
      <c r="S7098" s="38">
        <v>0</v>
      </c>
      <c r="T7098" s="38">
        <v>0</v>
      </c>
      <c r="U7098" s="38">
        <v>0</v>
      </c>
      <c r="V7098" s="38">
        <v>0</v>
      </c>
      <c r="W7098" s="38">
        <v>0</v>
      </c>
      <c r="X7098" s="38">
        <v>0</v>
      </c>
      <c r="Y7098" s="38">
        <v>0</v>
      </c>
      <c r="Z7098" s="38">
        <v>0</v>
      </c>
      <c r="AA7098" s="38">
        <v>0</v>
      </c>
    </row>
    <row r="7099" spans="1:27" x14ac:dyDescent="0.25">
      <c r="A7099" s="22">
        <v>45450</v>
      </c>
      <c r="B7099" s="38">
        <v>0</v>
      </c>
      <c r="C7099" s="38">
        <v>0</v>
      </c>
      <c r="D7099" s="38">
        <v>0</v>
      </c>
      <c r="E7099" s="38">
        <v>0.4</v>
      </c>
      <c r="F7099" s="38">
        <v>0</v>
      </c>
      <c r="G7099" s="38">
        <v>0</v>
      </c>
      <c r="H7099" s="38">
        <v>0</v>
      </c>
      <c r="I7099" s="38">
        <v>0</v>
      </c>
      <c r="J7099" s="38">
        <v>1</v>
      </c>
      <c r="K7099" s="38">
        <v>1.6</v>
      </c>
      <c r="L7099" s="38">
        <v>0</v>
      </c>
      <c r="M7099" s="38">
        <v>0</v>
      </c>
      <c r="N7099" s="38">
        <v>0.4</v>
      </c>
      <c r="P7099" s="38">
        <v>0</v>
      </c>
      <c r="Q7099" s="38">
        <v>0</v>
      </c>
      <c r="R7099" s="38">
        <v>0</v>
      </c>
      <c r="S7099" s="38">
        <v>0</v>
      </c>
      <c r="T7099" s="38">
        <v>0</v>
      </c>
      <c r="U7099" s="38">
        <v>0</v>
      </c>
      <c r="V7099" s="38">
        <v>0</v>
      </c>
      <c r="W7099" s="38">
        <v>0</v>
      </c>
      <c r="X7099" s="38">
        <v>0</v>
      </c>
      <c r="Y7099" s="38">
        <v>0</v>
      </c>
      <c r="Z7099" s="38">
        <v>0</v>
      </c>
      <c r="AA7099" s="38">
        <v>0</v>
      </c>
    </row>
    <row r="7100" spans="1:27" x14ac:dyDescent="0.25">
      <c r="A7100" s="22">
        <v>45451</v>
      </c>
      <c r="B7100" s="38">
        <v>0</v>
      </c>
      <c r="C7100" s="38">
        <v>0</v>
      </c>
      <c r="D7100" s="38">
        <v>0.6</v>
      </c>
      <c r="E7100" s="38">
        <v>33</v>
      </c>
      <c r="F7100" s="38">
        <v>0</v>
      </c>
      <c r="G7100" s="38">
        <v>0</v>
      </c>
      <c r="H7100" s="38">
        <v>0</v>
      </c>
      <c r="I7100" s="38">
        <v>0</v>
      </c>
      <c r="J7100" s="38">
        <v>0</v>
      </c>
      <c r="K7100" s="38">
        <v>0</v>
      </c>
      <c r="L7100" s="38">
        <v>0</v>
      </c>
      <c r="M7100" s="38">
        <v>0</v>
      </c>
      <c r="N7100" s="38">
        <v>0.60000000000000009</v>
      </c>
      <c r="P7100" s="38">
        <v>0</v>
      </c>
      <c r="Q7100" s="38">
        <v>0</v>
      </c>
      <c r="R7100" s="38">
        <v>0</v>
      </c>
      <c r="S7100" s="38">
        <v>0</v>
      </c>
      <c r="T7100" s="38">
        <v>0</v>
      </c>
      <c r="U7100" s="38">
        <v>1</v>
      </c>
      <c r="V7100" s="38">
        <v>0</v>
      </c>
      <c r="W7100" s="38">
        <v>0</v>
      </c>
      <c r="X7100" s="38">
        <v>0</v>
      </c>
      <c r="Y7100" s="38">
        <v>0</v>
      </c>
      <c r="Z7100" s="38">
        <v>0</v>
      </c>
      <c r="AA7100" s="38">
        <v>0</v>
      </c>
    </row>
    <row r="7101" spans="1:27" x14ac:dyDescent="0.25">
      <c r="A7101" s="22">
        <v>45452</v>
      </c>
      <c r="B7101" s="38">
        <v>10</v>
      </c>
      <c r="C7101" s="38">
        <v>24</v>
      </c>
      <c r="D7101" s="38">
        <v>17</v>
      </c>
      <c r="E7101" s="38">
        <v>26.2</v>
      </c>
      <c r="F7101" s="38">
        <v>17.3</v>
      </c>
      <c r="G7101" s="38">
        <v>21.5</v>
      </c>
      <c r="H7101" s="38">
        <v>15.3</v>
      </c>
      <c r="I7101" s="38">
        <v>15</v>
      </c>
      <c r="J7101" s="38">
        <v>28.4</v>
      </c>
      <c r="K7101" s="38">
        <v>31</v>
      </c>
      <c r="L7101" s="38">
        <v>30.733999999999998</v>
      </c>
      <c r="M7101" s="38">
        <v>15</v>
      </c>
      <c r="N7101" s="38">
        <v>34.800000000000011</v>
      </c>
      <c r="P7101" s="38">
        <v>17</v>
      </c>
      <c r="Q7101" s="38">
        <v>20.2</v>
      </c>
      <c r="R7101" s="38">
        <v>24.1</v>
      </c>
      <c r="T7101" s="38">
        <v>0</v>
      </c>
      <c r="U7101" s="38">
        <v>0</v>
      </c>
      <c r="V7101" s="38">
        <v>24.1</v>
      </c>
      <c r="W7101" s="38">
        <v>20.399999999999999</v>
      </c>
      <c r="X7101" s="38">
        <v>5</v>
      </c>
      <c r="Y7101" s="38">
        <v>24</v>
      </c>
      <c r="Z7101" s="38">
        <v>24.5</v>
      </c>
      <c r="AA7101" s="38">
        <v>0</v>
      </c>
    </row>
    <row r="7102" spans="1:27" x14ac:dyDescent="0.25">
      <c r="A7102" s="22">
        <v>45453</v>
      </c>
      <c r="B7102" s="38">
        <v>63</v>
      </c>
      <c r="C7102" s="38">
        <v>12.4</v>
      </c>
      <c r="D7102" s="38">
        <v>18.2</v>
      </c>
      <c r="E7102" s="38">
        <v>46.2</v>
      </c>
      <c r="F7102" s="38">
        <v>15.1</v>
      </c>
      <c r="G7102" s="38">
        <v>25.5</v>
      </c>
      <c r="H7102" s="38">
        <v>19.3</v>
      </c>
      <c r="I7102" s="38">
        <v>17.5</v>
      </c>
      <c r="J7102" s="38">
        <v>27.8</v>
      </c>
      <c r="K7102" s="38">
        <v>6</v>
      </c>
      <c r="L7102" s="38">
        <v>13.208</v>
      </c>
      <c r="M7102" s="38">
        <v>23</v>
      </c>
      <c r="N7102" s="38">
        <v>15.999999999999996</v>
      </c>
      <c r="P7102" s="38">
        <v>34</v>
      </c>
      <c r="Q7102" s="38">
        <v>3.2</v>
      </c>
      <c r="R7102" s="38">
        <v>9.1999999999999993</v>
      </c>
      <c r="T7102" s="38">
        <v>0</v>
      </c>
      <c r="U7102" s="38">
        <v>48</v>
      </c>
      <c r="V7102" s="38">
        <v>3</v>
      </c>
      <c r="W7102" s="38">
        <v>23.3</v>
      </c>
      <c r="X7102" s="38">
        <v>11</v>
      </c>
      <c r="Y7102" s="38">
        <v>8.1999999999999993</v>
      </c>
      <c r="Z7102" s="38">
        <v>10</v>
      </c>
      <c r="AA7102" s="38">
        <v>26</v>
      </c>
    </row>
    <row r="7103" spans="1:27" x14ac:dyDescent="0.25">
      <c r="A7103" s="22">
        <v>45454</v>
      </c>
      <c r="B7103" s="38">
        <v>37</v>
      </c>
      <c r="C7103" s="38">
        <v>26.8</v>
      </c>
      <c r="D7103" s="38">
        <v>12.8</v>
      </c>
      <c r="E7103" s="38">
        <v>4</v>
      </c>
      <c r="F7103" s="38">
        <v>39.4</v>
      </c>
      <c r="G7103" s="38">
        <v>48.5</v>
      </c>
      <c r="H7103" s="38">
        <v>41.9</v>
      </c>
      <c r="I7103" s="38">
        <v>31.2</v>
      </c>
      <c r="J7103" s="38">
        <v>60.8</v>
      </c>
      <c r="K7103" s="38">
        <v>50.6</v>
      </c>
      <c r="L7103" s="38">
        <v>28.955999999999996</v>
      </c>
      <c r="M7103" s="38">
        <v>43</v>
      </c>
      <c r="N7103" s="38">
        <v>20.399999999999991</v>
      </c>
      <c r="P7103" s="38">
        <v>15</v>
      </c>
      <c r="Q7103" s="38">
        <v>14.7</v>
      </c>
      <c r="R7103" s="38">
        <v>6.2</v>
      </c>
      <c r="S7103" s="38">
        <v>0.5</v>
      </c>
      <c r="T7103" s="38">
        <v>0.60000000000000009</v>
      </c>
      <c r="U7103" s="38">
        <v>60</v>
      </c>
      <c r="V7103" s="38">
        <v>8</v>
      </c>
      <c r="W7103" s="38">
        <v>38</v>
      </c>
      <c r="X7103" s="38">
        <v>6</v>
      </c>
      <c r="Y7103" s="38">
        <v>22</v>
      </c>
      <c r="Z7103" s="38">
        <v>18</v>
      </c>
      <c r="AA7103" s="38">
        <v>16</v>
      </c>
    </row>
    <row r="7104" spans="1:27" x14ac:dyDescent="0.25">
      <c r="A7104" s="22">
        <v>45455</v>
      </c>
      <c r="B7104" s="38">
        <v>5</v>
      </c>
      <c r="C7104" s="38">
        <v>2</v>
      </c>
      <c r="D7104" s="38">
        <v>4.4000000000000004</v>
      </c>
      <c r="E7104" s="38">
        <v>2.6</v>
      </c>
      <c r="F7104" s="38">
        <v>0</v>
      </c>
      <c r="G7104" s="38">
        <v>1.5</v>
      </c>
      <c r="H7104" s="38">
        <v>0</v>
      </c>
      <c r="I7104" s="38">
        <v>3</v>
      </c>
      <c r="J7104" s="38">
        <v>0.8</v>
      </c>
      <c r="K7104" s="38">
        <v>0.8</v>
      </c>
      <c r="L7104" s="38">
        <v>2.032</v>
      </c>
      <c r="M7104" s="38">
        <v>1</v>
      </c>
      <c r="N7104" s="38">
        <v>1</v>
      </c>
      <c r="P7104" s="38">
        <v>0</v>
      </c>
      <c r="Q7104" s="38">
        <v>0</v>
      </c>
      <c r="R7104" s="38">
        <v>0</v>
      </c>
      <c r="S7104" s="38">
        <v>0</v>
      </c>
      <c r="T7104" s="38">
        <v>0</v>
      </c>
      <c r="U7104" s="38">
        <v>16</v>
      </c>
      <c r="V7104" s="38">
        <v>0</v>
      </c>
      <c r="W7104" s="38">
        <v>0.3</v>
      </c>
      <c r="X7104" s="38">
        <v>2</v>
      </c>
      <c r="Y7104" s="38">
        <v>0</v>
      </c>
      <c r="Z7104" s="38">
        <v>0</v>
      </c>
      <c r="AA7104" s="38">
        <v>6</v>
      </c>
    </row>
    <row r="7105" spans="1:27" x14ac:dyDescent="0.25">
      <c r="A7105" s="22">
        <v>45456</v>
      </c>
      <c r="B7105" s="38">
        <v>0</v>
      </c>
      <c r="C7105" s="38">
        <v>0</v>
      </c>
      <c r="D7105" s="38">
        <v>0</v>
      </c>
      <c r="E7105" s="38">
        <v>0</v>
      </c>
      <c r="F7105" s="38">
        <v>0</v>
      </c>
      <c r="G7105" s="38">
        <v>0</v>
      </c>
      <c r="H7105" s="38">
        <v>0</v>
      </c>
      <c r="I7105" s="38">
        <v>0</v>
      </c>
      <c r="J7105" s="38">
        <v>0</v>
      </c>
      <c r="K7105" s="38">
        <v>0</v>
      </c>
      <c r="L7105" s="38">
        <v>0.50800000000000001</v>
      </c>
      <c r="M7105" s="38">
        <v>0</v>
      </c>
      <c r="N7105" s="38">
        <v>0.8</v>
      </c>
      <c r="P7105" s="38">
        <v>0</v>
      </c>
      <c r="Q7105" s="38">
        <v>0</v>
      </c>
      <c r="R7105" s="38">
        <v>0</v>
      </c>
      <c r="S7105" s="38">
        <v>0.5</v>
      </c>
      <c r="T7105" s="38">
        <v>2.6</v>
      </c>
      <c r="U7105" s="38">
        <v>0</v>
      </c>
      <c r="V7105" s="38">
        <v>0</v>
      </c>
      <c r="W7105" s="38">
        <v>0</v>
      </c>
      <c r="X7105" s="38">
        <v>0</v>
      </c>
      <c r="Y7105" s="38">
        <v>0</v>
      </c>
      <c r="Z7105" s="38">
        <v>0</v>
      </c>
      <c r="AA7105" s="38">
        <v>0</v>
      </c>
    </row>
    <row r="7106" spans="1:27" x14ac:dyDescent="0.25">
      <c r="A7106" s="22">
        <v>45457</v>
      </c>
      <c r="B7106" s="38">
        <v>0</v>
      </c>
      <c r="C7106" s="38">
        <v>0</v>
      </c>
      <c r="D7106" s="38">
        <v>0</v>
      </c>
      <c r="E7106" s="38">
        <v>0</v>
      </c>
      <c r="F7106" s="38">
        <v>0</v>
      </c>
      <c r="G7106" s="38">
        <v>0</v>
      </c>
      <c r="H7106" s="38">
        <v>0</v>
      </c>
      <c r="I7106" s="38">
        <v>0.2</v>
      </c>
      <c r="J7106" s="38">
        <v>0</v>
      </c>
      <c r="K7106" s="38">
        <v>0</v>
      </c>
      <c r="L7106" s="38">
        <v>0</v>
      </c>
      <c r="M7106" s="38">
        <v>0</v>
      </c>
      <c r="N7106" s="38">
        <v>0.8</v>
      </c>
      <c r="P7106" s="38">
        <v>0</v>
      </c>
      <c r="Q7106" s="38">
        <v>0</v>
      </c>
      <c r="R7106" s="38">
        <v>0</v>
      </c>
      <c r="S7106" s="38">
        <v>0</v>
      </c>
      <c r="T7106" s="38">
        <v>0</v>
      </c>
      <c r="U7106" s="38">
        <v>0</v>
      </c>
      <c r="V7106" s="38">
        <v>0</v>
      </c>
      <c r="W7106" s="38">
        <v>0</v>
      </c>
      <c r="X7106" s="38">
        <v>0</v>
      </c>
      <c r="Y7106" s="38">
        <v>0</v>
      </c>
      <c r="Z7106" s="38">
        <v>0</v>
      </c>
      <c r="AA7106" s="38">
        <v>0</v>
      </c>
    </row>
    <row r="7107" spans="1:27" x14ac:dyDescent="0.25">
      <c r="A7107" s="22">
        <v>45458</v>
      </c>
      <c r="B7107" s="38">
        <v>0</v>
      </c>
      <c r="C7107" s="38">
        <v>0.4</v>
      </c>
      <c r="D7107" s="38">
        <v>0</v>
      </c>
      <c r="E7107" s="38">
        <v>1.2</v>
      </c>
      <c r="F7107" s="38">
        <v>0</v>
      </c>
      <c r="G7107" s="38">
        <v>0</v>
      </c>
      <c r="H7107" s="38">
        <v>0</v>
      </c>
      <c r="I7107" s="38">
        <v>0</v>
      </c>
      <c r="J7107" s="38">
        <v>0</v>
      </c>
      <c r="K7107" s="38">
        <v>0</v>
      </c>
      <c r="L7107" s="38">
        <v>0.50800000000000001</v>
      </c>
      <c r="M7107" s="38">
        <v>0</v>
      </c>
      <c r="N7107" s="38">
        <v>0.8</v>
      </c>
      <c r="P7107" s="38">
        <v>0</v>
      </c>
      <c r="Q7107" s="38">
        <v>0</v>
      </c>
      <c r="R7107" s="38">
        <v>0</v>
      </c>
      <c r="T7107" s="38">
        <v>0</v>
      </c>
      <c r="U7107" s="38">
        <v>2</v>
      </c>
      <c r="V7107" s="38">
        <v>0</v>
      </c>
      <c r="W7107" s="38">
        <v>0</v>
      </c>
      <c r="X7107" s="38">
        <v>0</v>
      </c>
      <c r="Y7107" s="38">
        <v>0</v>
      </c>
      <c r="Z7107" s="38">
        <v>0</v>
      </c>
      <c r="AA7107" s="38">
        <v>0</v>
      </c>
    </row>
    <row r="7108" spans="1:27" x14ac:dyDescent="0.25">
      <c r="A7108" s="22">
        <v>45459</v>
      </c>
      <c r="B7108" s="38">
        <v>0</v>
      </c>
      <c r="C7108" s="38">
        <v>0</v>
      </c>
      <c r="D7108" s="38">
        <v>0</v>
      </c>
      <c r="E7108" s="38">
        <v>0.8</v>
      </c>
      <c r="F7108" s="38">
        <v>1.3</v>
      </c>
      <c r="G7108" s="38">
        <v>0</v>
      </c>
      <c r="H7108" s="38">
        <v>0</v>
      </c>
      <c r="I7108" s="38">
        <v>0</v>
      </c>
      <c r="J7108" s="38">
        <v>0.8</v>
      </c>
      <c r="K7108" s="38">
        <v>2.2000000000000002</v>
      </c>
      <c r="L7108" s="38">
        <v>0</v>
      </c>
      <c r="M7108" s="38">
        <v>0</v>
      </c>
      <c r="N7108" s="38">
        <v>0.8</v>
      </c>
      <c r="P7108" s="38">
        <v>0</v>
      </c>
      <c r="Q7108" s="38">
        <v>0</v>
      </c>
      <c r="R7108" s="38">
        <v>0</v>
      </c>
      <c r="T7108" s="38">
        <v>0</v>
      </c>
      <c r="U7108" s="38">
        <v>0</v>
      </c>
      <c r="V7108" s="38">
        <v>0</v>
      </c>
      <c r="W7108" s="38">
        <v>0</v>
      </c>
      <c r="X7108" s="38">
        <v>0</v>
      </c>
      <c r="Y7108" s="38">
        <v>0</v>
      </c>
      <c r="Z7108" s="38">
        <v>0</v>
      </c>
      <c r="AA7108" s="38">
        <v>0</v>
      </c>
    </row>
    <row r="7109" spans="1:27" x14ac:dyDescent="0.25">
      <c r="A7109" s="22">
        <v>45460</v>
      </c>
      <c r="B7109" s="38">
        <v>0</v>
      </c>
      <c r="C7109" s="38">
        <v>2</v>
      </c>
      <c r="D7109" s="38">
        <v>4.2</v>
      </c>
      <c r="E7109" s="38">
        <v>2.2000000000000002</v>
      </c>
      <c r="F7109" s="38">
        <v>6.3</v>
      </c>
      <c r="G7109" s="38">
        <v>21.5</v>
      </c>
      <c r="H7109" s="38">
        <v>9.8000000000000007</v>
      </c>
      <c r="I7109" s="38">
        <v>7.2</v>
      </c>
      <c r="J7109" s="38">
        <v>9</v>
      </c>
      <c r="K7109" s="38">
        <v>4</v>
      </c>
      <c r="L7109" s="38">
        <v>4.0640000000000001</v>
      </c>
      <c r="M7109" s="38">
        <v>12.4</v>
      </c>
      <c r="N7109" s="38">
        <v>0.8</v>
      </c>
      <c r="P7109" s="38">
        <v>4</v>
      </c>
      <c r="Q7109" s="38">
        <v>0</v>
      </c>
      <c r="R7109" s="38">
        <v>0</v>
      </c>
      <c r="S7109" s="38">
        <v>1.5</v>
      </c>
      <c r="T7109" s="38">
        <v>1</v>
      </c>
      <c r="U7109" s="38">
        <v>4</v>
      </c>
      <c r="V7109" s="38">
        <v>2</v>
      </c>
      <c r="W7109" s="38">
        <v>16.399999999999999</v>
      </c>
      <c r="X7109" s="38">
        <v>3</v>
      </c>
      <c r="Y7109" s="38">
        <v>0</v>
      </c>
      <c r="Z7109" s="38">
        <v>0</v>
      </c>
      <c r="AA7109" s="38">
        <v>12</v>
      </c>
    </row>
    <row r="7110" spans="1:27" x14ac:dyDescent="0.25">
      <c r="A7110" s="22">
        <v>45461</v>
      </c>
      <c r="B7110" s="38">
        <v>6</v>
      </c>
      <c r="C7110" s="38">
        <v>9.1999999999999993</v>
      </c>
      <c r="D7110" s="38">
        <v>4</v>
      </c>
      <c r="E7110" s="38">
        <v>12.800000000000002</v>
      </c>
      <c r="F7110" s="38">
        <v>0</v>
      </c>
      <c r="G7110" s="38">
        <v>1.5</v>
      </c>
      <c r="H7110" s="38">
        <v>0</v>
      </c>
      <c r="I7110" s="38">
        <v>1.1000000000000001</v>
      </c>
      <c r="J7110" s="38">
        <v>3</v>
      </c>
      <c r="K7110" s="38">
        <v>4.4000000000000004</v>
      </c>
      <c r="L7110" s="38">
        <v>6.0959999999999992</v>
      </c>
      <c r="M7110" s="38">
        <v>1.8</v>
      </c>
      <c r="N7110" s="38">
        <v>1.2</v>
      </c>
      <c r="P7110" s="38">
        <v>1</v>
      </c>
      <c r="Q7110" s="38">
        <v>0</v>
      </c>
      <c r="R7110" s="38">
        <v>0</v>
      </c>
      <c r="S7110" s="38">
        <v>0</v>
      </c>
      <c r="T7110" s="38">
        <v>3.4</v>
      </c>
      <c r="U7110" s="38">
        <v>5</v>
      </c>
      <c r="V7110" s="38">
        <v>0</v>
      </c>
      <c r="W7110" s="38">
        <v>0</v>
      </c>
      <c r="X7110" s="38">
        <v>0</v>
      </c>
      <c r="Y7110" s="38">
        <v>0</v>
      </c>
      <c r="Z7110" s="38">
        <v>0</v>
      </c>
      <c r="AA7110" s="38">
        <v>0</v>
      </c>
    </row>
    <row r="7111" spans="1:27" x14ac:dyDescent="0.25">
      <c r="A7111" s="22">
        <v>45462</v>
      </c>
      <c r="B7111" s="38">
        <v>0</v>
      </c>
      <c r="C7111" s="38">
        <v>7.2</v>
      </c>
      <c r="D7111" s="38">
        <v>1.6</v>
      </c>
      <c r="E7111" s="38">
        <v>0</v>
      </c>
      <c r="F7111" s="38">
        <v>0.4</v>
      </c>
      <c r="G7111" s="38">
        <v>6.5</v>
      </c>
      <c r="H7111" s="38">
        <v>0</v>
      </c>
      <c r="I7111" s="38">
        <v>2</v>
      </c>
      <c r="J7111" s="38">
        <v>3</v>
      </c>
      <c r="K7111" s="38">
        <v>14.2</v>
      </c>
      <c r="L7111" s="38">
        <v>11.683999999999999</v>
      </c>
      <c r="M7111" s="38">
        <v>1.6</v>
      </c>
      <c r="N7111" s="38">
        <v>2.1999999999999997</v>
      </c>
      <c r="P7111" s="38">
        <v>22</v>
      </c>
      <c r="Q7111" s="38">
        <v>3.2</v>
      </c>
      <c r="R7111" s="38">
        <v>5.2</v>
      </c>
      <c r="S7111" s="38">
        <v>0</v>
      </c>
      <c r="T7111" s="38">
        <v>4.4000000000000004</v>
      </c>
      <c r="U7111" s="38">
        <v>9</v>
      </c>
      <c r="V7111" s="38">
        <v>0</v>
      </c>
      <c r="W7111" s="38">
        <v>0</v>
      </c>
      <c r="X7111" s="38">
        <v>0</v>
      </c>
      <c r="Y7111" s="38">
        <v>8</v>
      </c>
      <c r="Z7111" s="38">
        <v>12</v>
      </c>
      <c r="AA7111" s="38">
        <v>0</v>
      </c>
    </row>
    <row r="7112" spans="1:27" x14ac:dyDescent="0.25">
      <c r="A7112" s="22">
        <v>45463</v>
      </c>
      <c r="B7112" s="38">
        <v>0</v>
      </c>
      <c r="C7112" s="38">
        <v>0</v>
      </c>
      <c r="D7112" s="38">
        <v>0</v>
      </c>
      <c r="E7112" s="38">
        <v>1</v>
      </c>
      <c r="F7112" s="38">
        <v>0</v>
      </c>
      <c r="G7112" s="38">
        <v>1.5</v>
      </c>
      <c r="H7112" s="38">
        <v>0</v>
      </c>
      <c r="I7112" s="38">
        <v>0</v>
      </c>
      <c r="J7112" s="38">
        <v>0</v>
      </c>
      <c r="K7112" s="38">
        <v>0</v>
      </c>
      <c r="L7112" s="38">
        <v>0.254</v>
      </c>
      <c r="M7112" s="38">
        <v>0</v>
      </c>
      <c r="N7112" s="38">
        <v>1.5999999999999999</v>
      </c>
      <c r="P7112" s="38">
        <v>0</v>
      </c>
      <c r="Q7112" s="38">
        <v>1.2</v>
      </c>
      <c r="R7112" s="38">
        <v>0</v>
      </c>
      <c r="S7112" s="38">
        <v>0</v>
      </c>
      <c r="T7112" s="38">
        <v>0</v>
      </c>
      <c r="U7112" s="38">
        <v>0</v>
      </c>
      <c r="V7112" s="38">
        <v>0</v>
      </c>
      <c r="W7112" s="38">
        <v>0.3</v>
      </c>
      <c r="X7112" s="38">
        <v>0</v>
      </c>
      <c r="Y7112" s="38">
        <v>0</v>
      </c>
      <c r="Z7112" s="38">
        <v>0</v>
      </c>
      <c r="AA7112" s="38">
        <v>0</v>
      </c>
    </row>
    <row r="7113" spans="1:27" x14ac:dyDescent="0.25">
      <c r="A7113" s="22">
        <v>45464</v>
      </c>
      <c r="B7113" s="38">
        <v>0</v>
      </c>
      <c r="C7113" s="38">
        <v>2.2000000000000002</v>
      </c>
      <c r="D7113" s="38">
        <v>1</v>
      </c>
      <c r="E7113" s="38">
        <v>0</v>
      </c>
      <c r="F7113" s="38">
        <v>1</v>
      </c>
      <c r="G7113" s="38">
        <v>6</v>
      </c>
      <c r="H7113" s="38">
        <v>6</v>
      </c>
      <c r="I7113" s="38">
        <v>5.2</v>
      </c>
      <c r="J7113" s="38">
        <v>4</v>
      </c>
      <c r="K7113" s="38">
        <v>7</v>
      </c>
      <c r="L7113" s="38">
        <v>2.794</v>
      </c>
      <c r="M7113" s="38">
        <v>7.8</v>
      </c>
      <c r="N7113" s="38">
        <v>1.4</v>
      </c>
      <c r="P7113" s="38">
        <v>0</v>
      </c>
      <c r="Q7113" s="38">
        <v>0</v>
      </c>
      <c r="R7113" s="38">
        <v>0</v>
      </c>
      <c r="S7113" s="38">
        <v>0</v>
      </c>
      <c r="T7113" s="38">
        <v>0</v>
      </c>
      <c r="U7113" s="38">
        <v>2</v>
      </c>
      <c r="V7113" s="38">
        <v>0</v>
      </c>
      <c r="W7113" s="38">
        <v>4.0999999999999996</v>
      </c>
      <c r="X7113" s="38">
        <v>0</v>
      </c>
      <c r="Y7113" s="38">
        <v>2</v>
      </c>
      <c r="Z7113" s="38">
        <v>0</v>
      </c>
      <c r="AA7113" s="38">
        <v>0</v>
      </c>
    </row>
    <row r="7114" spans="1:27" x14ac:dyDescent="0.25">
      <c r="A7114" s="22">
        <v>45465</v>
      </c>
      <c r="B7114" s="38">
        <v>0</v>
      </c>
      <c r="C7114" s="38">
        <v>11.6</v>
      </c>
      <c r="D7114" s="38">
        <v>12</v>
      </c>
      <c r="E7114" s="38">
        <v>23.799999999999997</v>
      </c>
      <c r="F7114" s="38">
        <v>27.3</v>
      </c>
      <c r="G7114" s="38">
        <v>24.5</v>
      </c>
      <c r="H7114" s="38">
        <v>25.3</v>
      </c>
      <c r="I7114" s="38">
        <v>1.9</v>
      </c>
      <c r="J7114" s="38">
        <v>43</v>
      </c>
      <c r="K7114" s="38">
        <v>30.5</v>
      </c>
      <c r="L7114" s="38">
        <v>7.3659999999999988</v>
      </c>
      <c r="M7114" s="38">
        <v>26.4</v>
      </c>
      <c r="N7114" s="38">
        <v>2.6000000000000005</v>
      </c>
      <c r="P7114" s="38">
        <v>14</v>
      </c>
      <c r="Q7114" s="38">
        <v>11.2</v>
      </c>
      <c r="R7114" s="38">
        <v>0</v>
      </c>
      <c r="T7114" s="38">
        <v>0.2</v>
      </c>
      <c r="U7114" s="38">
        <v>20</v>
      </c>
      <c r="V7114" s="38">
        <v>6.2</v>
      </c>
      <c r="W7114" s="38">
        <v>24</v>
      </c>
      <c r="X7114" s="38">
        <v>9</v>
      </c>
      <c r="Y7114" s="38">
        <v>30</v>
      </c>
      <c r="Z7114" s="38">
        <v>28</v>
      </c>
      <c r="AA7114" s="38">
        <v>0</v>
      </c>
    </row>
    <row r="7115" spans="1:27" x14ac:dyDescent="0.25">
      <c r="A7115" s="22">
        <v>45466</v>
      </c>
      <c r="B7115" s="38">
        <v>12.5</v>
      </c>
      <c r="C7115" s="38">
        <v>38</v>
      </c>
      <c r="D7115" s="38">
        <v>13.4</v>
      </c>
      <c r="E7115" s="38">
        <v>7.1999999999999993</v>
      </c>
      <c r="F7115" s="38">
        <v>8</v>
      </c>
      <c r="G7115" s="38">
        <v>18.5</v>
      </c>
      <c r="H7115" s="38">
        <v>14</v>
      </c>
      <c r="I7115" s="38">
        <v>32.299999999999997</v>
      </c>
      <c r="J7115" s="38">
        <v>19</v>
      </c>
      <c r="K7115" s="38">
        <v>25.5</v>
      </c>
      <c r="L7115" s="38">
        <v>6.6040000000000001</v>
      </c>
      <c r="M7115" s="38">
        <v>20.399999999999999</v>
      </c>
      <c r="N7115" s="38">
        <v>16.999999999999993</v>
      </c>
      <c r="P7115" s="38">
        <v>3</v>
      </c>
      <c r="Q7115" s="38">
        <v>23.2</v>
      </c>
      <c r="R7115" s="38">
        <v>4.5999999999999996</v>
      </c>
      <c r="T7115" s="38">
        <v>3.0000000000000009</v>
      </c>
      <c r="U7115" s="38">
        <v>0</v>
      </c>
      <c r="V7115" s="38">
        <v>6.4</v>
      </c>
      <c r="W7115" s="38">
        <v>16.399999999999999</v>
      </c>
      <c r="X7115" s="38">
        <v>34.5</v>
      </c>
      <c r="Y7115" s="38">
        <v>8</v>
      </c>
      <c r="Z7115" s="38">
        <v>8</v>
      </c>
      <c r="AA7115" s="38">
        <v>0</v>
      </c>
    </row>
    <row r="7116" spans="1:27" x14ac:dyDescent="0.25">
      <c r="A7116" s="22">
        <v>45467</v>
      </c>
      <c r="B7116" s="38">
        <v>6.3</v>
      </c>
      <c r="C7116" s="38">
        <v>4.4000000000000004</v>
      </c>
      <c r="D7116" s="38">
        <v>6</v>
      </c>
      <c r="E7116" s="38">
        <v>24.6</v>
      </c>
      <c r="F7116" s="38">
        <v>7.3</v>
      </c>
      <c r="G7116" s="38">
        <v>12.1</v>
      </c>
      <c r="H7116" s="38">
        <v>10</v>
      </c>
      <c r="I7116" s="38">
        <v>9</v>
      </c>
      <c r="J7116" s="38">
        <v>4.9000000000000004</v>
      </c>
      <c r="K7116" s="38">
        <v>6.2</v>
      </c>
      <c r="L7116" s="38">
        <v>8.8899999999999988</v>
      </c>
      <c r="M7116" s="38">
        <v>11.2</v>
      </c>
      <c r="N7116" s="38">
        <v>9.3999999999999986</v>
      </c>
      <c r="P7116" s="38">
        <v>5</v>
      </c>
      <c r="Q7116" s="38">
        <v>4.9000000000000004</v>
      </c>
      <c r="R7116" s="38">
        <v>24.1</v>
      </c>
      <c r="S7116" s="38">
        <v>0</v>
      </c>
      <c r="T7116" s="38">
        <v>1.8</v>
      </c>
      <c r="U7116" s="38">
        <v>60</v>
      </c>
      <c r="V7116" s="38">
        <v>2.2000000000000002</v>
      </c>
      <c r="W7116" s="38">
        <v>6.3</v>
      </c>
      <c r="X7116" s="38">
        <v>6</v>
      </c>
      <c r="Y7116" s="38">
        <v>5.8</v>
      </c>
      <c r="Z7116" s="38">
        <v>6</v>
      </c>
      <c r="AA7116" s="38">
        <v>22</v>
      </c>
    </row>
    <row r="7117" spans="1:27" x14ac:dyDescent="0.25">
      <c r="A7117" s="22">
        <v>45468</v>
      </c>
      <c r="B7117" s="38">
        <v>78</v>
      </c>
      <c r="C7117" s="38">
        <v>63.6</v>
      </c>
      <c r="D7117" s="38" t="s">
        <v>15</v>
      </c>
      <c r="E7117" s="38">
        <v>69.400000000000006</v>
      </c>
      <c r="F7117" s="38">
        <v>30</v>
      </c>
      <c r="G7117" s="38">
        <v>0</v>
      </c>
      <c r="H7117" s="38">
        <v>29</v>
      </c>
      <c r="I7117" s="38">
        <v>27</v>
      </c>
      <c r="J7117" s="38">
        <v>42.2</v>
      </c>
      <c r="K7117" s="38">
        <v>41.6</v>
      </c>
      <c r="L7117" s="38">
        <v>53.339999999999996</v>
      </c>
      <c r="M7117" s="38">
        <v>28.4</v>
      </c>
      <c r="N7117" s="38">
        <v>12.4</v>
      </c>
      <c r="P7117" s="38">
        <v>48</v>
      </c>
      <c r="Q7117" s="38">
        <v>65.900000000000006</v>
      </c>
      <c r="R7117" s="38">
        <v>74.2</v>
      </c>
      <c r="S7117" s="38">
        <v>17.5</v>
      </c>
      <c r="T7117" s="38">
        <v>8</v>
      </c>
      <c r="V7117" s="38">
        <v>8.1</v>
      </c>
      <c r="W7117" s="38">
        <v>32</v>
      </c>
      <c r="X7117" s="38">
        <v>46</v>
      </c>
      <c r="Y7117" s="38">
        <v>36</v>
      </c>
      <c r="Z7117" s="38">
        <v>32</v>
      </c>
      <c r="AA7117" s="38">
        <v>108</v>
      </c>
    </row>
    <row r="7118" spans="1:27" x14ac:dyDescent="0.25">
      <c r="A7118" s="22">
        <v>45469</v>
      </c>
      <c r="B7118" s="38">
        <v>0</v>
      </c>
      <c r="C7118" s="38">
        <v>2</v>
      </c>
      <c r="D7118" s="38">
        <v>1.4</v>
      </c>
      <c r="E7118" s="38">
        <v>0</v>
      </c>
      <c r="F7118" s="38">
        <v>7</v>
      </c>
      <c r="G7118" s="38">
        <v>0</v>
      </c>
      <c r="H7118" s="38">
        <v>7</v>
      </c>
      <c r="I7118" s="38">
        <v>5.3</v>
      </c>
      <c r="J7118" s="38">
        <v>5.6</v>
      </c>
      <c r="K7118" s="38">
        <v>5</v>
      </c>
      <c r="L7118" s="38">
        <v>13.715999999999999</v>
      </c>
      <c r="M7118" s="38">
        <v>5.8</v>
      </c>
      <c r="N7118" s="38">
        <v>33.199999999999996</v>
      </c>
      <c r="P7118" s="38">
        <v>17</v>
      </c>
      <c r="Q7118" s="38">
        <v>9.6999999999999993</v>
      </c>
      <c r="R7118" s="38">
        <v>10.199999999999999</v>
      </c>
      <c r="S7118" s="38">
        <v>0.5</v>
      </c>
      <c r="T7118" s="38">
        <v>46.200000000000024</v>
      </c>
      <c r="U7118" s="38">
        <v>4</v>
      </c>
      <c r="V7118" s="38">
        <v>65</v>
      </c>
      <c r="W7118" s="38">
        <v>14.6</v>
      </c>
      <c r="X7118" s="38">
        <v>6</v>
      </c>
      <c r="Y7118" s="38">
        <v>8</v>
      </c>
      <c r="Z7118" s="38">
        <v>14</v>
      </c>
      <c r="AA7118" s="38">
        <v>8</v>
      </c>
    </row>
    <row r="7119" spans="1:27" x14ac:dyDescent="0.25">
      <c r="A7119" s="22">
        <v>45470</v>
      </c>
      <c r="B7119" s="38">
        <v>0</v>
      </c>
      <c r="C7119" s="38">
        <v>0</v>
      </c>
      <c r="D7119" s="38">
        <v>0</v>
      </c>
      <c r="E7119" s="38">
        <v>0</v>
      </c>
      <c r="F7119" s="38">
        <v>0.1</v>
      </c>
      <c r="G7119" s="38">
        <v>2.5</v>
      </c>
      <c r="H7119" s="38">
        <v>1.6</v>
      </c>
      <c r="I7119" s="38">
        <v>1</v>
      </c>
      <c r="J7119" s="38">
        <v>0.1</v>
      </c>
      <c r="K7119" s="38">
        <v>1</v>
      </c>
      <c r="L7119" s="38">
        <v>0.7619999999999999</v>
      </c>
      <c r="M7119" s="38">
        <v>2</v>
      </c>
      <c r="N7119" s="38">
        <v>0.2</v>
      </c>
      <c r="P7119" s="38">
        <v>0</v>
      </c>
      <c r="Q7119" s="38">
        <v>0.8</v>
      </c>
      <c r="R7119" s="38">
        <v>0</v>
      </c>
      <c r="S7119" s="38">
        <v>0</v>
      </c>
      <c r="T7119" s="38">
        <v>0</v>
      </c>
      <c r="U7119" s="38">
        <v>6</v>
      </c>
      <c r="V7119" s="38">
        <v>0</v>
      </c>
      <c r="W7119" s="38">
        <v>1.4</v>
      </c>
      <c r="X7119" s="38">
        <v>0</v>
      </c>
      <c r="Y7119" s="38">
        <v>0</v>
      </c>
      <c r="Z7119" s="38">
        <v>0</v>
      </c>
    </row>
    <row r="7120" spans="1:27" x14ac:dyDescent="0.25">
      <c r="A7120" s="22">
        <v>45471</v>
      </c>
      <c r="B7120" s="38">
        <v>1.5</v>
      </c>
      <c r="C7120" s="38">
        <v>8.4</v>
      </c>
      <c r="D7120" s="38">
        <v>2</v>
      </c>
      <c r="E7120" s="38">
        <v>4.4000000000000004</v>
      </c>
      <c r="F7120" s="38">
        <v>1</v>
      </c>
      <c r="G7120" s="38">
        <v>0</v>
      </c>
      <c r="H7120" s="38">
        <v>0.8</v>
      </c>
      <c r="I7120" s="38">
        <v>4.0999999999999996</v>
      </c>
      <c r="J7120" s="38">
        <v>0.2</v>
      </c>
      <c r="K7120" s="38">
        <v>2</v>
      </c>
      <c r="L7120" s="38">
        <v>1.5239999999999998</v>
      </c>
      <c r="M7120" s="38">
        <v>1.8</v>
      </c>
      <c r="N7120" s="38">
        <v>0</v>
      </c>
      <c r="P7120" s="38">
        <v>1</v>
      </c>
      <c r="Q7120" s="38">
        <v>2.4</v>
      </c>
      <c r="R7120" s="38">
        <v>1.2</v>
      </c>
      <c r="T7120" s="38">
        <v>1.7999999999999998</v>
      </c>
      <c r="U7120" s="38">
        <v>4</v>
      </c>
      <c r="V7120" s="38">
        <v>0</v>
      </c>
      <c r="W7120" s="38">
        <v>0.2</v>
      </c>
      <c r="X7120" s="38">
        <v>0</v>
      </c>
      <c r="Y7120" s="38">
        <v>0</v>
      </c>
      <c r="Z7120" s="38">
        <v>0</v>
      </c>
      <c r="AA7120" s="38">
        <v>6</v>
      </c>
    </row>
    <row r="7121" spans="1:28" x14ac:dyDescent="0.25">
      <c r="A7121" s="22">
        <v>45472</v>
      </c>
      <c r="B7121" s="38">
        <v>0</v>
      </c>
      <c r="C7121" s="38">
        <v>17.2</v>
      </c>
      <c r="D7121" s="38">
        <v>21</v>
      </c>
      <c r="E7121" s="38">
        <v>81</v>
      </c>
      <c r="F7121" s="38">
        <v>22.2</v>
      </c>
      <c r="G7121" s="38">
        <v>20.5</v>
      </c>
      <c r="H7121" s="38">
        <v>21.9</v>
      </c>
      <c r="I7121" s="38">
        <v>12.8</v>
      </c>
      <c r="J7121" s="38">
        <v>28</v>
      </c>
      <c r="K7121" s="38">
        <v>20.399999999999999</v>
      </c>
      <c r="L7121" s="38">
        <v>8.1280000000000001</v>
      </c>
      <c r="M7121" s="38">
        <v>22.8</v>
      </c>
      <c r="N7121" s="38">
        <v>0.4</v>
      </c>
      <c r="P7121" s="38">
        <v>12</v>
      </c>
      <c r="Q7121" s="38">
        <v>16</v>
      </c>
      <c r="R7121" s="38">
        <v>14</v>
      </c>
      <c r="T7121" s="38">
        <v>0</v>
      </c>
      <c r="U7121" s="38">
        <v>24</v>
      </c>
      <c r="V7121" s="38">
        <v>5.4</v>
      </c>
      <c r="W7121" s="38">
        <v>23.2</v>
      </c>
      <c r="X7121" s="38">
        <v>9</v>
      </c>
      <c r="Y7121" s="38">
        <v>14</v>
      </c>
      <c r="Z7121" s="38">
        <v>16</v>
      </c>
      <c r="AA7121" s="38">
        <v>0</v>
      </c>
    </row>
    <row r="7122" spans="1:28" x14ac:dyDescent="0.25">
      <c r="A7122" s="22">
        <v>45473</v>
      </c>
      <c r="B7122" s="38">
        <v>42</v>
      </c>
      <c r="C7122" s="38">
        <v>47.2</v>
      </c>
      <c r="D7122" s="38">
        <v>14</v>
      </c>
      <c r="E7122" s="38">
        <v>0</v>
      </c>
      <c r="F7122" s="38">
        <v>77.099999999999994</v>
      </c>
      <c r="G7122" s="38">
        <v>91</v>
      </c>
      <c r="H7122" s="38">
        <v>81</v>
      </c>
      <c r="I7122" s="38">
        <v>84.4</v>
      </c>
      <c r="J7122" s="38">
        <v>75</v>
      </c>
      <c r="K7122" s="38">
        <v>64.5</v>
      </c>
      <c r="L7122" s="38">
        <v>46.228000000000002</v>
      </c>
      <c r="M7122" s="38">
        <v>95.3</v>
      </c>
      <c r="N7122" s="38">
        <v>36.20000000000001</v>
      </c>
      <c r="P7122" s="38">
        <v>0</v>
      </c>
      <c r="Q7122" s="38">
        <v>61.5</v>
      </c>
      <c r="R7122" s="38">
        <v>58</v>
      </c>
      <c r="T7122" s="38">
        <v>28.2</v>
      </c>
      <c r="U7122" s="38">
        <v>66</v>
      </c>
      <c r="V7122" s="38">
        <v>87.4</v>
      </c>
      <c r="W7122" s="38">
        <v>94.4</v>
      </c>
      <c r="X7122" s="38">
        <v>64</v>
      </c>
      <c r="Y7122" s="38">
        <v>66</v>
      </c>
      <c r="Z7122" s="38">
        <v>62</v>
      </c>
    </row>
    <row r="7123" spans="1:28" x14ac:dyDescent="0.25">
      <c r="A7123" s="22">
        <v>45474</v>
      </c>
      <c r="B7123" s="38">
        <v>0</v>
      </c>
      <c r="C7123" s="38">
        <v>0</v>
      </c>
      <c r="D7123" s="38">
        <v>0</v>
      </c>
      <c r="F7123" s="38">
        <v>0</v>
      </c>
      <c r="G7123" s="38">
        <v>0</v>
      </c>
      <c r="H7123" s="38">
        <v>0</v>
      </c>
      <c r="I7123" s="38">
        <v>0</v>
      </c>
      <c r="J7123" s="38">
        <v>0</v>
      </c>
      <c r="K7123" s="38">
        <v>52</v>
      </c>
      <c r="L7123" s="38">
        <v>46.99</v>
      </c>
      <c r="M7123" s="38">
        <v>0</v>
      </c>
      <c r="P7123" s="38">
        <v>0</v>
      </c>
      <c r="Q7123" s="38">
        <v>118.9</v>
      </c>
      <c r="R7123" s="38">
        <v>0</v>
      </c>
      <c r="U7123" s="38">
        <v>0</v>
      </c>
      <c r="V7123" s="38">
        <v>0</v>
      </c>
      <c r="W7123" s="38">
        <v>0</v>
      </c>
      <c r="X7123" s="38">
        <v>0</v>
      </c>
      <c r="Y7123" s="38">
        <v>68</v>
      </c>
      <c r="Z7123" s="38">
        <v>144</v>
      </c>
      <c r="AA7123" s="38">
        <v>0</v>
      </c>
      <c r="AB7123" s="38">
        <v>0</v>
      </c>
    </row>
    <row r="7124" spans="1:28" x14ac:dyDescent="0.25">
      <c r="A7124" s="22">
        <v>45475</v>
      </c>
      <c r="B7124" s="38">
        <v>125</v>
      </c>
      <c r="C7124" s="38">
        <v>91.6</v>
      </c>
      <c r="D7124" s="38">
        <v>0</v>
      </c>
      <c r="F7124" s="38">
        <v>0</v>
      </c>
      <c r="G7124" s="38">
        <v>104.5</v>
      </c>
      <c r="H7124" s="38">
        <v>0</v>
      </c>
      <c r="I7124" s="38">
        <v>102.2</v>
      </c>
      <c r="J7124" s="38">
        <v>75</v>
      </c>
      <c r="K7124" s="38">
        <v>32.4</v>
      </c>
      <c r="L7124" s="38">
        <v>0</v>
      </c>
      <c r="M7124" s="38">
        <v>97</v>
      </c>
      <c r="P7124" s="38">
        <v>0</v>
      </c>
      <c r="Q7124" s="38">
        <v>8.9</v>
      </c>
      <c r="R7124" s="38">
        <v>0</v>
      </c>
      <c r="U7124" s="38">
        <v>180</v>
      </c>
      <c r="V7124" s="38">
        <v>0</v>
      </c>
      <c r="W7124" s="38">
        <v>0</v>
      </c>
      <c r="X7124" s="38">
        <v>50</v>
      </c>
      <c r="Y7124" s="38">
        <v>0</v>
      </c>
      <c r="Z7124" s="38">
        <v>10</v>
      </c>
      <c r="AA7124" s="38">
        <v>0</v>
      </c>
      <c r="AB7124" s="38">
        <v>0</v>
      </c>
    </row>
    <row r="7125" spans="1:28" x14ac:dyDescent="0.25">
      <c r="A7125" s="22">
        <v>45476</v>
      </c>
      <c r="B7125" s="38">
        <v>9</v>
      </c>
      <c r="C7125" s="38">
        <v>12.6</v>
      </c>
      <c r="D7125" s="38">
        <v>126</v>
      </c>
      <c r="F7125" s="38">
        <v>0</v>
      </c>
      <c r="G7125" s="38">
        <v>9</v>
      </c>
      <c r="H7125" s="38">
        <v>116</v>
      </c>
      <c r="I7125" s="38">
        <v>4</v>
      </c>
      <c r="J7125" s="38">
        <v>12.4</v>
      </c>
      <c r="K7125" s="38">
        <v>52.3</v>
      </c>
      <c r="L7125" s="38">
        <v>6.35</v>
      </c>
      <c r="M7125" s="38">
        <v>8.1999999999999993</v>
      </c>
      <c r="P7125" s="38">
        <v>155</v>
      </c>
      <c r="Q7125" s="38">
        <v>2.5</v>
      </c>
      <c r="R7125" s="38">
        <v>12.2</v>
      </c>
      <c r="U7125" s="38">
        <v>0</v>
      </c>
      <c r="V7125" s="38">
        <v>3.4</v>
      </c>
      <c r="W7125" s="38">
        <v>3.8</v>
      </c>
      <c r="X7125" s="38">
        <v>0</v>
      </c>
      <c r="Y7125" s="38">
        <v>6</v>
      </c>
      <c r="Z7125" s="38">
        <v>0</v>
      </c>
      <c r="AA7125" s="38">
        <v>0</v>
      </c>
      <c r="AB7125" s="38">
        <v>0</v>
      </c>
    </row>
    <row r="7126" spans="1:28" x14ac:dyDescent="0.25">
      <c r="A7126" s="22">
        <v>45477</v>
      </c>
      <c r="B7126" s="38">
        <v>0</v>
      </c>
      <c r="C7126" s="38">
        <v>3.6</v>
      </c>
      <c r="D7126" s="38">
        <v>2.2000000000000002</v>
      </c>
      <c r="F7126" s="38">
        <v>0.4</v>
      </c>
      <c r="G7126" s="38">
        <v>7</v>
      </c>
      <c r="H7126" s="38">
        <v>2</v>
      </c>
      <c r="I7126" s="38">
        <v>6.3</v>
      </c>
      <c r="J7126" s="38">
        <v>6</v>
      </c>
      <c r="K7126" s="38">
        <v>0.2</v>
      </c>
      <c r="L7126" s="38">
        <v>4.0640000000000001</v>
      </c>
      <c r="M7126" s="38">
        <v>4.7</v>
      </c>
      <c r="P7126" s="38">
        <v>4</v>
      </c>
      <c r="Q7126" s="38">
        <v>0</v>
      </c>
      <c r="R7126" s="38">
        <v>0</v>
      </c>
      <c r="U7126" s="38">
        <v>7</v>
      </c>
      <c r="V7126" s="38">
        <v>3.2</v>
      </c>
      <c r="W7126" s="38">
        <v>0</v>
      </c>
      <c r="X7126" s="38">
        <v>0</v>
      </c>
      <c r="Y7126" s="38">
        <v>0</v>
      </c>
      <c r="Z7126" s="38">
        <v>2</v>
      </c>
      <c r="AA7126" s="38">
        <v>0</v>
      </c>
      <c r="AB7126" s="38">
        <v>0</v>
      </c>
    </row>
    <row r="7127" spans="1:28" x14ac:dyDescent="0.25">
      <c r="A7127" s="22">
        <v>45478</v>
      </c>
      <c r="B7127" s="38">
        <v>0</v>
      </c>
      <c r="C7127" s="38">
        <v>0</v>
      </c>
      <c r="D7127" s="38">
        <v>0</v>
      </c>
      <c r="F7127" s="38">
        <v>0</v>
      </c>
      <c r="G7127" s="38">
        <v>0.5</v>
      </c>
      <c r="H7127" s="38">
        <v>0</v>
      </c>
      <c r="I7127" s="38">
        <v>1.1000000000000001</v>
      </c>
      <c r="J7127" s="38">
        <v>0</v>
      </c>
      <c r="K7127" s="38">
        <v>3</v>
      </c>
      <c r="L7127" s="38">
        <v>0</v>
      </c>
      <c r="M7127" s="38">
        <v>0</v>
      </c>
      <c r="P7127" s="38">
        <v>0</v>
      </c>
      <c r="Q7127" s="38">
        <v>0</v>
      </c>
      <c r="R7127" s="38">
        <v>0</v>
      </c>
      <c r="U7127" s="38">
        <v>0</v>
      </c>
      <c r="V7127" s="38">
        <v>0</v>
      </c>
      <c r="W7127" s="38">
        <v>0.6</v>
      </c>
      <c r="X7127" s="38">
        <v>2</v>
      </c>
      <c r="Y7127" s="38">
        <v>0</v>
      </c>
      <c r="Z7127" s="38">
        <v>0</v>
      </c>
      <c r="AA7127" s="38">
        <v>0</v>
      </c>
      <c r="AB7127" s="38">
        <v>0</v>
      </c>
    </row>
    <row r="7128" spans="1:28" x14ac:dyDescent="0.25">
      <c r="A7128" s="22">
        <v>45479</v>
      </c>
      <c r="B7128" s="38">
        <v>0</v>
      </c>
      <c r="C7128" s="38">
        <v>0</v>
      </c>
      <c r="D7128" s="38">
        <v>0</v>
      </c>
      <c r="F7128" s="38">
        <v>0</v>
      </c>
      <c r="G7128" s="38">
        <v>0</v>
      </c>
      <c r="H7128" s="38">
        <v>0</v>
      </c>
      <c r="I7128" s="38">
        <v>0</v>
      </c>
      <c r="J7128" s="38">
        <v>1</v>
      </c>
      <c r="K7128" s="38">
        <v>3</v>
      </c>
      <c r="L7128" s="38">
        <v>0</v>
      </c>
      <c r="M7128" s="38">
        <v>0</v>
      </c>
      <c r="P7128" s="38">
        <v>0</v>
      </c>
      <c r="Q7128" s="38">
        <v>0</v>
      </c>
      <c r="R7128" s="38">
        <v>0</v>
      </c>
      <c r="U7128" s="38">
        <v>0</v>
      </c>
      <c r="V7128" s="38">
        <v>0</v>
      </c>
      <c r="W7128" s="38">
        <v>0</v>
      </c>
      <c r="X7128" s="38">
        <v>0</v>
      </c>
      <c r="Y7128" s="38">
        <v>0</v>
      </c>
      <c r="Z7128" s="38">
        <v>4</v>
      </c>
      <c r="AA7128" s="38">
        <v>0</v>
      </c>
      <c r="AB7128" s="38">
        <v>0</v>
      </c>
    </row>
    <row r="7129" spans="1:28" x14ac:dyDescent="0.25">
      <c r="A7129" s="22">
        <v>45480</v>
      </c>
      <c r="B7129" s="38">
        <v>11</v>
      </c>
      <c r="D7129" s="38">
        <v>1.2</v>
      </c>
      <c r="F7129" s="38">
        <v>1</v>
      </c>
      <c r="G7129" s="38">
        <v>2.5</v>
      </c>
      <c r="H7129" s="38">
        <v>4.5999999999999996</v>
      </c>
      <c r="I7129" s="38">
        <v>1.2</v>
      </c>
      <c r="J7129" s="38">
        <v>0.2</v>
      </c>
      <c r="K7129" s="38">
        <v>27.6</v>
      </c>
      <c r="L7129" s="38">
        <v>4.3180000000000005</v>
      </c>
      <c r="M7129" s="38">
        <v>7.2</v>
      </c>
      <c r="P7129" s="38">
        <v>8</v>
      </c>
      <c r="Q7129" s="38">
        <v>12.2</v>
      </c>
      <c r="R7129" s="38">
        <v>18</v>
      </c>
      <c r="U7129" s="38">
        <v>5</v>
      </c>
      <c r="V7129" s="38">
        <v>0.3</v>
      </c>
      <c r="W7129" s="38">
        <v>0.2</v>
      </c>
      <c r="X7129" s="38">
        <v>0</v>
      </c>
      <c r="Y7129" s="38">
        <v>4</v>
      </c>
      <c r="Z7129" s="38">
        <v>6</v>
      </c>
      <c r="AA7129" s="38">
        <v>0</v>
      </c>
    </row>
    <row r="7130" spans="1:28" x14ac:dyDescent="0.25">
      <c r="A7130" s="22">
        <v>45481</v>
      </c>
      <c r="B7130" s="38">
        <v>10</v>
      </c>
      <c r="C7130" s="38">
        <v>4.4000000000000004</v>
      </c>
      <c r="D7130" s="38">
        <v>1.4</v>
      </c>
      <c r="F7130" s="38">
        <v>6.2</v>
      </c>
      <c r="G7130" s="38">
        <v>4</v>
      </c>
      <c r="H7130" s="38">
        <v>5</v>
      </c>
      <c r="I7130" s="38">
        <v>9.6</v>
      </c>
      <c r="J7130" s="38">
        <v>6.2</v>
      </c>
      <c r="K7130" s="38">
        <v>1</v>
      </c>
      <c r="L7130" s="38">
        <v>13.97</v>
      </c>
      <c r="M7130" s="38">
        <v>6</v>
      </c>
      <c r="P7130" s="38">
        <v>13</v>
      </c>
      <c r="Q7130" s="38">
        <v>0</v>
      </c>
      <c r="R7130" s="38">
        <v>0</v>
      </c>
      <c r="U7130" s="38">
        <v>2</v>
      </c>
      <c r="V7130" s="38">
        <v>2.2000000000000002</v>
      </c>
      <c r="W7130" s="38">
        <v>8</v>
      </c>
      <c r="X7130" s="38">
        <v>4</v>
      </c>
      <c r="Y7130" s="38">
        <v>2</v>
      </c>
      <c r="Z7130" s="38">
        <v>0</v>
      </c>
      <c r="AA7130" s="38">
        <v>0</v>
      </c>
    </row>
    <row r="7131" spans="1:28" x14ac:dyDescent="0.25">
      <c r="A7131" s="22">
        <v>45482</v>
      </c>
      <c r="B7131" s="38">
        <v>0</v>
      </c>
      <c r="C7131" s="38">
        <v>4.4000000000000004</v>
      </c>
      <c r="D7131" s="38">
        <v>1</v>
      </c>
      <c r="F7131" s="38">
        <v>0</v>
      </c>
      <c r="G7131" s="38">
        <v>11.5</v>
      </c>
      <c r="H7131" s="38">
        <v>0.2</v>
      </c>
      <c r="I7131" s="38">
        <v>8.3000000000000007</v>
      </c>
      <c r="J7131" s="38">
        <v>2</v>
      </c>
      <c r="K7131" s="38">
        <v>1</v>
      </c>
      <c r="L7131" s="38">
        <v>1.016</v>
      </c>
      <c r="M7131" s="38">
        <v>9.3000000000000007</v>
      </c>
      <c r="P7131" s="38">
        <v>1</v>
      </c>
      <c r="Q7131" s="38">
        <v>4.2</v>
      </c>
      <c r="R7131" s="38">
        <v>0</v>
      </c>
      <c r="U7131" s="38">
        <v>0</v>
      </c>
      <c r="V7131" s="38">
        <v>0.6</v>
      </c>
      <c r="W7131" s="38">
        <v>0</v>
      </c>
      <c r="X7131" s="38">
        <v>0</v>
      </c>
      <c r="Y7131" s="38">
        <v>0</v>
      </c>
      <c r="Z7131" s="38">
        <v>6</v>
      </c>
      <c r="AA7131" s="38">
        <v>0</v>
      </c>
    </row>
    <row r="7132" spans="1:28" x14ac:dyDescent="0.25">
      <c r="A7132" s="22">
        <v>45483</v>
      </c>
      <c r="B7132" s="38">
        <v>0</v>
      </c>
      <c r="C7132" s="38">
        <v>4.4000000000000004</v>
      </c>
      <c r="D7132" s="38">
        <v>7.2</v>
      </c>
      <c r="F7132" s="38">
        <v>6.1</v>
      </c>
      <c r="G7132" s="38">
        <v>18.5</v>
      </c>
      <c r="H7132" s="38">
        <v>9</v>
      </c>
      <c r="I7132" s="38">
        <v>15.2</v>
      </c>
      <c r="J7132" s="38">
        <v>6</v>
      </c>
      <c r="K7132" s="38">
        <v>0</v>
      </c>
      <c r="L7132" s="38">
        <v>6.8579999999999997</v>
      </c>
      <c r="M7132" s="38">
        <v>12.4</v>
      </c>
      <c r="P7132" s="38">
        <v>0</v>
      </c>
      <c r="Q7132" s="38">
        <v>11.2</v>
      </c>
      <c r="R7132" s="38">
        <v>4</v>
      </c>
      <c r="U7132" s="38">
        <v>4</v>
      </c>
      <c r="V7132" s="38">
        <v>0.6</v>
      </c>
      <c r="W7132" s="38">
        <v>16.3</v>
      </c>
      <c r="X7132" s="38">
        <v>7</v>
      </c>
      <c r="Y7132" s="38">
        <v>5.2</v>
      </c>
      <c r="Z7132" s="38">
        <v>16</v>
      </c>
      <c r="AA7132" s="38">
        <v>0</v>
      </c>
    </row>
    <row r="7133" spans="1:28" x14ac:dyDescent="0.25">
      <c r="A7133" s="22">
        <v>45484</v>
      </c>
      <c r="B7133" s="38">
        <v>13</v>
      </c>
      <c r="C7133" s="38">
        <v>22.4</v>
      </c>
      <c r="D7133" s="38">
        <v>13.8</v>
      </c>
      <c r="F7133" s="38">
        <v>0</v>
      </c>
      <c r="G7133" s="38">
        <v>13.5</v>
      </c>
      <c r="H7133" s="38">
        <v>6.2</v>
      </c>
      <c r="I7133" s="38">
        <v>16.2</v>
      </c>
      <c r="J7133" s="38">
        <v>22</v>
      </c>
      <c r="K7133" s="38">
        <v>30.3</v>
      </c>
      <c r="L7133" s="38">
        <v>5.5880000000000001</v>
      </c>
      <c r="M7133" s="38">
        <v>10.7</v>
      </c>
      <c r="P7133" s="38">
        <v>6</v>
      </c>
      <c r="Q7133" s="38">
        <v>15</v>
      </c>
      <c r="R7133" s="38">
        <v>11.2</v>
      </c>
      <c r="U7133" s="38">
        <v>40</v>
      </c>
      <c r="V7133" s="38">
        <v>8.1999999999999993</v>
      </c>
      <c r="W7133" s="38">
        <v>12.2</v>
      </c>
      <c r="X7133" s="38">
        <v>24</v>
      </c>
      <c r="Y7133" s="38">
        <v>14</v>
      </c>
      <c r="Z7133" s="38">
        <v>4</v>
      </c>
      <c r="AA7133" s="38">
        <v>6</v>
      </c>
      <c r="AB7133" s="38">
        <v>5</v>
      </c>
    </row>
    <row r="7134" spans="1:28" x14ac:dyDescent="0.25">
      <c r="A7134" s="22">
        <v>45485</v>
      </c>
      <c r="B7134" s="38">
        <v>13</v>
      </c>
      <c r="C7134" s="38">
        <v>26</v>
      </c>
      <c r="D7134" s="38">
        <v>11</v>
      </c>
      <c r="F7134" s="38">
        <v>4.0999999999999996</v>
      </c>
      <c r="G7134" s="38">
        <v>10.5</v>
      </c>
      <c r="H7134" s="38">
        <v>9.6999999999999993</v>
      </c>
      <c r="I7134" s="38">
        <v>7.1</v>
      </c>
      <c r="J7134" s="38">
        <v>38.799999999999997</v>
      </c>
      <c r="K7134" s="38">
        <v>14.4</v>
      </c>
      <c r="L7134" s="38">
        <v>4.3180000000000005</v>
      </c>
      <c r="M7134" s="38">
        <v>8.4</v>
      </c>
      <c r="P7134" s="38">
        <v>0</v>
      </c>
      <c r="Q7134" s="38">
        <v>43.7</v>
      </c>
      <c r="R7134" s="38">
        <v>10</v>
      </c>
      <c r="U7134" s="38">
        <v>7</v>
      </c>
      <c r="V7134" s="38">
        <v>4.2</v>
      </c>
      <c r="W7134" s="38">
        <v>10.1</v>
      </c>
      <c r="X7134" s="38">
        <v>4</v>
      </c>
      <c r="Y7134" s="38">
        <v>9.1999999999999993</v>
      </c>
      <c r="Z7134" s="38">
        <v>50</v>
      </c>
      <c r="AA7134" s="38">
        <v>48</v>
      </c>
      <c r="AB7134" s="38">
        <v>30</v>
      </c>
    </row>
    <row r="7135" spans="1:28" x14ac:dyDescent="0.25">
      <c r="A7135" s="22">
        <v>45486</v>
      </c>
      <c r="B7135" s="38">
        <v>39</v>
      </c>
      <c r="C7135" s="38">
        <v>44.4</v>
      </c>
      <c r="D7135" s="38">
        <v>21.4</v>
      </c>
      <c r="F7135" s="38">
        <v>29.1</v>
      </c>
      <c r="G7135" s="38">
        <v>22.5</v>
      </c>
      <c r="H7135" s="38">
        <v>28</v>
      </c>
      <c r="I7135" s="38">
        <v>28.2</v>
      </c>
      <c r="J7135" s="38">
        <v>30.2</v>
      </c>
      <c r="K7135" s="38">
        <v>4.4000000000000004</v>
      </c>
      <c r="L7135" s="38">
        <v>46.481999999999999</v>
      </c>
      <c r="M7135" s="38">
        <v>24.8</v>
      </c>
      <c r="P7135" s="38">
        <v>46</v>
      </c>
      <c r="Q7135" s="38">
        <v>4</v>
      </c>
      <c r="R7135" s="38">
        <v>38</v>
      </c>
      <c r="U7135" s="38">
        <v>43</v>
      </c>
      <c r="V7135" s="38">
        <v>15.4</v>
      </c>
      <c r="W7135" s="38">
        <v>28.2</v>
      </c>
      <c r="X7135" s="38">
        <v>48</v>
      </c>
      <c r="Y7135" s="38">
        <v>40</v>
      </c>
      <c r="Z7135" s="38">
        <v>2</v>
      </c>
      <c r="AA7135" s="38">
        <v>0</v>
      </c>
      <c r="AB7135" s="38">
        <v>2</v>
      </c>
    </row>
    <row r="7136" spans="1:28" x14ac:dyDescent="0.25">
      <c r="A7136" s="22">
        <v>45487</v>
      </c>
      <c r="B7136" s="38">
        <v>7</v>
      </c>
      <c r="C7136" s="38">
        <v>4</v>
      </c>
      <c r="D7136" s="38">
        <v>2.8</v>
      </c>
      <c r="F7136" s="38">
        <v>1.3</v>
      </c>
      <c r="G7136" s="38">
        <v>3.5</v>
      </c>
      <c r="H7136" s="38">
        <v>3</v>
      </c>
      <c r="I7136" s="38">
        <v>2</v>
      </c>
      <c r="J7136" s="38">
        <v>4</v>
      </c>
      <c r="K7136" s="38">
        <v>0</v>
      </c>
      <c r="L7136" s="38">
        <v>1.778</v>
      </c>
      <c r="M7136" s="38">
        <v>2.5</v>
      </c>
      <c r="P7136" s="38">
        <v>3</v>
      </c>
      <c r="Q7136" s="38">
        <v>0</v>
      </c>
      <c r="R7136" s="38">
        <v>0</v>
      </c>
      <c r="U7136" s="38">
        <v>0</v>
      </c>
      <c r="V7136" s="38">
        <v>0.4</v>
      </c>
      <c r="W7136" s="38">
        <v>2.1</v>
      </c>
      <c r="X7136" s="38">
        <v>2</v>
      </c>
      <c r="Y7136" s="38">
        <v>2.5</v>
      </c>
      <c r="Z7136" s="38">
        <v>3</v>
      </c>
      <c r="AA7136" s="38">
        <v>0</v>
      </c>
    </row>
    <row r="7137" spans="1:28" x14ac:dyDescent="0.25">
      <c r="A7137" s="22">
        <v>45488</v>
      </c>
      <c r="B7137" s="38">
        <v>0</v>
      </c>
      <c r="C7137" s="38">
        <v>0</v>
      </c>
      <c r="D7137" s="38">
        <v>0</v>
      </c>
      <c r="F7137" s="38">
        <v>0</v>
      </c>
      <c r="G7137" s="38">
        <v>0</v>
      </c>
      <c r="H7137" s="38">
        <v>0</v>
      </c>
      <c r="I7137" s="38">
        <v>1.1000000000000001</v>
      </c>
      <c r="J7137" s="38">
        <v>0</v>
      </c>
      <c r="K7137" s="38">
        <v>3.4</v>
      </c>
      <c r="L7137" s="38">
        <v>1.5239999999999998</v>
      </c>
      <c r="M7137" s="38">
        <v>0.5</v>
      </c>
      <c r="P7137" s="38">
        <v>0</v>
      </c>
      <c r="Q7137" s="38">
        <v>0</v>
      </c>
      <c r="R7137" s="38">
        <v>0</v>
      </c>
      <c r="U7137" s="38">
        <v>0</v>
      </c>
      <c r="V7137" s="38">
        <v>0</v>
      </c>
      <c r="W7137" s="38">
        <v>0.2</v>
      </c>
      <c r="X7137" s="38">
        <v>0</v>
      </c>
      <c r="Y7137" s="38">
        <v>0</v>
      </c>
      <c r="Z7137" s="38">
        <v>0</v>
      </c>
      <c r="AA7137" s="38">
        <v>5</v>
      </c>
    </row>
    <row r="7138" spans="1:28" x14ac:dyDescent="0.25">
      <c r="A7138" s="22">
        <v>45489</v>
      </c>
      <c r="B7138" s="38">
        <v>0</v>
      </c>
      <c r="C7138" s="38">
        <v>2</v>
      </c>
      <c r="D7138" s="38">
        <v>1.2</v>
      </c>
      <c r="F7138" s="38">
        <v>0</v>
      </c>
      <c r="G7138" s="38">
        <v>4</v>
      </c>
      <c r="H7138" s="38">
        <v>0</v>
      </c>
      <c r="I7138" s="38">
        <v>0.4</v>
      </c>
      <c r="J7138" s="38">
        <v>0</v>
      </c>
      <c r="K7138" s="38">
        <v>11.2</v>
      </c>
      <c r="L7138" s="38">
        <v>0.7619999999999999</v>
      </c>
      <c r="M7138" s="38">
        <v>3.3</v>
      </c>
      <c r="P7138" s="38">
        <v>0</v>
      </c>
      <c r="Q7138" s="38">
        <v>0.9</v>
      </c>
      <c r="R7138" s="38">
        <v>2</v>
      </c>
      <c r="U7138" s="38">
        <v>0</v>
      </c>
      <c r="V7138" s="38">
        <v>0.2</v>
      </c>
      <c r="W7138" s="38">
        <v>0.4</v>
      </c>
      <c r="X7138" s="38">
        <v>2</v>
      </c>
      <c r="Y7138" s="38">
        <v>0</v>
      </c>
      <c r="Z7138" s="38">
        <v>0</v>
      </c>
      <c r="AA7138" s="38">
        <v>5</v>
      </c>
    </row>
    <row r="7139" spans="1:28" x14ac:dyDescent="0.25">
      <c r="A7139" s="22">
        <v>45490</v>
      </c>
      <c r="B7139" s="38">
        <v>5</v>
      </c>
      <c r="C7139" s="38">
        <v>18</v>
      </c>
      <c r="D7139" s="38">
        <v>0.8</v>
      </c>
      <c r="F7139" s="38">
        <v>4.2</v>
      </c>
      <c r="G7139" s="38">
        <v>5.5</v>
      </c>
      <c r="H7139" s="38">
        <v>6</v>
      </c>
      <c r="I7139" s="38">
        <v>6</v>
      </c>
      <c r="J7139" s="38">
        <v>12.1</v>
      </c>
      <c r="K7139" s="38">
        <v>2.2999999999999998</v>
      </c>
      <c r="L7139" s="38">
        <v>0</v>
      </c>
      <c r="M7139" s="38">
        <v>5.8</v>
      </c>
      <c r="P7139" s="38">
        <v>0</v>
      </c>
      <c r="Q7139" s="38">
        <v>1.3</v>
      </c>
      <c r="R7139" s="38">
        <v>1</v>
      </c>
      <c r="U7139" s="38">
        <v>4</v>
      </c>
      <c r="V7139" s="38">
        <v>0.6</v>
      </c>
      <c r="W7139" s="38">
        <v>6.2</v>
      </c>
      <c r="X7139" s="38">
        <v>3</v>
      </c>
      <c r="Y7139" s="38">
        <v>0</v>
      </c>
      <c r="Z7139" s="38">
        <v>6</v>
      </c>
      <c r="AA7139" s="38">
        <v>0</v>
      </c>
      <c r="AB7139" s="38">
        <v>4</v>
      </c>
    </row>
    <row r="7140" spans="1:28" x14ac:dyDescent="0.25">
      <c r="A7140" s="22">
        <v>45491</v>
      </c>
      <c r="B7140" s="38">
        <v>0</v>
      </c>
      <c r="C7140" s="38">
        <v>0</v>
      </c>
      <c r="D7140" s="38">
        <v>0</v>
      </c>
      <c r="F7140" s="38">
        <v>0</v>
      </c>
      <c r="G7140" s="38">
        <v>4.5</v>
      </c>
      <c r="H7140" s="38">
        <v>1.9</v>
      </c>
      <c r="I7140" s="38">
        <v>7.8</v>
      </c>
      <c r="J7140" s="38">
        <v>0</v>
      </c>
      <c r="K7140" s="38">
        <v>49.2</v>
      </c>
      <c r="L7140" s="38">
        <v>1.778</v>
      </c>
      <c r="M7140" s="38">
        <v>5.6</v>
      </c>
      <c r="P7140" s="38">
        <v>2</v>
      </c>
      <c r="Q7140" s="38">
        <v>0</v>
      </c>
      <c r="R7140" s="38">
        <v>0</v>
      </c>
      <c r="U7140" s="38">
        <v>13</v>
      </c>
      <c r="V7140" s="38">
        <v>0</v>
      </c>
      <c r="W7140" s="38">
        <v>4.3</v>
      </c>
      <c r="X7140" s="38">
        <v>0</v>
      </c>
      <c r="Y7140" s="38">
        <v>6</v>
      </c>
      <c r="Z7140" s="38">
        <v>2</v>
      </c>
      <c r="AA7140" s="38">
        <v>0</v>
      </c>
    </row>
    <row r="7141" spans="1:28" x14ac:dyDescent="0.25">
      <c r="A7141" s="22">
        <v>45492</v>
      </c>
      <c r="B7141" s="38">
        <v>10</v>
      </c>
      <c r="C7141" s="38">
        <v>14</v>
      </c>
      <c r="D7141" s="38">
        <v>1</v>
      </c>
      <c r="F7141" s="38">
        <v>1.2</v>
      </c>
      <c r="G7141" s="38">
        <v>5.5</v>
      </c>
      <c r="H7141" s="38">
        <v>2</v>
      </c>
      <c r="I7141" s="38">
        <v>0.8</v>
      </c>
      <c r="J7141" s="38">
        <v>4.2</v>
      </c>
      <c r="K7141" s="38">
        <v>2.4</v>
      </c>
      <c r="L7141" s="38">
        <v>10.667999999999999</v>
      </c>
      <c r="M7141" s="38">
        <v>0.8</v>
      </c>
      <c r="P7141" s="38">
        <v>0</v>
      </c>
      <c r="Q7141" s="38">
        <v>3.9</v>
      </c>
      <c r="R7141" s="38">
        <v>3</v>
      </c>
      <c r="U7141" s="38">
        <v>3</v>
      </c>
      <c r="V7141" s="38">
        <v>0.2</v>
      </c>
      <c r="W7141" s="38">
        <v>3.8</v>
      </c>
      <c r="X7141" s="38">
        <v>1</v>
      </c>
      <c r="Y7141" s="38">
        <v>0.6</v>
      </c>
      <c r="Z7141" s="38">
        <v>1.2</v>
      </c>
      <c r="AA7141" s="38">
        <v>16</v>
      </c>
      <c r="AB7141" s="38">
        <v>4</v>
      </c>
    </row>
    <row r="7142" spans="1:28" x14ac:dyDescent="0.25">
      <c r="A7142" s="22">
        <v>45493</v>
      </c>
      <c r="B7142" s="38">
        <v>0</v>
      </c>
      <c r="C7142" s="38">
        <v>4.8</v>
      </c>
      <c r="D7142" s="38">
        <v>0</v>
      </c>
      <c r="F7142" s="38">
        <v>0</v>
      </c>
      <c r="G7142" s="38">
        <v>7</v>
      </c>
      <c r="H7142" s="38">
        <v>3.2</v>
      </c>
      <c r="I7142" s="38">
        <v>8</v>
      </c>
      <c r="J7142" s="38">
        <v>10</v>
      </c>
      <c r="K7142" s="38">
        <v>3.4</v>
      </c>
      <c r="L7142" s="38">
        <v>18.287999999999997</v>
      </c>
      <c r="M7142" s="38">
        <v>6</v>
      </c>
      <c r="P7142" s="38">
        <v>2</v>
      </c>
      <c r="Q7142" s="38">
        <v>26.8</v>
      </c>
      <c r="R7142" s="38">
        <v>2</v>
      </c>
      <c r="U7142" s="38">
        <v>2</v>
      </c>
      <c r="V7142" s="38">
        <v>0.4</v>
      </c>
      <c r="W7142" s="38">
        <v>6.3</v>
      </c>
      <c r="X7142" s="38">
        <v>1</v>
      </c>
      <c r="Y7142" s="38">
        <v>0</v>
      </c>
      <c r="Z7142" s="38">
        <v>16</v>
      </c>
      <c r="AA7142" s="38">
        <v>4</v>
      </c>
      <c r="AB7142" s="38">
        <v>18</v>
      </c>
    </row>
    <row r="7143" spans="1:28" x14ac:dyDescent="0.25">
      <c r="A7143" s="22">
        <v>45494</v>
      </c>
      <c r="B7143" s="38">
        <v>22</v>
      </c>
      <c r="C7143" s="38">
        <v>14</v>
      </c>
      <c r="D7143" s="38">
        <v>5.6</v>
      </c>
      <c r="F7143" s="38">
        <v>14</v>
      </c>
      <c r="G7143" s="38">
        <v>13.5</v>
      </c>
      <c r="H7143" s="38">
        <v>15.2</v>
      </c>
      <c r="I7143" s="38">
        <v>9.5</v>
      </c>
      <c r="J7143" s="38">
        <v>15</v>
      </c>
      <c r="K7143" s="38">
        <v>4.4000000000000004</v>
      </c>
      <c r="L7143" s="38">
        <v>5.8419999999999996</v>
      </c>
      <c r="M7143" s="38">
        <v>16.899999999999999</v>
      </c>
      <c r="P7143" s="38">
        <v>12</v>
      </c>
      <c r="Q7143" s="38">
        <v>0.8</v>
      </c>
      <c r="R7143" s="38">
        <v>0</v>
      </c>
      <c r="U7143" s="38">
        <v>4</v>
      </c>
      <c r="V7143" s="38">
        <v>4.4000000000000004</v>
      </c>
      <c r="W7143" s="38">
        <v>6.4</v>
      </c>
      <c r="X7143" s="38">
        <v>4.5</v>
      </c>
      <c r="Y7143" s="38">
        <v>12</v>
      </c>
      <c r="Z7143" s="38">
        <v>6</v>
      </c>
      <c r="AA7143" s="38">
        <v>0</v>
      </c>
      <c r="AB7143" s="38">
        <v>26</v>
      </c>
    </row>
    <row r="7144" spans="1:28" x14ac:dyDescent="0.25">
      <c r="A7144" s="22">
        <v>45495</v>
      </c>
      <c r="B7144" s="38">
        <v>18</v>
      </c>
      <c r="C7144" s="38">
        <v>2.4</v>
      </c>
      <c r="D7144" s="38">
        <v>1.2</v>
      </c>
      <c r="F7144" s="38">
        <v>0</v>
      </c>
      <c r="G7144" s="38">
        <v>21.9</v>
      </c>
      <c r="H7144" s="38">
        <v>2.2999999999999998</v>
      </c>
      <c r="I7144" s="38">
        <v>19</v>
      </c>
      <c r="J7144" s="38">
        <v>12.2</v>
      </c>
      <c r="K7144" s="38">
        <v>5</v>
      </c>
      <c r="L7144" s="38">
        <v>12.446</v>
      </c>
      <c r="M7144" s="38">
        <v>13.2</v>
      </c>
      <c r="P7144" s="38">
        <v>4</v>
      </c>
      <c r="Q7144" s="38">
        <v>15.2</v>
      </c>
      <c r="R7144" s="38">
        <v>10</v>
      </c>
      <c r="U7144" s="38">
        <v>2</v>
      </c>
      <c r="V7144" s="38">
        <v>0.4</v>
      </c>
      <c r="W7144" s="38">
        <v>14.1</v>
      </c>
      <c r="X7144" s="38">
        <v>8</v>
      </c>
      <c r="Y7144" s="38">
        <v>10</v>
      </c>
      <c r="Z7144" s="38">
        <v>8</v>
      </c>
      <c r="AA7144" s="38">
        <v>26</v>
      </c>
      <c r="AB7144" s="38">
        <v>0</v>
      </c>
    </row>
    <row r="7145" spans="1:28" x14ac:dyDescent="0.25">
      <c r="A7145" s="22">
        <v>45496</v>
      </c>
      <c r="B7145" s="38">
        <v>23</v>
      </c>
      <c r="C7145" s="38">
        <v>16.399999999999999</v>
      </c>
      <c r="D7145" s="38">
        <v>6</v>
      </c>
      <c r="F7145" s="38">
        <v>12.1</v>
      </c>
      <c r="G7145" s="38">
        <v>16.5</v>
      </c>
      <c r="H7145" s="38">
        <v>5.8</v>
      </c>
      <c r="I7145" s="38">
        <v>3.2</v>
      </c>
      <c r="J7145" s="38">
        <v>26.2</v>
      </c>
      <c r="K7145" s="38">
        <v>31</v>
      </c>
      <c r="L7145" s="38">
        <v>17.272000000000002</v>
      </c>
      <c r="M7145" s="38">
        <v>4.8</v>
      </c>
      <c r="P7145" s="38">
        <v>12</v>
      </c>
      <c r="Q7145" s="38">
        <v>10.4</v>
      </c>
      <c r="R7145" s="38">
        <v>44.2</v>
      </c>
      <c r="U7145" s="38">
        <v>6</v>
      </c>
      <c r="V7145" s="38">
        <v>5.2</v>
      </c>
      <c r="W7145" s="38">
        <v>12.4</v>
      </c>
      <c r="X7145" s="38">
        <v>7</v>
      </c>
      <c r="Y7145" s="38">
        <v>10</v>
      </c>
      <c r="Z7145" s="38">
        <v>26</v>
      </c>
      <c r="AA7145" s="38">
        <v>8</v>
      </c>
      <c r="AB7145" s="38">
        <v>16</v>
      </c>
    </row>
    <row r="7146" spans="1:28" x14ac:dyDescent="0.25">
      <c r="A7146" s="22">
        <v>45497</v>
      </c>
      <c r="B7146" s="38">
        <v>31.5</v>
      </c>
      <c r="C7146" s="38">
        <v>50.4</v>
      </c>
      <c r="D7146" s="38">
        <v>22</v>
      </c>
      <c r="F7146" s="38">
        <v>30</v>
      </c>
      <c r="G7146" s="38">
        <v>35.75</v>
      </c>
      <c r="H7146" s="38">
        <v>22.7</v>
      </c>
      <c r="I7146" s="38">
        <v>26.8</v>
      </c>
      <c r="J7146" s="38">
        <v>36</v>
      </c>
      <c r="K7146" s="38">
        <v>12.6</v>
      </c>
      <c r="L7146" s="38">
        <v>0.254</v>
      </c>
      <c r="M7146" s="38">
        <v>38.200000000000003</v>
      </c>
      <c r="P7146" s="38">
        <v>0</v>
      </c>
      <c r="Q7146" s="38">
        <v>0.6</v>
      </c>
      <c r="R7146" s="38">
        <v>7.2</v>
      </c>
      <c r="U7146" s="38">
        <v>8</v>
      </c>
      <c r="V7146" s="38">
        <v>6.2</v>
      </c>
      <c r="W7146" s="38">
        <v>30</v>
      </c>
      <c r="X7146" s="38">
        <v>14</v>
      </c>
      <c r="Y7146" s="38">
        <v>35</v>
      </c>
      <c r="Z7146" s="38">
        <v>0</v>
      </c>
      <c r="AA7146" s="38">
        <v>12</v>
      </c>
      <c r="AB7146" s="38">
        <v>38</v>
      </c>
    </row>
    <row r="7147" spans="1:28" x14ac:dyDescent="0.25">
      <c r="A7147" s="22">
        <v>45498</v>
      </c>
      <c r="B7147" s="38">
        <v>0</v>
      </c>
      <c r="C7147" s="38">
        <v>2.4</v>
      </c>
      <c r="D7147" s="38">
        <v>2</v>
      </c>
      <c r="F7147" s="38">
        <v>0</v>
      </c>
      <c r="G7147" s="38">
        <v>0</v>
      </c>
      <c r="H7147" s="38">
        <v>0</v>
      </c>
      <c r="I7147" s="38">
        <v>1.2</v>
      </c>
      <c r="J7147" s="38">
        <v>0</v>
      </c>
      <c r="K7147" s="38">
        <v>2.5</v>
      </c>
      <c r="L7147" s="38">
        <v>0.50800000000000001</v>
      </c>
      <c r="M7147" s="38">
        <v>0</v>
      </c>
      <c r="P7147" s="38">
        <v>0</v>
      </c>
      <c r="Q7147" s="38">
        <v>1</v>
      </c>
      <c r="R7147" s="38">
        <v>0</v>
      </c>
      <c r="U7147" s="38">
        <v>2</v>
      </c>
      <c r="V7147" s="38">
        <v>0.3</v>
      </c>
      <c r="W7147" s="38">
        <v>0</v>
      </c>
      <c r="X7147" s="38">
        <v>0</v>
      </c>
      <c r="Y7147" s="38">
        <v>0</v>
      </c>
      <c r="Z7147" s="38">
        <v>0</v>
      </c>
      <c r="AA7147" s="38">
        <v>0</v>
      </c>
      <c r="AB7147" s="38">
        <v>37</v>
      </c>
    </row>
    <row r="7148" spans="1:28" x14ac:dyDescent="0.25">
      <c r="A7148" s="22">
        <v>45499</v>
      </c>
      <c r="B7148" s="38">
        <v>0</v>
      </c>
      <c r="C7148" s="38">
        <v>0</v>
      </c>
      <c r="D7148" s="38">
        <v>1</v>
      </c>
      <c r="F7148" s="38">
        <v>0</v>
      </c>
      <c r="G7148" s="38">
        <v>0</v>
      </c>
      <c r="H7148" s="38">
        <v>0</v>
      </c>
      <c r="I7148" s="38">
        <v>1.2</v>
      </c>
      <c r="J7148" s="38">
        <v>0</v>
      </c>
      <c r="K7148" s="38">
        <v>3</v>
      </c>
      <c r="L7148" s="38">
        <v>0</v>
      </c>
      <c r="M7148" s="38">
        <v>0</v>
      </c>
      <c r="P7148" s="38">
        <v>0</v>
      </c>
      <c r="Q7148" s="38">
        <v>0</v>
      </c>
      <c r="R7148" s="38">
        <v>0</v>
      </c>
      <c r="U7148" s="38">
        <v>0</v>
      </c>
      <c r="V7148" s="38">
        <v>0</v>
      </c>
      <c r="W7148" s="38">
        <v>0</v>
      </c>
      <c r="X7148" s="38">
        <v>0</v>
      </c>
      <c r="Y7148" s="38">
        <v>0</v>
      </c>
      <c r="Z7148" s="38">
        <v>0</v>
      </c>
      <c r="AA7148" s="38">
        <v>0</v>
      </c>
      <c r="AB7148" s="38">
        <v>0</v>
      </c>
    </row>
    <row r="7149" spans="1:28" x14ac:dyDescent="0.25">
      <c r="A7149" s="22">
        <v>45500</v>
      </c>
      <c r="B7149" s="38">
        <v>0</v>
      </c>
      <c r="C7149" s="38">
        <v>0</v>
      </c>
      <c r="D7149" s="38">
        <v>0</v>
      </c>
      <c r="F7149" s="38">
        <v>0</v>
      </c>
      <c r="G7149" s="38">
        <v>0</v>
      </c>
      <c r="H7149" s="38">
        <v>0</v>
      </c>
      <c r="I7149" s="38">
        <v>0</v>
      </c>
      <c r="J7149" s="38">
        <v>1.4</v>
      </c>
      <c r="K7149" s="38">
        <v>22</v>
      </c>
      <c r="L7149" s="38">
        <v>0</v>
      </c>
      <c r="M7149" s="38">
        <v>0</v>
      </c>
      <c r="P7149" s="38">
        <v>0</v>
      </c>
      <c r="Q7149" s="38">
        <v>8.9</v>
      </c>
      <c r="U7149" s="38">
        <v>0</v>
      </c>
      <c r="V7149" s="38">
        <v>0</v>
      </c>
      <c r="W7149" s="38">
        <v>0</v>
      </c>
      <c r="X7149" s="38">
        <v>0</v>
      </c>
      <c r="Y7149" s="38">
        <v>0</v>
      </c>
      <c r="Z7149" s="38">
        <v>0</v>
      </c>
      <c r="AA7149" s="38">
        <v>0</v>
      </c>
      <c r="AB7149" s="38">
        <v>10</v>
      </c>
    </row>
    <row r="7150" spans="1:28" x14ac:dyDescent="0.25">
      <c r="A7150" s="22">
        <v>45501</v>
      </c>
      <c r="B7150" s="38">
        <v>6.5</v>
      </c>
      <c r="C7150" s="38">
        <v>0</v>
      </c>
      <c r="D7150" s="38">
        <v>5.4</v>
      </c>
      <c r="F7150" s="38">
        <v>0</v>
      </c>
      <c r="G7150" s="38">
        <v>2.5</v>
      </c>
      <c r="H7150" s="38">
        <v>1.5</v>
      </c>
      <c r="I7150" s="38">
        <v>1.6</v>
      </c>
      <c r="J7150" s="38">
        <v>20.2</v>
      </c>
      <c r="K7150" s="38">
        <v>1</v>
      </c>
      <c r="L7150" s="38">
        <v>3.0479999999999996</v>
      </c>
      <c r="M7150" s="38">
        <v>0.6</v>
      </c>
      <c r="P7150" s="38">
        <v>1</v>
      </c>
      <c r="Q7150" s="38">
        <v>0.2</v>
      </c>
      <c r="R7150" s="38">
        <v>3.7</v>
      </c>
      <c r="U7150" s="38">
        <v>0</v>
      </c>
      <c r="V7150" s="38">
        <v>2.1</v>
      </c>
      <c r="W7150" s="38">
        <v>2.4</v>
      </c>
      <c r="X7150" s="38">
        <v>0</v>
      </c>
      <c r="Y7150" s="38">
        <v>0</v>
      </c>
      <c r="Z7150" s="38">
        <v>0</v>
      </c>
      <c r="AB7150" s="38">
        <v>0</v>
      </c>
    </row>
    <row r="7151" spans="1:28" x14ac:dyDescent="0.25">
      <c r="A7151" s="22">
        <v>45502</v>
      </c>
      <c r="B7151" s="38">
        <v>0</v>
      </c>
      <c r="C7151" s="38">
        <v>3.2</v>
      </c>
      <c r="D7151" s="38">
        <v>0</v>
      </c>
      <c r="F7151" s="38">
        <v>0</v>
      </c>
      <c r="G7151" s="38">
        <v>4.5</v>
      </c>
      <c r="H7151" s="38">
        <v>3.6</v>
      </c>
      <c r="I7151" s="38">
        <v>3.2</v>
      </c>
      <c r="J7151" s="38">
        <v>14.2</v>
      </c>
      <c r="K7151" s="38">
        <v>44.8</v>
      </c>
      <c r="L7151" s="38">
        <v>3.0479999999999996</v>
      </c>
      <c r="M7151" s="38">
        <v>5.3</v>
      </c>
      <c r="P7151" s="38">
        <v>0</v>
      </c>
      <c r="Q7151" s="38">
        <v>9.3000000000000007</v>
      </c>
      <c r="R7151" s="38">
        <v>8</v>
      </c>
      <c r="U7151" s="38">
        <v>2</v>
      </c>
      <c r="V7151" s="38">
        <v>0.4</v>
      </c>
      <c r="W7151" s="38">
        <v>6.1</v>
      </c>
      <c r="X7151" s="38">
        <v>0</v>
      </c>
      <c r="Y7151" s="38">
        <v>9</v>
      </c>
      <c r="Z7151" s="38">
        <v>7</v>
      </c>
      <c r="AA7151" s="38">
        <v>6</v>
      </c>
      <c r="AB7151" s="38">
        <v>0</v>
      </c>
    </row>
    <row r="7152" spans="1:28" x14ac:dyDescent="0.25">
      <c r="A7152" s="22">
        <v>45503</v>
      </c>
      <c r="B7152" s="38">
        <v>0</v>
      </c>
      <c r="C7152" s="38">
        <v>16</v>
      </c>
      <c r="D7152" s="38">
        <v>3.8</v>
      </c>
      <c r="F7152" s="38">
        <v>5.0999999999999996</v>
      </c>
      <c r="G7152" s="38">
        <v>11.5</v>
      </c>
      <c r="H7152" s="38">
        <v>6.9</v>
      </c>
      <c r="I7152" s="38">
        <v>8.1</v>
      </c>
      <c r="J7152" s="38">
        <v>10.199999999999999</v>
      </c>
      <c r="K7152" s="38">
        <v>2.2000000000000002</v>
      </c>
      <c r="L7152" s="38">
        <v>11.43</v>
      </c>
      <c r="M7152" s="38">
        <v>7.2</v>
      </c>
      <c r="P7152" s="38">
        <v>0</v>
      </c>
      <c r="Q7152" s="38">
        <v>10.4</v>
      </c>
      <c r="R7152" s="38">
        <v>4.0999999999999996</v>
      </c>
      <c r="U7152" s="38">
        <v>0</v>
      </c>
      <c r="V7152" s="38">
        <v>4.2</v>
      </c>
      <c r="W7152" s="38">
        <v>0.2</v>
      </c>
      <c r="X7152" s="38">
        <v>0</v>
      </c>
      <c r="Y7152" s="38">
        <v>0</v>
      </c>
      <c r="Z7152" s="38">
        <v>2</v>
      </c>
      <c r="AA7152" s="38">
        <v>8</v>
      </c>
      <c r="AB7152" s="38">
        <v>0</v>
      </c>
    </row>
    <row r="7153" spans="1:28" x14ac:dyDescent="0.25">
      <c r="A7153" s="22">
        <v>45504</v>
      </c>
      <c r="B7153" s="38">
        <v>16</v>
      </c>
      <c r="C7153" s="38">
        <v>0</v>
      </c>
      <c r="D7153" s="38">
        <v>0</v>
      </c>
      <c r="F7153" s="38">
        <v>0</v>
      </c>
      <c r="G7153" s="38">
        <v>5</v>
      </c>
      <c r="H7153" s="38">
        <v>1</v>
      </c>
      <c r="I7153" s="38">
        <v>5.8</v>
      </c>
      <c r="J7153" s="38">
        <v>1.8</v>
      </c>
      <c r="K7153" s="38">
        <v>17</v>
      </c>
      <c r="L7153" s="38">
        <v>2.032</v>
      </c>
      <c r="M7153" s="38">
        <v>4.3</v>
      </c>
      <c r="P7153" s="38">
        <v>0</v>
      </c>
      <c r="Q7153" s="38">
        <v>0</v>
      </c>
      <c r="R7153" s="38">
        <v>0</v>
      </c>
      <c r="U7153" s="38">
        <v>4</v>
      </c>
      <c r="V7153" s="38">
        <v>1.6</v>
      </c>
      <c r="W7153" s="38">
        <v>8.3000000000000007</v>
      </c>
      <c r="Y7153" s="38">
        <v>0</v>
      </c>
      <c r="Z7153" s="38">
        <v>0</v>
      </c>
      <c r="AA7153" s="38">
        <v>6</v>
      </c>
      <c r="AB7153" s="38">
        <v>0</v>
      </c>
    </row>
    <row r="7154" spans="1:28" x14ac:dyDescent="0.25">
      <c r="A7154" s="22">
        <v>45505</v>
      </c>
      <c r="B7154" s="38">
        <v>4</v>
      </c>
      <c r="C7154" s="38">
        <v>2.4</v>
      </c>
      <c r="D7154" s="38">
        <v>0</v>
      </c>
      <c r="F7154" s="38">
        <v>0</v>
      </c>
      <c r="G7154" s="38">
        <v>0</v>
      </c>
      <c r="H7154" s="38">
        <v>0</v>
      </c>
      <c r="I7154" s="38">
        <v>0</v>
      </c>
      <c r="J7154" s="38">
        <v>0</v>
      </c>
      <c r="K7154" s="38">
        <v>1</v>
      </c>
      <c r="L7154" s="38">
        <v>0</v>
      </c>
      <c r="M7154" s="38">
        <v>0</v>
      </c>
      <c r="N7154" s="38">
        <v>0</v>
      </c>
      <c r="P7154" s="38">
        <v>0</v>
      </c>
      <c r="Q7154" s="38">
        <v>0</v>
      </c>
      <c r="R7154" s="38">
        <v>0</v>
      </c>
      <c r="U7154" s="38">
        <v>18</v>
      </c>
      <c r="V7154" s="38">
        <v>0</v>
      </c>
      <c r="W7154" s="38">
        <v>0</v>
      </c>
      <c r="X7154" s="38">
        <v>0</v>
      </c>
      <c r="Y7154" s="38">
        <v>0</v>
      </c>
      <c r="Z7154" s="38">
        <v>0</v>
      </c>
      <c r="AA7154" s="38">
        <v>0</v>
      </c>
      <c r="AB7154" s="38">
        <v>0</v>
      </c>
    </row>
    <row r="7155" spans="1:28" x14ac:dyDescent="0.25">
      <c r="A7155" s="22">
        <v>45506</v>
      </c>
      <c r="B7155" s="38">
        <v>0</v>
      </c>
      <c r="C7155" s="38">
        <v>0</v>
      </c>
      <c r="D7155" s="38">
        <v>0</v>
      </c>
      <c r="F7155" s="38">
        <v>0</v>
      </c>
      <c r="G7155" s="38">
        <v>0.5</v>
      </c>
      <c r="H7155" s="38">
        <v>0</v>
      </c>
      <c r="I7155" s="38">
        <v>0</v>
      </c>
      <c r="J7155" s="38">
        <v>0</v>
      </c>
      <c r="K7155" s="38">
        <v>0</v>
      </c>
      <c r="L7155" s="38">
        <v>0</v>
      </c>
      <c r="M7155" s="38">
        <v>0</v>
      </c>
      <c r="N7155" s="38">
        <v>2.4000000000000004</v>
      </c>
      <c r="P7155" s="38">
        <v>0</v>
      </c>
      <c r="Q7155" s="38">
        <v>0.4</v>
      </c>
      <c r="R7155" s="38">
        <v>0</v>
      </c>
      <c r="U7155" s="38">
        <v>0</v>
      </c>
      <c r="V7155" s="38">
        <v>0</v>
      </c>
      <c r="W7155" s="38">
        <v>0</v>
      </c>
      <c r="X7155" s="38">
        <v>0</v>
      </c>
      <c r="Y7155" s="38">
        <v>0</v>
      </c>
      <c r="Z7155" s="38">
        <v>0</v>
      </c>
      <c r="AA7155" s="38">
        <v>0</v>
      </c>
      <c r="AB7155" s="38">
        <v>0</v>
      </c>
    </row>
    <row r="7156" spans="1:28" x14ac:dyDescent="0.25">
      <c r="A7156" s="22">
        <v>45507</v>
      </c>
      <c r="B7156" s="38">
        <v>0</v>
      </c>
      <c r="C7156" s="38">
        <v>9.4</v>
      </c>
      <c r="D7156" s="38">
        <v>1</v>
      </c>
      <c r="F7156" s="38">
        <v>0</v>
      </c>
      <c r="G7156" s="38">
        <v>0.5</v>
      </c>
      <c r="H7156" s="38">
        <v>0</v>
      </c>
      <c r="I7156" s="38">
        <v>0</v>
      </c>
      <c r="J7156" s="38">
        <v>6.8</v>
      </c>
      <c r="K7156" s="38">
        <v>2.8</v>
      </c>
      <c r="L7156" s="38">
        <v>0</v>
      </c>
      <c r="M7156" s="38">
        <v>0</v>
      </c>
      <c r="N7156" s="38">
        <v>2</v>
      </c>
      <c r="P7156" s="38">
        <v>2</v>
      </c>
      <c r="Q7156" s="38">
        <v>6.5</v>
      </c>
      <c r="R7156" s="38">
        <v>0</v>
      </c>
      <c r="U7156" s="38">
        <v>2</v>
      </c>
      <c r="V7156" s="38">
        <v>0</v>
      </c>
      <c r="W7156" s="38">
        <v>0</v>
      </c>
      <c r="X7156" s="38">
        <v>0</v>
      </c>
      <c r="Y7156" s="38">
        <v>0</v>
      </c>
      <c r="Z7156" s="38">
        <v>0</v>
      </c>
      <c r="AA7156" s="38">
        <v>0</v>
      </c>
      <c r="AB7156" s="38">
        <v>0</v>
      </c>
    </row>
    <row r="7157" spans="1:28" x14ac:dyDescent="0.25">
      <c r="A7157" s="22">
        <v>45508</v>
      </c>
      <c r="B7157" s="38">
        <v>10.5</v>
      </c>
      <c r="C7157" s="38">
        <v>6</v>
      </c>
      <c r="D7157" s="38">
        <v>1.6</v>
      </c>
      <c r="F7157" s="38">
        <v>2.2000000000000002</v>
      </c>
      <c r="G7157" s="38">
        <v>2.5</v>
      </c>
      <c r="H7157" s="38">
        <v>1</v>
      </c>
      <c r="I7157" s="38">
        <v>1</v>
      </c>
      <c r="J7157" s="38">
        <v>2</v>
      </c>
      <c r="K7157" s="38">
        <v>4.8</v>
      </c>
      <c r="L7157" s="38">
        <v>4.3180000000000005</v>
      </c>
      <c r="M7157" s="38">
        <v>2</v>
      </c>
      <c r="N7157" s="38">
        <v>18.79999999999999</v>
      </c>
      <c r="P7157" s="38">
        <v>12</v>
      </c>
      <c r="Q7157" s="38">
        <v>16.5</v>
      </c>
      <c r="R7157" s="38">
        <v>0</v>
      </c>
      <c r="U7157" s="38">
        <v>4</v>
      </c>
      <c r="V7157" s="38">
        <v>2.1</v>
      </c>
      <c r="W7157" s="38">
        <v>2.2999999999999998</v>
      </c>
      <c r="X7157" s="38">
        <v>2.2999999999999998</v>
      </c>
      <c r="Y7157" s="38">
        <v>0.6</v>
      </c>
      <c r="Z7157" s="38">
        <v>4</v>
      </c>
      <c r="AA7157" s="38">
        <v>0</v>
      </c>
      <c r="AB7157" s="38">
        <v>13</v>
      </c>
    </row>
    <row r="7158" spans="1:28" x14ac:dyDescent="0.25">
      <c r="A7158" s="22">
        <v>45509</v>
      </c>
      <c r="B7158" s="38">
        <v>18</v>
      </c>
      <c r="C7158" s="38">
        <v>28</v>
      </c>
      <c r="D7158" s="38">
        <v>11.6</v>
      </c>
      <c r="F7158" s="38">
        <v>7</v>
      </c>
      <c r="G7158" s="38">
        <v>3.5</v>
      </c>
      <c r="H7158" s="38">
        <v>19</v>
      </c>
      <c r="I7158" s="38">
        <v>8</v>
      </c>
      <c r="J7158" s="38">
        <v>9.8000000000000007</v>
      </c>
      <c r="K7158" s="38">
        <v>7.8</v>
      </c>
      <c r="L7158" s="38">
        <v>24.13</v>
      </c>
      <c r="M7158" s="38">
        <v>6.2</v>
      </c>
      <c r="N7158" s="38">
        <v>44.40000000000002</v>
      </c>
      <c r="P7158" s="38">
        <v>11</v>
      </c>
      <c r="Q7158" s="38">
        <v>10.9</v>
      </c>
      <c r="R7158" s="38">
        <v>0</v>
      </c>
      <c r="U7158" s="38">
        <v>10</v>
      </c>
      <c r="V7158" s="38">
        <v>6.2</v>
      </c>
      <c r="W7158" s="38">
        <v>8.1999999999999993</v>
      </c>
      <c r="X7158" s="38">
        <v>11</v>
      </c>
      <c r="Y7158" s="38">
        <v>16</v>
      </c>
      <c r="Z7158" s="38">
        <v>10</v>
      </c>
      <c r="AA7158" s="38">
        <v>12</v>
      </c>
      <c r="AB7158" s="38">
        <v>15</v>
      </c>
    </row>
    <row r="7159" spans="1:28" x14ac:dyDescent="0.25">
      <c r="A7159" s="22">
        <v>45510</v>
      </c>
      <c r="B7159" s="38">
        <v>1.2</v>
      </c>
      <c r="C7159" s="38">
        <v>0.4</v>
      </c>
      <c r="D7159" s="38">
        <v>4</v>
      </c>
      <c r="F7159" s="38">
        <v>14</v>
      </c>
      <c r="G7159" s="38">
        <v>16</v>
      </c>
      <c r="H7159" s="38">
        <v>5.8</v>
      </c>
      <c r="I7159" s="38">
        <v>10.7</v>
      </c>
      <c r="J7159" s="38">
        <v>22.2</v>
      </c>
      <c r="K7159" s="38">
        <v>20</v>
      </c>
      <c r="L7159" s="38">
        <v>13.97</v>
      </c>
      <c r="M7159" s="38">
        <v>12</v>
      </c>
      <c r="N7159" s="38">
        <v>7.6000000000000023</v>
      </c>
      <c r="P7159" s="38">
        <v>1</v>
      </c>
      <c r="Q7159" s="38">
        <v>3.9</v>
      </c>
      <c r="R7159" s="38">
        <v>0</v>
      </c>
      <c r="U7159" s="38">
        <v>0</v>
      </c>
      <c r="V7159" s="38">
        <v>10.4</v>
      </c>
      <c r="W7159" s="38">
        <v>0</v>
      </c>
      <c r="X7159" s="38">
        <v>10</v>
      </c>
      <c r="Y7159" s="38">
        <v>0</v>
      </c>
      <c r="Z7159" s="38">
        <v>4</v>
      </c>
      <c r="AA7159" s="38">
        <v>0</v>
      </c>
      <c r="AB7159" s="38">
        <v>6</v>
      </c>
    </row>
    <row r="7160" spans="1:28" x14ac:dyDescent="0.25">
      <c r="A7160" s="22">
        <v>45511</v>
      </c>
      <c r="B7160" s="38">
        <v>7</v>
      </c>
      <c r="C7160" s="38">
        <v>4</v>
      </c>
      <c r="D7160" s="38">
        <v>2</v>
      </c>
      <c r="F7160" s="38">
        <v>4.2</v>
      </c>
      <c r="G7160" s="38">
        <v>8</v>
      </c>
      <c r="H7160" s="38">
        <v>4.5</v>
      </c>
      <c r="I7160" s="38">
        <v>4.2</v>
      </c>
      <c r="J7160" s="38">
        <v>9.8000000000000007</v>
      </c>
      <c r="K7160" s="38">
        <v>4.8</v>
      </c>
      <c r="L7160" s="38">
        <v>7.1120000000000001</v>
      </c>
      <c r="M7160" s="38">
        <v>6</v>
      </c>
      <c r="N7160" s="38">
        <v>5.200000000000002</v>
      </c>
      <c r="P7160" s="38">
        <v>5</v>
      </c>
      <c r="Q7160" s="38">
        <v>1.3</v>
      </c>
      <c r="R7160" s="38">
        <v>24</v>
      </c>
      <c r="U7160" s="38">
        <v>4</v>
      </c>
      <c r="V7160" s="38">
        <v>2.2000000000000002</v>
      </c>
      <c r="W7160" s="38">
        <v>4.4000000000000004</v>
      </c>
      <c r="X7160" s="38">
        <v>0</v>
      </c>
      <c r="Y7160" s="38">
        <v>2</v>
      </c>
      <c r="Z7160" s="38">
        <v>0</v>
      </c>
      <c r="AA7160" s="38">
        <v>0</v>
      </c>
      <c r="AB7160" s="38">
        <v>0</v>
      </c>
    </row>
    <row r="7161" spans="1:28" x14ac:dyDescent="0.25">
      <c r="A7161" s="22">
        <v>45512</v>
      </c>
      <c r="B7161" s="38">
        <v>8</v>
      </c>
      <c r="C7161" s="38">
        <v>1.6</v>
      </c>
      <c r="D7161" s="38">
        <v>0</v>
      </c>
      <c r="F7161" s="38">
        <v>0</v>
      </c>
      <c r="G7161" s="38">
        <v>2.5</v>
      </c>
      <c r="H7161" s="38">
        <v>0</v>
      </c>
      <c r="I7161" s="38">
        <v>1.1000000000000001</v>
      </c>
      <c r="J7161" s="38">
        <v>0</v>
      </c>
      <c r="K7161" s="38">
        <v>1.2</v>
      </c>
      <c r="L7161" s="38">
        <v>0</v>
      </c>
      <c r="M7161" s="38">
        <v>1.7</v>
      </c>
      <c r="N7161" s="38">
        <v>9.6000000000000014</v>
      </c>
      <c r="P7161" s="38">
        <v>0</v>
      </c>
      <c r="Q7161" s="38">
        <v>10.4</v>
      </c>
      <c r="R7161" s="38">
        <v>0</v>
      </c>
      <c r="U7161" s="38">
        <v>3</v>
      </c>
      <c r="V7161" s="38">
        <v>0</v>
      </c>
      <c r="W7161" s="38">
        <v>0.3</v>
      </c>
      <c r="X7161" s="38">
        <v>0</v>
      </c>
      <c r="Y7161" s="38">
        <v>0</v>
      </c>
      <c r="Z7161" s="38">
        <v>0</v>
      </c>
      <c r="AA7161" s="38">
        <v>0</v>
      </c>
      <c r="AB7161" s="38">
        <v>2</v>
      </c>
    </row>
    <row r="7162" spans="1:28" x14ac:dyDescent="0.25">
      <c r="A7162" s="22">
        <v>45513</v>
      </c>
      <c r="B7162" s="38">
        <v>12</v>
      </c>
      <c r="C7162" s="38">
        <v>15.4</v>
      </c>
      <c r="D7162" s="38">
        <v>3.4</v>
      </c>
      <c r="F7162" s="38">
        <v>6.3</v>
      </c>
      <c r="G7162" s="38">
        <v>6.8</v>
      </c>
      <c r="H7162" s="38">
        <v>5</v>
      </c>
      <c r="I7162" s="38">
        <v>7.1</v>
      </c>
      <c r="J7162" s="38">
        <v>13</v>
      </c>
      <c r="K7162" s="38">
        <v>14.4</v>
      </c>
      <c r="L7162" s="38">
        <v>9.9060000000000006</v>
      </c>
      <c r="M7162" s="38">
        <v>5.8</v>
      </c>
      <c r="N7162" s="38">
        <v>51.600000000000009</v>
      </c>
      <c r="P7162" s="38">
        <v>7</v>
      </c>
      <c r="Q7162" s="38">
        <v>12.5</v>
      </c>
      <c r="R7162" s="38">
        <v>13.1</v>
      </c>
      <c r="U7162" s="38">
        <v>13</v>
      </c>
      <c r="V7162" s="38">
        <v>0.4</v>
      </c>
      <c r="W7162" s="38">
        <v>2.1</v>
      </c>
      <c r="X7162" s="38">
        <v>2.5</v>
      </c>
      <c r="Y7162" s="38">
        <v>6.4</v>
      </c>
      <c r="Z7162" s="38">
        <v>14</v>
      </c>
      <c r="AA7162" s="38">
        <v>8</v>
      </c>
      <c r="AB7162" s="38">
        <v>7</v>
      </c>
    </row>
    <row r="7163" spans="1:28" x14ac:dyDescent="0.25">
      <c r="A7163" s="22">
        <v>45514</v>
      </c>
      <c r="B7163" s="38">
        <v>72</v>
      </c>
      <c r="C7163" s="38">
        <v>41.6</v>
      </c>
      <c r="D7163" s="38">
        <v>4</v>
      </c>
      <c r="F7163" s="38">
        <v>15.1</v>
      </c>
      <c r="G7163" s="38">
        <v>35.5</v>
      </c>
      <c r="H7163" s="38">
        <v>25.2</v>
      </c>
      <c r="I7163" s="38">
        <v>24.5</v>
      </c>
      <c r="J7163" s="38">
        <v>44.8</v>
      </c>
      <c r="K7163" s="38">
        <v>52.2</v>
      </c>
      <c r="L7163" s="38">
        <v>20.065999999999999</v>
      </c>
      <c r="M7163" s="38">
        <v>38.700000000000003</v>
      </c>
      <c r="N7163" s="38">
        <v>83.59999999999998</v>
      </c>
      <c r="P7163" s="38">
        <v>40</v>
      </c>
      <c r="Q7163" s="38">
        <v>25</v>
      </c>
      <c r="R7163" s="38">
        <v>42.2</v>
      </c>
      <c r="U7163" s="38">
        <v>18</v>
      </c>
      <c r="V7163" s="38">
        <v>20.399999999999999</v>
      </c>
      <c r="W7163" s="38">
        <v>50.2</v>
      </c>
      <c r="X7163" s="38">
        <v>3</v>
      </c>
      <c r="Y7163" s="38">
        <v>17.8</v>
      </c>
      <c r="Z7163" s="38">
        <v>10.199999999999999</v>
      </c>
      <c r="AA7163" s="38">
        <v>6</v>
      </c>
      <c r="AB7163" s="38">
        <v>18</v>
      </c>
    </row>
    <row r="7164" spans="1:28" x14ac:dyDescent="0.25">
      <c r="A7164" s="22">
        <v>45515</v>
      </c>
      <c r="B7164" s="38">
        <v>61.5</v>
      </c>
      <c r="C7164" s="38">
        <v>16.8</v>
      </c>
      <c r="D7164" s="38">
        <v>18.2</v>
      </c>
      <c r="F7164" s="38">
        <v>12</v>
      </c>
      <c r="G7164" s="38">
        <v>19</v>
      </c>
      <c r="H7164" s="38">
        <v>4</v>
      </c>
      <c r="I7164" s="38">
        <v>23</v>
      </c>
      <c r="J7164" s="38">
        <v>26</v>
      </c>
      <c r="K7164" s="38">
        <v>12.2</v>
      </c>
      <c r="L7164" s="38">
        <v>28.448</v>
      </c>
      <c r="M7164" s="38">
        <v>1.8</v>
      </c>
      <c r="N7164" s="38">
        <v>29.199999999999996</v>
      </c>
      <c r="P7164" s="38">
        <v>0</v>
      </c>
      <c r="Q7164" s="38">
        <v>15.7</v>
      </c>
      <c r="R7164" s="38">
        <v>1.1000000000000001</v>
      </c>
      <c r="U7164" s="38">
        <v>10</v>
      </c>
      <c r="V7164" s="38">
        <v>0.3</v>
      </c>
      <c r="W7164" s="38">
        <v>0</v>
      </c>
      <c r="X7164" s="38">
        <v>50</v>
      </c>
      <c r="Y7164" s="38">
        <v>10</v>
      </c>
      <c r="Z7164" s="38">
        <v>10.5</v>
      </c>
      <c r="AA7164" s="38">
        <v>0</v>
      </c>
      <c r="AB7164" s="38">
        <v>9</v>
      </c>
    </row>
    <row r="7165" spans="1:28" x14ac:dyDescent="0.25">
      <c r="A7165" s="22">
        <v>45516</v>
      </c>
      <c r="B7165" s="38">
        <v>13</v>
      </c>
      <c r="C7165" s="38">
        <v>5.4</v>
      </c>
      <c r="D7165" s="38">
        <v>2</v>
      </c>
      <c r="F7165" s="38">
        <v>11.1</v>
      </c>
      <c r="G7165" s="38">
        <v>19</v>
      </c>
      <c r="H7165" s="38">
        <v>15.1</v>
      </c>
      <c r="I7165" s="38">
        <v>19.2</v>
      </c>
      <c r="J7165" s="38">
        <v>26.4</v>
      </c>
      <c r="K7165" s="38">
        <v>17</v>
      </c>
      <c r="L7165" s="38">
        <v>7.1120000000000001</v>
      </c>
      <c r="M7165" s="38">
        <v>22</v>
      </c>
      <c r="N7165" s="38">
        <v>64.400000000000063</v>
      </c>
      <c r="P7165" s="38">
        <v>16</v>
      </c>
      <c r="Q7165" s="38">
        <v>67</v>
      </c>
      <c r="R7165" s="38">
        <v>8</v>
      </c>
      <c r="U7165" s="38">
        <v>18</v>
      </c>
      <c r="V7165" s="38">
        <v>14.4</v>
      </c>
      <c r="W7165" s="38">
        <v>16.399999999999999</v>
      </c>
      <c r="X7165" s="38">
        <v>14.3</v>
      </c>
      <c r="Y7165" s="38">
        <v>8</v>
      </c>
      <c r="Z7165" s="38">
        <v>6</v>
      </c>
      <c r="AA7165" s="38">
        <v>20</v>
      </c>
      <c r="AB7165" s="38">
        <v>20</v>
      </c>
    </row>
    <row r="7166" spans="1:28" x14ac:dyDescent="0.25">
      <c r="A7166" s="22">
        <v>45517</v>
      </c>
      <c r="B7166" s="38">
        <v>102</v>
      </c>
      <c r="C7166" s="38">
        <v>80.400000000000006</v>
      </c>
      <c r="D7166" s="38">
        <v>54</v>
      </c>
      <c r="F7166" s="38">
        <v>60</v>
      </c>
      <c r="G7166" s="38">
        <v>78.5</v>
      </c>
      <c r="H7166" s="38">
        <v>52.3</v>
      </c>
      <c r="I7166" s="38">
        <v>69.2</v>
      </c>
      <c r="J7166" s="38">
        <v>76.2</v>
      </c>
      <c r="K7166" s="38">
        <v>54.8</v>
      </c>
      <c r="L7166" s="38">
        <v>104.39400000000001</v>
      </c>
      <c r="M7166" s="38">
        <v>52.3</v>
      </c>
      <c r="N7166" s="38">
        <v>56.000000000000014</v>
      </c>
      <c r="P7166" s="38">
        <v>61</v>
      </c>
      <c r="Q7166" s="38">
        <v>0</v>
      </c>
      <c r="R7166" s="38">
        <v>60.2</v>
      </c>
      <c r="U7166" s="38">
        <v>46</v>
      </c>
      <c r="V7166" s="38">
        <v>40.799999999999997</v>
      </c>
      <c r="W7166" s="38">
        <v>110.8</v>
      </c>
      <c r="X7166" s="38">
        <v>89.5</v>
      </c>
      <c r="Y7166" s="38">
        <v>55.4</v>
      </c>
      <c r="Z7166" s="38">
        <v>57</v>
      </c>
      <c r="AA7166" s="38">
        <v>142</v>
      </c>
      <c r="AB7166" s="38">
        <v>9</v>
      </c>
    </row>
    <row r="7167" spans="1:28" x14ac:dyDescent="0.25">
      <c r="A7167" s="22">
        <v>45518</v>
      </c>
      <c r="B7167" s="38">
        <v>0</v>
      </c>
      <c r="C7167" s="38">
        <v>0.4</v>
      </c>
      <c r="D7167" s="38">
        <v>2</v>
      </c>
      <c r="F7167" s="38">
        <v>0</v>
      </c>
      <c r="G7167" s="38">
        <v>27</v>
      </c>
      <c r="H7167" s="38">
        <v>0</v>
      </c>
      <c r="I7167" s="38">
        <v>2.2000000000000002</v>
      </c>
      <c r="J7167" s="38">
        <v>0</v>
      </c>
      <c r="K7167" s="38">
        <v>0</v>
      </c>
      <c r="L7167" s="38">
        <v>0.50800000000000001</v>
      </c>
      <c r="M7167" s="38">
        <v>0</v>
      </c>
      <c r="N7167" s="38">
        <v>0</v>
      </c>
      <c r="P7167" s="38">
        <v>0</v>
      </c>
      <c r="Q7167" s="38">
        <v>0</v>
      </c>
      <c r="R7167" s="38">
        <v>0</v>
      </c>
      <c r="U7167" s="38">
        <v>0</v>
      </c>
      <c r="V7167" s="38">
        <v>0</v>
      </c>
      <c r="W7167" s="38">
        <v>0</v>
      </c>
      <c r="X7167" s="38">
        <v>2</v>
      </c>
      <c r="Y7167" s="38">
        <v>0.2</v>
      </c>
      <c r="Z7167" s="38">
        <v>0</v>
      </c>
      <c r="AA7167" s="38">
        <v>0</v>
      </c>
      <c r="AB7167" s="38">
        <v>0</v>
      </c>
    </row>
    <row r="7168" spans="1:28" x14ac:dyDescent="0.25">
      <c r="A7168" s="22">
        <v>45519</v>
      </c>
      <c r="B7168" s="38">
        <v>2</v>
      </c>
      <c r="C7168" s="38">
        <v>0</v>
      </c>
      <c r="D7168" s="38">
        <v>1</v>
      </c>
      <c r="F7168" s="38">
        <v>1.1000000000000001</v>
      </c>
      <c r="G7168" s="38">
        <v>0</v>
      </c>
      <c r="H7168" s="38">
        <v>0</v>
      </c>
      <c r="I7168" s="38">
        <v>0.1</v>
      </c>
      <c r="J7168" s="38">
        <v>0</v>
      </c>
      <c r="K7168" s="38">
        <v>0</v>
      </c>
      <c r="L7168" s="38">
        <v>1.778</v>
      </c>
      <c r="M7168" s="38">
        <v>0</v>
      </c>
      <c r="N7168" s="38">
        <v>8</v>
      </c>
      <c r="P7168" s="38">
        <v>0</v>
      </c>
      <c r="Q7168" s="38">
        <v>3.7</v>
      </c>
      <c r="R7168" s="38">
        <v>0</v>
      </c>
      <c r="U7168" s="38">
        <v>0</v>
      </c>
      <c r="V7168" s="38">
        <v>0</v>
      </c>
      <c r="W7168" s="38">
        <v>0</v>
      </c>
      <c r="X7168" s="38">
        <v>0</v>
      </c>
      <c r="Y7168" s="38">
        <v>0</v>
      </c>
      <c r="Z7168" s="38">
        <v>2.2000000000000002</v>
      </c>
      <c r="AA7168" s="38">
        <v>8</v>
      </c>
      <c r="AB7168" s="38">
        <v>0</v>
      </c>
    </row>
    <row r="7169" spans="1:28" x14ac:dyDescent="0.25">
      <c r="A7169" s="22">
        <v>45520</v>
      </c>
      <c r="B7169" s="38">
        <v>17.5</v>
      </c>
      <c r="C7169" s="38">
        <v>13</v>
      </c>
      <c r="D7169" s="38">
        <v>14</v>
      </c>
      <c r="F7169" s="38">
        <v>0</v>
      </c>
      <c r="G7169" s="38">
        <v>0.5</v>
      </c>
      <c r="H7169" s="38">
        <v>0.9</v>
      </c>
      <c r="I7169" s="38">
        <v>2.8</v>
      </c>
      <c r="J7169" s="38">
        <v>2.2000000000000002</v>
      </c>
      <c r="K7169" s="38">
        <v>6</v>
      </c>
      <c r="L7169" s="38">
        <v>7.8739999999999997</v>
      </c>
      <c r="M7169" s="38">
        <v>1</v>
      </c>
      <c r="N7169" s="38">
        <v>3.600000000000001</v>
      </c>
      <c r="P7169" s="38">
        <v>2</v>
      </c>
      <c r="Q7169" s="38">
        <v>0</v>
      </c>
      <c r="R7169" s="38">
        <v>0</v>
      </c>
      <c r="U7169" s="38">
        <v>5</v>
      </c>
      <c r="V7169" s="38">
        <v>0</v>
      </c>
      <c r="W7169" s="38">
        <v>0</v>
      </c>
      <c r="X7169" s="38">
        <v>0</v>
      </c>
      <c r="Y7169" s="38">
        <v>0.4</v>
      </c>
      <c r="Z7169" s="38">
        <v>0</v>
      </c>
      <c r="AA7169" s="38">
        <v>0</v>
      </c>
      <c r="AB7169" s="38">
        <v>6</v>
      </c>
    </row>
    <row r="7170" spans="1:28" x14ac:dyDescent="0.25">
      <c r="A7170" s="22">
        <v>45521</v>
      </c>
      <c r="B7170" s="38">
        <v>0</v>
      </c>
      <c r="C7170" s="38">
        <v>0</v>
      </c>
      <c r="D7170" s="38">
        <v>0</v>
      </c>
      <c r="F7170" s="38">
        <v>0</v>
      </c>
      <c r="G7170" s="38">
        <v>0</v>
      </c>
      <c r="H7170" s="38">
        <v>0</v>
      </c>
      <c r="I7170" s="38">
        <v>0</v>
      </c>
      <c r="J7170" s="38">
        <v>0</v>
      </c>
      <c r="K7170" s="38">
        <v>0</v>
      </c>
      <c r="L7170" s="38">
        <v>0.7619999999999999</v>
      </c>
      <c r="M7170" s="38">
        <v>0</v>
      </c>
      <c r="N7170" s="38">
        <v>0</v>
      </c>
      <c r="P7170" s="38">
        <v>0</v>
      </c>
      <c r="Q7170" s="38">
        <v>0</v>
      </c>
      <c r="R7170" s="38">
        <v>0</v>
      </c>
      <c r="U7170" s="38">
        <v>0</v>
      </c>
      <c r="V7170" s="38">
        <v>0</v>
      </c>
      <c r="W7170" s="38">
        <v>0</v>
      </c>
      <c r="X7170" s="38">
        <v>0</v>
      </c>
      <c r="Y7170" s="38">
        <v>0</v>
      </c>
      <c r="Z7170" s="38">
        <v>0</v>
      </c>
      <c r="AA7170" s="38">
        <v>0</v>
      </c>
      <c r="AB7170" s="38">
        <v>6</v>
      </c>
    </row>
    <row r="7171" spans="1:28" x14ac:dyDescent="0.25">
      <c r="A7171" s="22">
        <v>45522</v>
      </c>
      <c r="B7171" s="38">
        <v>0</v>
      </c>
      <c r="C7171" s="38">
        <v>0</v>
      </c>
      <c r="D7171" s="38">
        <v>0</v>
      </c>
      <c r="F7171" s="38">
        <v>0</v>
      </c>
      <c r="G7171" s="38">
        <v>0</v>
      </c>
      <c r="H7171" s="38">
        <v>0</v>
      </c>
      <c r="I7171" s="38">
        <v>0</v>
      </c>
      <c r="J7171" s="38">
        <v>0</v>
      </c>
      <c r="K7171" s="38">
        <v>0</v>
      </c>
      <c r="L7171" s="38">
        <v>0</v>
      </c>
      <c r="M7171" s="38">
        <v>0</v>
      </c>
      <c r="N7171" s="38">
        <v>5.2000000000000011</v>
      </c>
      <c r="P7171" s="38">
        <v>0</v>
      </c>
      <c r="Q7171" s="38">
        <v>0.3</v>
      </c>
      <c r="R7171" s="38">
        <v>0</v>
      </c>
      <c r="U7171" s="38">
        <v>0</v>
      </c>
      <c r="V7171" s="38">
        <v>0</v>
      </c>
      <c r="W7171" s="38">
        <v>0</v>
      </c>
      <c r="X7171" s="38">
        <v>2</v>
      </c>
      <c r="Y7171" s="38">
        <v>0</v>
      </c>
      <c r="Z7171" s="38">
        <v>0</v>
      </c>
      <c r="AA7171" s="38">
        <v>0</v>
      </c>
      <c r="AB7171" s="38">
        <v>2</v>
      </c>
    </row>
    <row r="7172" spans="1:28" x14ac:dyDescent="0.25">
      <c r="A7172" s="22">
        <v>45523</v>
      </c>
      <c r="B7172" s="38">
        <v>3</v>
      </c>
      <c r="C7172" s="38">
        <v>0</v>
      </c>
      <c r="D7172" s="38">
        <v>0</v>
      </c>
      <c r="F7172" s="38">
        <v>4</v>
      </c>
      <c r="G7172" s="38">
        <v>0</v>
      </c>
      <c r="H7172" s="38">
        <v>0</v>
      </c>
      <c r="I7172" s="38">
        <v>2</v>
      </c>
      <c r="J7172" s="38">
        <v>1</v>
      </c>
      <c r="K7172" s="38">
        <v>4</v>
      </c>
      <c r="L7172" s="38">
        <v>13.715999999999999</v>
      </c>
      <c r="M7172" s="38">
        <v>2</v>
      </c>
      <c r="N7172" s="38">
        <v>1.2</v>
      </c>
      <c r="P7172" s="38">
        <v>4</v>
      </c>
      <c r="Q7172" s="38">
        <v>2.8</v>
      </c>
      <c r="R7172" s="38">
        <v>1.6</v>
      </c>
      <c r="U7172" s="38">
        <v>5</v>
      </c>
      <c r="V7172" s="38">
        <v>0</v>
      </c>
      <c r="W7172" s="38">
        <v>0</v>
      </c>
      <c r="X7172" s="38">
        <v>1</v>
      </c>
      <c r="Y7172" s="38">
        <v>0.8</v>
      </c>
      <c r="Z7172" s="38">
        <v>0.6</v>
      </c>
      <c r="AA7172" s="38">
        <v>0</v>
      </c>
      <c r="AB7172" s="38">
        <v>0</v>
      </c>
    </row>
    <row r="7173" spans="1:28" x14ac:dyDescent="0.25">
      <c r="A7173" s="22">
        <v>45524</v>
      </c>
      <c r="B7173" s="38">
        <v>0</v>
      </c>
      <c r="C7173" s="38">
        <v>0</v>
      </c>
      <c r="D7173" s="38">
        <v>1</v>
      </c>
      <c r="F7173" s="38">
        <v>0</v>
      </c>
      <c r="G7173" s="38">
        <v>6.4</v>
      </c>
      <c r="H7173" s="38">
        <v>0</v>
      </c>
      <c r="I7173" s="38">
        <v>1.7</v>
      </c>
      <c r="J7173" s="38">
        <v>0.8</v>
      </c>
      <c r="K7173" s="38">
        <v>1</v>
      </c>
      <c r="L7173" s="38">
        <v>1.016</v>
      </c>
      <c r="M7173" s="38">
        <v>2</v>
      </c>
      <c r="N7173" s="38">
        <v>0.4</v>
      </c>
      <c r="P7173" s="38">
        <v>0</v>
      </c>
      <c r="Q7173" s="38">
        <v>0</v>
      </c>
      <c r="R7173" s="38">
        <v>4.0999999999999996</v>
      </c>
      <c r="U7173" s="38">
        <v>0</v>
      </c>
      <c r="V7173" s="38">
        <v>0</v>
      </c>
      <c r="W7173" s="38">
        <v>2.2000000000000002</v>
      </c>
      <c r="X7173" s="38">
        <v>0</v>
      </c>
      <c r="Y7173" s="38">
        <v>0</v>
      </c>
      <c r="Z7173" s="38">
        <v>0</v>
      </c>
      <c r="AA7173" s="38">
        <v>0</v>
      </c>
      <c r="AB7173" s="38">
        <v>0</v>
      </c>
    </row>
    <row r="7174" spans="1:28" x14ac:dyDescent="0.25">
      <c r="A7174" s="22">
        <v>45525</v>
      </c>
      <c r="B7174" s="38">
        <v>4</v>
      </c>
      <c r="C7174" s="38">
        <v>0</v>
      </c>
      <c r="D7174" s="38">
        <v>0</v>
      </c>
      <c r="F7174" s="38">
        <v>0</v>
      </c>
      <c r="G7174" s="38">
        <v>1</v>
      </c>
      <c r="H7174" s="38">
        <v>3</v>
      </c>
      <c r="I7174" s="38">
        <v>0.3</v>
      </c>
      <c r="J7174" s="38">
        <v>0</v>
      </c>
      <c r="K7174" s="38">
        <v>0</v>
      </c>
      <c r="L7174" s="38">
        <v>9.9060000000000006</v>
      </c>
      <c r="M7174" s="38">
        <v>0</v>
      </c>
      <c r="N7174" s="38">
        <v>19.2</v>
      </c>
      <c r="P7174" s="38">
        <v>1</v>
      </c>
      <c r="Q7174" s="38">
        <v>10.3</v>
      </c>
      <c r="R7174" s="38">
        <v>0</v>
      </c>
      <c r="U7174" s="38">
        <v>2</v>
      </c>
      <c r="V7174" s="38">
        <v>0</v>
      </c>
      <c r="W7174" s="38">
        <v>0</v>
      </c>
      <c r="X7174" s="38">
        <v>0</v>
      </c>
      <c r="Y7174" s="38">
        <v>0</v>
      </c>
      <c r="Z7174" s="38">
        <v>0</v>
      </c>
      <c r="AA7174" s="38">
        <v>0</v>
      </c>
      <c r="AB7174" s="38">
        <v>0</v>
      </c>
    </row>
    <row r="7175" spans="1:28" x14ac:dyDescent="0.25">
      <c r="A7175" s="22">
        <v>45526</v>
      </c>
      <c r="B7175" s="38">
        <v>17</v>
      </c>
      <c r="C7175" s="38">
        <v>32.4</v>
      </c>
      <c r="D7175" s="38">
        <v>10</v>
      </c>
      <c r="F7175" s="38">
        <v>12.4</v>
      </c>
      <c r="G7175" s="38">
        <v>18</v>
      </c>
      <c r="H7175" s="38">
        <v>18</v>
      </c>
      <c r="I7175" s="38">
        <v>18.399999999999999</v>
      </c>
      <c r="J7175" s="38">
        <v>39</v>
      </c>
      <c r="K7175" s="38">
        <v>24</v>
      </c>
      <c r="L7175" s="38">
        <v>6.35</v>
      </c>
      <c r="M7175" s="38">
        <v>20.2</v>
      </c>
      <c r="N7175" s="38">
        <v>38.400000000000013</v>
      </c>
      <c r="P7175" s="38">
        <v>6</v>
      </c>
      <c r="Q7175" s="38">
        <v>9.3000000000000007</v>
      </c>
      <c r="R7175" s="38">
        <v>10.1</v>
      </c>
      <c r="U7175" s="38">
        <v>15</v>
      </c>
      <c r="V7175" s="38">
        <v>12.4</v>
      </c>
      <c r="W7175" s="38">
        <v>16.2</v>
      </c>
      <c r="X7175" s="38">
        <v>5</v>
      </c>
      <c r="Y7175" s="38">
        <v>13.6</v>
      </c>
      <c r="Z7175" s="38">
        <v>10</v>
      </c>
      <c r="AA7175" s="38">
        <v>3</v>
      </c>
      <c r="AB7175" s="38">
        <v>0</v>
      </c>
    </row>
    <row r="7176" spans="1:28" x14ac:dyDescent="0.25">
      <c r="A7176" s="22">
        <v>45527</v>
      </c>
      <c r="B7176" s="38">
        <v>0</v>
      </c>
      <c r="C7176" s="38">
        <v>5.6</v>
      </c>
      <c r="D7176" s="38">
        <v>2.2000000000000002</v>
      </c>
      <c r="F7176" s="38">
        <v>0.2</v>
      </c>
      <c r="G7176" s="38">
        <v>8.5</v>
      </c>
      <c r="H7176" s="38">
        <v>2.4</v>
      </c>
      <c r="I7176" s="38">
        <v>1.9</v>
      </c>
      <c r="J7176" s="38">
        <v>7</v>
      </c>
      <c r="K7176" s="38">
        <v>5</v>
      </c>
      <c r="L7176" s="38">
        <v>0.50800000000000001</v>
      </c>
      <c r="M7176" s="38">
        <v>4.4000000000000004</v>
      </c>
      <c r="N7176" s="38">
        <v>21.6</v>
      </c>
      <c r="P7176" s="38">
        <v>0</v>
      </c>
      <c r="Q7176" s="38">
        <v>1</v>
      </c>
      <c r="R7176" s="38">
        <v>4.5</v>
      </c>
      <c r="U7176" s="38">
        <v>8</v>
      </c>
      <c r="V7176" s="38">
        <v>5.2</v>
      </c>
      <c r="W7176" s="38">
        <v>5.4</v>
      </c>
      <c r="X7176" s="38">
        <v>17</v>
      </c>
      <c r="Y7176" s="38">
        <v>2</v>
      </c>
      <c r="Z7176" s="38">
        <v>2</v>
      </c>
      <c r="AA7176" s="38">
        <v>3</v>
      </c>
      <c r="AB7176" s="38">
        <v>3</v>
      </c>
    </row>
    <row r="7177" spans="1:28" x14ac:dyDescent="0.25">
      <c r="A7177" s="22">
        <v>45528</v>
      </c>
      <c r="B7177" s="38">
        <v>7</v>
      </c>
      <c r="C7177" s="38">
        <v>2</v>
      </c>
      <c r="D7177" s="38">
        <v>0</v>
      </c>
      <c r="F7177" s="38">
        <v>0</v>
      </c>
      <c r="G7177" s="38">
        <v>5.2</v>
      </c>
      <c r="H7177" s="38">
        <v>2.7</v>
      </c>
      <c r="I7177" s="38">
        <v>3.2</v>
      </c>
      <c r="J7177" s="38">
        <v>15.6</v>
      </c>
      <c r="K7177" s="38">
        <v>14</v>
      </c>
      <c r="L7177" s="38">
        <v>0</v>
      </c>
      <c r="M7177" s="38">
        <v>6.8</v>
      </c>
      <c r="N7177" s="38">
        <v>58.40000000000002</v>
      </c>
      <c r="P7177" s="38">
        <v>2</v>
      </c>
      <c r="Q7177" s="38">
        <v>0</v>
      </c>
      <c r="R7177" s="38">
        <v>2.1</v>
      </c>
      <c r="U7177" s="38">
        <v>10</v>
      </c>
      <c r="V7177" s="38">
        <v>15.6</v>
      </c>
      <c r="W7177" s="38">
        <v>22.2</v>
      </c>
      <c r="X7177" s="38">
        <v>0</v>
      </c>
      <c r="Y7177" s="38">
        <v>4</v>
      </c>
      <c r="Z7177" s="38">
        <v>8</v>
      </c>
      <c r="AA7177" s="38">
        <v>7</v>
      </c>
      <c r="AB7177" s="38">
        <v>3</v>
      </c>
    </row>
    <row r="7178" spans="1:28" x14ac:dyDescent="0.25">
      <c r="A7178" s="22">
        <v>45529</v>
      </c>
      <c r="B7178" s="38">
        <v>23</v>
      </c>
      <c r="C7178" s="38">
        <v>16.399999999999999</v>
      </c>
      <c r="D7178" s="38">
        <v>10.8</v>
      </c>
      <c r="F7178" s="38">
        <v>16.2</v>
      </c>
      <c r="G7178" s="38">
        <v>21</v>
      </c>
      <c r="H7178" s="38">
        <v>13.2</v>
      </c>
      <c r="I7178" s="38">
        <v>33.4</v>
      </c>
      <c r="J7178" s="38">
        <v>22</v>
      </c>
      <c r="K7178" s="38">
        <v>22.4</v>
      </c>
      <c r="L7178" s="38">
        <v>23.114000000000001</v>
      </c>
      <c r="M7178" s="38">
        <v>21</v>
      </c>
      <c r="N7178" s="38">
        <v>40.400000000000006</v>
      </c>
      <c r="P7178" s="38">
        <v>24</v>
      </c>
      <c r="Q7178" s="38">
        <v>13</v>
      </c>
      <c r="R7178" s="38">
        <v>7.9</v>
      </c>
      <c r="U7178" s="38">
        <v>18</v>
      </c>
      <c r="V7178" s="38">
        <v>17.399999999999999</v>
      </c>
      <c r="W7178" s="38">
        <v>33</v>
      </c>
      <c r="X7178" s="38">
        <v>1.5</v>
      </c>
      <c r="Y7178" s="38">
        <v>4</v>
      </c>
      <c r="Z7178" s="38">
        <v>21.5</v>
      </c>
      <c r="AA7178" s="38">
        <v>50</v>
      </c>
      <c r="AB7178" s="38">
        <v>3</v>
      </c>
    </row>
    <row r="7179" spans="1:28" x14ac:dyDescent="0.25">
      <c r="A7179" s="22">
        <v>45530</v>
      </c>
      <c r="B7179" s="38">
        <v>11</v>
      </c>
      <c r="C7179" s="38">
        <v>10.8</v>
      </c>
      <c r="D7179" s="38">
        <v>5.8</v>
      </c>
      <c r="F7179" s="38">
        <v>2</v>
      </c>
      <c r="G7179" s="38">
        <v>15</v>
      </c>
      <c r="H7179" s="38">
        <v>3.2</v>
      </c>
      <c r="I7179" s="38">
        <v>11.8</v>
      </c>
      <c r="J7179" s="38">
        <v>21.8</v>
      </c>
      <c r="K7179" s="38">
        <v>21</v>
      </c>
      <c r="L7179" s="38">
        <v>13.715999999999999</v>
      </c>
      <c r="M7179" s="38">
        <v>9</v>
      </c>
      <c r="N7179" s="38">
        <v>0</v>
      </c>
      <c r="P7179" s="38">
        <v>6</v>
      </c>
      <c r="Q7179" s="38">
        <v>7.8</v>
      </c>
      <c r="R7179" s="38">
        <v>8.1999999999999993</v>
      </c>
      <c r="U7179" s="38">
        <v>10</v>
      </c>
      <c r="V7179" s="38">
        <v>10.199999999999999</v>
      </c>
      <c r="W7179" s="38">
        <v>8.4</v>
      </c>
      <c r="X7179" s="38">
        <v>10</v>
      </c>
      <c r="Y7179" s="38">
        <v>8</v>
      </c>
      <c r="Z7179" s="38">
        <v>14</v>
      </c>
      <c r="AA7179" s="38">
        <v>8</v>
      </c>
      <c r="AB7179" s="38">
        <v>30</v>
      </c>
    </row>
    <row r="7180" spans="1:28" x14ac:dyDescent="0.25">
      <c r="A7180" s="22">
        <v>45531</v>
      </c>
      <c r="B7180" s="38">
        <v>17</v>
      </c>
      <c r="C7180" s="38">
        <v>4.4000000000000004</v>
      </c>
      <c r="D7180" s="38">
        <v>0.8</v>
      </c>
      <c r="F7180" s="38">
        <v>10</v>
      </c>
      <c r="G7180" s="38">
        <v>12.5</v>
      </c>
      <c r="H7180" s="38">
        <v>7.3</v>
      </c>
      <c r="I7180" s="38">
        <v>2.2000000000000002</v>
      </c>
      <c r="J7180" s="38">
        <v>1.9</v>
      </c>
      <c r="K7180" s="38">
        <v>4.5999999999999996</v>
      </c>
      <c r="L7180" s="38">
        <v>3.8099999999999996</v>
      </c>
      <c r="M7180" s="38">
        <v>9</v>
      </c>
      <c r="N7180" s="38">
        <v>47.599999999999994</v>
      </c>
      <c r="P7180" s="38">
        <v>0</v>
      </c>
      <c r="Q7180" s="38">
        <v>9.4</v>
      </c>
      <c r="R7180" s="38">
        <v>13.9</v>
      </c>
      <c r="U7180" s="38">
        <v>6</v>
      </c>
      <c r="V7180" s="38">
        <v>11.3</v>
      </c>
      <c r="W7180" s="38">
        <v>12.2</v>
      </c>
      <c r="X7180" s="38">
        <v>16</v>
      </c>
      <c r="Y7180" s="38">
        <v>0.8</v>
      </c>
      <c r="Z7180" s="38">
        <v>6</v>
      </c>
      <c r="AA7180" s="38">
        <v>2.5</v>
      </c>
      <c r="AB7180" s="38">
        <v>3</v>
      </c>
    </row>
    <row r="7181" spans="1:28" x14ac:dyDescent="0.25">
      <c r="A7181" s="22">
        <v>45532</v>
      </c>
      <c r="B7181" s="38">
        <v>2</v>
      </c>
      <c r="C7181" s="38">
        <v>4.4000000000000004</v>
      </c>
      <c r="D7181" s="38">
        <v>1.4</v>
      </c>
      <c r="F7181" s="38">
        <v>2.6</v>
      </c>
      <c r="G7181" s="38">
        <v>16.5</v>
      </c>
      <c r="H7181" s="38">
        <v>18</v>
      </c>
      <c r="I7181" s="38">
        <v>23.8</v>
      </c>
      <c r="J7181" s="38">
        <v>20.8</v>
      </c>
      <c r="K7181" s="38">
        <v>14</v>
      </c>
      <c r="L7181" s="38">
        <v>5.3339999999999996</v>
      </c>
      <c r="M7181" s="38">
        <v>18</v>
      </c>
      <c r="N7181" s="38">
        <v>3.2</v>
      </c>
      <c r="P7181" s="38">
        <v>2</v>
      </c>
      <c r="Q7181" s="38">
        <v>0</v>
      </c>
      <c r="R7181" s="38">
        <v>13.1</v>
      </c>
      <c r="U7181" s="38">
        <v>7</v>
      </c>
      <c r="V7181" s="38">
        <v>11.3</v>
      </c>
      <c r="W7181" s="38">
        <v>11</v>
      </c>
      <c r="X7181" s="38">
        <v>5</v>
      </c>
      <c r="Y7181" s="38">
        <v>13.2</v>
      </c>
      <c r="Z7181" s="38">
        <v>10</v>
      </c>
      <c r="AA7181" s="38">
        <v>2</v>
      </c>
      <c r="AB7181" s="38">
        <v>3</v>
      </c>
    </row>
    <row r="7182" spans="1:28" x14ac:dyDescent="0.25">
      <c r="A7182" s="22">
        <v>45533</v>
      </c>
      <c r="B7182" s="38">
        <v>2</v>
      </c>
      <c r="C7182" s="38">
        <v>0.8</v>
      </c>
      <c r="D7182" s="38">
        <v>1.8</v>
      </c>
      <c r="F7182" s="38">
        <v>0</v>
      </c>
      <c r="G7182" s="38">
        <v>1</v>
      </c>
      <c r="H7182" s="38">
        <v>0</v>
      </c>
      <c r="I7182" s="38">
        <v>1</v>
      </c>
      <c r="J7182" s="38">
        <v>0.2</v>
      </c>
      <c r="K7182" s="38">
        <v>2</v>
      </c>
      <c r="L7182" s="38">
        <v>1.778</v>
      </c>
      <c r="M7182" s="38">
        <v>0</v>
      </c>
      <c r="N7182" s="38">
        <v>2.8000000000000003</v>
      </c>
      <c r="P7182" s="38">
        <v>0</v>
      </c>
      <c r="Q7182" s="38">
        <v>24.9</v>
      </c>
      <c r="R7182" s="38">
        <v>0</v>
      </c>
      <c r="U7182" s="38">
        <v>6</v>
      </c>
      <c r="V7182" s="38">
        <v>0</v>
      </c>
      <c r="W7182" s="38">
        <v>0</v>
      </c>
      <c r="X7182" s="38">
        <v>1</v>
      </c>
      <c r="Y7182" s="38">
        <v>0</v>
      </c>
      <c r="Z7182" s="38">
        <v>0</v>
      </c>
      <c r="AA7182" s="38">
        <v>2.5</v>
      </c>
      <c r="AB7182" s="38">
        <v>10</v>
      </c>
    </row>
    <row r="7183" spans="1:28" x14ac:dyDescent="0.25">
      <c r="A7183" s="22">
        <v>45534</v>
      </c>
      <c r="B7183" s="38">
        <v>13</v>
      </c>
      <c r="C7183" s="38">
        <v>4</v>
      </c>
      <c r="D7183" s="38">
        <v>4.5999999999999996</v>
      </c>
      <c r="F7183" s="38">
        <v>22</v>
      </c>
      <c r="G7183" s="38">
        <v>8</v>
      </c>
      <c r="H7183" s="38">
        <v>8</v>
      </c>
      <c r="I7183" s="38">
        <v>1.1000000000000001</v>
      </c>
      <c r="J7183" s="38">
        <v>6.2</v>
      </c>
      <c r="K7183" s="38">
        <v>10</v>
      </c>
      <c r="L7183" s="38">
        <v>9.9060000000000006</v>
      </c>
      <c r="M7183" s="38">
        <v>6</v>
      </c>
      <c r="N7183" s="38">
        <v>66.800000000000068</v>
      </c>
      <c r="P7183" s="38">
        <v>7</v>
      </c>
      <c r="Q7183" s="38">
        <v>54.4</v>
      </c>
      <c r="R7183" s="38">
        <v>5.7</v>
      </c>
      <c r="U7183" s="38">
        <v>32</v>
      </c>
      <c r="V7183" s="38">
        <v>5.4</v>
      </c>
      <c r="W7183" s="38">
        <v>0</v>
      </c>
      <c r="X7183" s="38">
        <v>23</v>
      </c>
      <c r="Y7183" s="38">
        <v>14</v>
      </c>
      <c r="Z7183" s="38">
        <v>16</v>
      </c>
      <c r="AA7183" s="38">
        <v>35</v>
      </c>
      <c r="AB7183" s="38">
        <v>10</v>
      </c>
    </row>
    <row r="7184" spans="1:28" x14ac:dyDescent="0.25">
      <c r="A7184" s="22">
        <v>45535</v>
      </c>
      <c r="B7184" s="38">
        <v>22</v>
      </c>
      <c r="C7184" s="38">
        <v>20.399999999999999</v>
      </c>
      <c r="D7184" s="38">
        <v>20.2</v>
      </c>
      <c r="F7184" s="38">
        <v>14.2</v>
      </c>
      <c r="G7184" s="38">
        <v>9</v>
      </c>
      <c r="H7184" s="38">
        <v>8</v>
      </c>
      <c r="I7184" s="38">
        <v>13.1</v>
      </c>
      <c r="J7184" s="38">
        <v>19.600000000000001</v>
      </c>
      <c r="K7184" s="38">
        <v>22</v>
      </c>
      <c r="L7184" s="38">
        <v>45.973999999999997</v>
      </c>
      <c r="M7184" s="38">
        <v>4.0999999999999996</v>
      </c>
      <c r="N7184" s="38">
        <v>0.4</v>
      </c>
      <c r="P7184" s="38">
        <v>46</v>
      </c>
      <c r="Q7184" s="38">
        <v>18.2</v>
      </c>
      <c r="R7184" s="38">
        <v>77</v>
      </c>
      <c r="U7184" s="38">
        <v>18</v>
      </c>
      <c r="V7184" s="38">
        <v>14.5</v>
      </c>
      <c r="W7184" s="38">
        <v>12.3</v>
      </c>
      <c r="X7184" s="38">
        <v>17</v>
      </c>
      <c r="Y7184" s="38">
        <v>11.2</v>
      </c>
      <c r="Z7184" s="38">
        <v>10</v>
      </c>
      <c r="AA7184" s="38">
        <v>13</v>
      </c>
      <c r="AB7184" s="38">
        <v>30</v>
      </c>
    </row>
    <row r="7185" spans="1:28" x14ac:dyDescent="0.25">
      <c r="A7185" s="22">
        <v>45536</v>
      </c>
      <c r="B7185" s="38">
        <v>1.5</v>
      </c>
      <c r="C7185" s="38">
        <v>8.4</v>
      </c>
      <c r="D7185" s="38">
        <v>0</v>
      </c>
      <c r="F7185" s="38">
        <v>2.2000000000000002</v>
      </c>
      <c r="G7185" s="38">
        <v>1.9</v>
      </c>
      <c r="H7185" s="38">
        <v>1.5</v>
      </c>
      <c r="I7185" s="38">
        <v>1.2</v>
      </c>
      <c r="J7185" s="38">
        <v>2</v>
      </c>
      <c r="K7185" s="38">
        <v>8.4</v>
      </c>
      <c r="L7185" s="38">
        <v>3.8099999999999996</v>
      </c>
      <c r="M7185" s="38">
        <v>2</v>
      </c>
      <c r="N7185" s="38">
        <v>22.000000000000004</v>
      </c>
      <c r="P7185" s="38">
        <v>0</v>
      </c>
      <c r="Q7185" s="38">
        <v>9.5</v>
      </c>
      <c r="R7185" s="38">
        <v>8.1999999999999993</v>
      </c>
      <c r="U7185" s="38">
        <v>11</v>
      </c>
      <c r="V7185" s="38">
        <v>0</v>
      </c>
      <c r="W7185" s="38">
        <v>0</v>
      </c>
      <c r="X7185" s="38">
        <v>0</v>
      </c>
      <c r="Y7185" s="38">
        <v>6</v>
      </c>
      <c r="Z7185" s="38">
        <v>8.5</v>
      </c>
      <c r="AA7185" s="38">
        <v>12</v>
      </c>
      <c r="AB7185" s="38">
        <v>12</v>
      </c>
    </row>
    <row r="7186" spans="1:28" x14ac:dyDescent="0.25">
      <c r="A7186" s="22">
        <v>45537</v>
      </c>
      <c r="B7186" s="38">
        <v>14.2</v>
      </c>
      <c r="C7186" s="38">
        <v>19.600000000000001</v>
      </c>
      <c r="D7186" s="38">
        <v>12</v>
      </c>
      <c r="F7186" s="38">
        <v>0</v>
      </c>
      <c r="G7186" s="38">
        <v>14</v>
      </c>
      <c r="H7186" s="38">
        <v>24.9</v>
      </c>
      <c r="I7186" s="38">
        <v>8.8000000000000007</v>
      </c>
      <c r="J7186" s="38">
        <v>25.6</v>
      </c>
      <c r="K7186" s="38">
        <v>18</v>
      </c>
      <c r="L7186" s="38">
        <v>14.477999999999998</v>
      </c>
      <c r="M7186" s="38">
        <v>17</v>
      </c>
      <c r="N7186" s="38">
        <v>0.2</v>
      </c>
      <c r="P7186" s="38">
        <v>0</v>
      </c>
      <c r="Q7186" s="38">
        <v>1.6</v>
      </c>
      <c r="R7186" s="38">
        <v>8.1</v>
      </c>
      <c r="U7186" s="38">
        <v>10</v>
      </c>
      <c r="V7186" s="38">
        <v>4.2</v>
      </c>
      <c r="W7186" s="38">
        <v>19</v>
      </c>
      <c r="X7186" s="38">
        <v>0</v>
      </c>
      <c r="Y7186" s="38">
        <v>8</v>
      </c>
      <c r="Z7186" s="38">
        <v>6</v>
      </c>
      <c r="AA7186" s="38">
        <v>7</v>
      </c>
      <c r="AB7186" s="38">
        <v>32</v>
      </c>
    </row>
    <row r="7187" spans="1:28" x14ac:dyDescent="0.25">
      <c r="A7187" s="22">
        <v>45538</v>
      </c>
      <c r="B7187" s="38">
        <v>2</v>
      </c>
      <c r="C7187" s="38">
        <v>2.4</v>
      </c>
      <c r="D7187" s="38">
        <v>8</v>
      </c>
      <c r="F7187" s="38">
        <v>0</v>
      </c>
      <c r="G7187" s="38">
        <v>0</v>
      </c>
      <c r="H7187" s="38">
        <v>1</v>
      </c>
      <c r="I7187" s="38">
        <v>3.4</v>
      </c>
      <c r="J7187" s="38">
        <v>0.1</v>
      </c>
      <c r="K7187" s="38">
        <v>0.4</v>
      </c>
      <c r="L7187" s="38">
        <v>3.0479999999999996</v>
      </c>
      <c r="M7187" s="38">
        <v>0</v>
      </c>
      <c r="N7187" s="38">
        <v>12.8</v>
      </c>
      <c r="P7187" s="38">
        <v>7</v>
      </c>
      <c r="Q7187" s="38">
        <v>1.1000000000000001</v>
      </c>
      <c r="R7187" s="38">
        <v>2.1</v>
      </c>
      <c r="U7187" s="38">
        <v>8</v>
      </c>
      <c r="V7187" s="38">
        <v>0.2</v>
      </c>
      <c r="W7187" s="38">
        <v>0</v>
      </c>
      <c r="X7187" s="38">
        <v>2</v>
      </c>
      <c r="Y7187" s="38">
        <v>0</v>
      </c>
      <c r="Z7187" s="38">
        <v>2</v>
      </c>
      <c r="AA7187" s="38">
        <v>1</v>
      </c>
      <c r="AB7187" s="38">
        <v>32</v>
      </c>
    </row>
    <row r="7188" spans="1:28" x14ac:dyDescent="0.25">
      <c r="A7188" s="22">
        <v>45539</v>
      </c>
      <c r="B7188" s="38">
        <v>1</v>
      </c>
      <c r="C7188" s="38">
        <v>8.8000000000000007</v>
      </c>
      <c r="D7188" s="38">
        <v>2</v>
      </c>
      <c r="F7188" s="38">
        <v>0</v>
      </c>
      <c r="G7188" s="38">
        <v>8.4</v>
      </c>
      <c r="H7188" s="38">
        <v>2</v>
      </c>
      <c r="I7188" s="38">
        <v>5.9</v>
      </c>
      <c r="J7188" s="38">
        <v>13</v>
      </c>
      <c r="K7188" s="38">
        <v>12.8</v>
      </c>
      <c r="L7188" s="38">
        <v>1.778</v>
      </c>
      <c r="M7188" s="38">
        <v>7</v>
      </c>
      <c r="N7188" s="38">
        <v>8.7999999999999989</v>
      </c>
      <c r="P7188" s="38">
        <v>0</v>
      </c>
      <c r="Q7188" s="38">
        <v>0</v>
      </c>
      <c r="R7188" s="38">
        <v>0</v>
      </c>
      <c r="U7188" s="38">
        <v>11</v>
      </c>
      <c r="V7188" s="38">
        <v>11.2</v>
      </c>
      <c r="W7188" s="38">
        <v>0</v>
      </c>
      <c r="X7188" s="38">
        <v>0</v>
      </c>
      <c r="Y7188" s="38">
        <v>7.2</v>
      </c>
      <c r="Z7188" s="38">
        <v>6</v>
      </c>
      <c r="AA7188" s="38">
        <v>5</v>
      </c>
      <c r="AB7188" s="38">
        <v>2</v>
      </c>
    </row>
    <row r="7189" spans="1:28" x14ac:dyDescent="0.25">
      <c r="A7189" s="22">
        <v>45540</v>
      </c>
      <c r="B7189" s="38">
        <v>0</v>
      </c>
      <c r="C7189" s="38">
        <v>0</v>
      </c>
      <c r="D7189" s="38">
        <v>0</v>
      </c>
      <c r="F7189" s="38">
        <v>0</v>
      </c>
      <c r="G7189" s="38">
        <v>2.5</v>
      </c>
      <c r="H7189" s="38">
        <v>1.6</v>
      </c>
      <c r="I7189" s="38">
        <v>0.1</v>
      </c>
      <c r="J7189" s="38">
        <v>1</v>
      </c>
      <c r="K7189" s="38">
        <v>2</v>
      </c>
      <c r="L7189" s="38">
        <v>1.016</v>
      </c>
      <c r="M7189" s="38">
        <v>5.2</v>
      </c>
      <c r="N7189" s="38">
        <v>2.4000000000000004</v>
      </c>
      <c r="P7189" s="38">
        <v>4</v>
      </c>
      <c r="Q7189" s="38">
        <v>0</v>
      </c>
      <c r="R7189" s="38">
        <v>0</v>
      </c>
      <c r="U7189" s="38">
        <v>0</v>
      </c>
      <c r="V7189" s="38">
        <v>0</v>
      </c>
      <c r="W7189" s="38">
        <v>0</v>
      </c>
      <c r="X7189" s="38">
        <v>4</v>
      </c>
      <c r="Y7189" s="38">
        <v>0</v>
      </c>
      <c r="Z7189" s="38">
        <v>0.2</v>
      </c>
      <c r="AA7189" s="38">
        <v>2</v>
      </c>
      <c r="AB7189" s="38">
        <v>0</v>
      </c>
    </row>
    <row r="7190" spans="1:28" x14ac:dyDescent="0.25">
      <c r="A7190" s="22">
        <v>45541</v>
      </c>
      <c r="B7190" s="38">
        <v>0</v>
      </c>
      <c r="C7190" s="38">
        <v>0</v>
      </c>
      <c r="D7190" s="38">
        <v>0</v>
      </c>
      <c r="F7190" s="38">
        <v>0</v>
      </c>
      <c r="G7190" s="38">
        <v>0</v>
      </c>
      <c r="H7190" s="38">
        <v>0</v>
      </c>
      <c r="I7190" s="38">
        <v>0</v>
      </c>
      <c r="J7190" s="38">
        <v>0</v>
      </c>
      <c r="K7190" s="38">
        <v>0.4</v>
      </c>
      <c r="L7190" s="38">
        <v>0.7619999999999999</v>
      </c>
      <c r="M7190" s="38">
        <v>0</v>
      </c>
      <c r="N7190" s="38">
        <v>0</v>
      </c>
      <c r="P7190" s="38">
        <v>0</v>
      </c>
      <c r="Q7190" s="38">
        <v>0</v>
      </c>
      <c r="R7190" s="38">
        <v>1</v>
      </c>
      <c r="U7190" s="38">
        <v>0</v>
      </c>
      <c r="V7190" s="38">
        <v>0</v>
      </c>
      <c r="W7190" s="38">
        <v>0</v>
      </c>
      <c r="X7190" s="38">
        <v>0</v>
      </c>
      <c r="Y7190" s="38">
        <v>0</v>
      </c>
      <c r="Z7190" s="38">
        <v>0</v>
      </c>
      <c r="AA7190" s="38">
        <v>4</v>
      </c>
      <c r="AB7190" s="38">
        <v>0</v>
      </c>
    </row>
    <row r="7191" spans="1:28" x14ac:dyDescent="0.25">
      <c r="A7191" s="22">
        <v>45542</v>
      </c>
      <c r="B7191" s="38">
        <v>0</v>
      </c>
      <c r="C7191" s="38">
        <v>0</v>
      </c>
      <c r="D7191" s="38">
        <v>0</v>
      </c>
      <c r="F7191" s="38">
        <v>0</v>
      </c>
      <c r="G7191" s="38">
        <v>0</v>
      </c>
      <c r="H7191" s="38">
        <v>0</v>
      </c>
      <c r="I7191" s="38">
        <v>0</v>
      </c>
      <c r="J7191" s="38">
        <v>0</v>
      </c>
      <c r="K7191" s="38">
        <v>0.4</v>
      </c>
      <c r="L7191" s="38">
        <v>0</v>
      </c>
      <c r="M7191" s="38">
        <v>0</v>
      </c>
      <c r="N7191" s="38">
        <v>0</v>
      </c>
      <c r="P7191" s="38">
        <v>0</v>
      </c>
      <c r="Q7191" s="38">
        <v>0</v>
      </c>
      <c r="R7191" s="38">
        <v>0</v>
      </c>
      <c r="U7191" s="38">
        <v>0</v>
      </c>
      <c r="V7191" s="38">
        <v>0</v>
      </c>
      <c r="W7191" s="38">
        <v>0</v>
      </c>
      <c r="X7191" s="38">
        <v>0</v>
      </c>
      <c r="Y7191" s="38">
        <v>0</v>
      </c>
      <c r="Z7191" s="38">
        <v>0</v>
      </c>
      <c r="AA7191" s="38">
        <v>0</v>
      </c>
      <c r="AB7191" s="38">
        <v>0</v>
      </c>
    </row>
    <row r="7192" spans="1:28" x14ac:dyDescent="0.25">
      <c r="A7192" s="22">
        <v>45543</v>
      </c>
      <c r="B7192" s="38">
        <v>0</v>
      </c>
      <c r="C7192" s="38">
        <v>4</v>
      </c>
      <c r="D7192" s="38">
        <v>0</v>
      </c>
      <c r="F7192" s="38">
        <v>11.3</v>
      </c>
      <c r="G7192" s="38">
        <v>16</v>
      </c>
      <c r="H7192" s="38">
        <v>24.1</v>
      </c>
      <c r="I7192" s="38">
        <v>0</v>
      </c>
      <c r="J7192" s="38">
        <v>6.2</v>
      </c>
      <c r="K7192" s="38">
        <v>3</v>
      </c>
      <c r="L7192" s="38">
        <v>1.016</v>
      </c>
      <c r="M7192" s="38">
        <v>11</v>
      </c>
      <c r="N7192" s="38">
        <v>6.8000000000000007</v>
      </c>
      <c r="P7192" s="38">
        <v>0</v>
      </c>
      <c r="Q7192" s="38">
        <v>0.3</v>
      </c>
      <c r="R7192" s="38">
        <v>0</v>
      </c>
      <c r="U7192" s="38">
        <v>7</v>
      </c>
      <c r="V7192" s="38">
        <v>2.2000000000000002</v>
      </c>
      <c r="W7192" s="38">
        <v>0</v>
      </c>
      <c r="X7192" s="38">
        <v>2</v>
      </c>
      <c r="Y7192" s="38">
        <v>0.2</v>
      </c>
      <c r="Z7192" s="38">
        <v>1.5</v>
      </c>
      <c r="AA7192" s="38">
        <v>3</v>
      </c>
      <c r="AB7192" s="38">
        <v>0</v>
      </c>
    </row>
    <row r="7193" spans="1:28" x14ac:dyDescent="0.25">
      <c r="A7193" s="22">
        <v>45544</v>
      </c>
      <c r="B7193" s="38">
        <v>0</v>
      </c>
      <c r="C7193" s="38">
        <v>0</v>
      </c>
      <c r="D7193" s="38">
        <v>1.2</v>
      </c>
      <c r="F7193" s="38">
        <v>0.8</v>
      </c>
      <c r="G7193" s="38">
        <v>26</v>
      </c>
      <c r="H7193" s="38">
        <v>24</v>
      </c>
      <c r="I7193" s="38">
        <v>21.6</v>
      </c>
      <c r="J7193" s="38">
        <v>15.8</v>
      </c>
      <c r="K7193" s="38">
        <v>8.6</v>
      </c>
      <c r="L7193" s="38">
        <v>12.953999999999999</v>
      </c>
      <c r="M7193" s="38">
        <v>5</v>
      </c>
      <c r="N7193" s="38">
        <v>43.599999999999994</v>
      </c>
      <c r="P7193" s="38">
        <v>0</v>
      </c>
      <c r="Q7193" s="38">
        <v>40.700000000000003</v>
      </c>
      <c r="R7193" s="38">
        <v>45.2</v>
      </c>
      <c r="U7193" s="38">
        <v>8</v>
      </c>
      <c r="V7193" s="38">
        <v>11.3</v>
      </c>
      <c r="W7193" s="38">
        <v>12</v>
      </c>
      <c r="X7193" s="38">
        <v>5</v>
      </c>
      <c r="Y7193" s="38">
        <v>16</v>
      </c>
      <c r="Z7193" s="38">
        <v>20</v>
      </c>
      <c r="AA7193" s="38">
        <v>7</v>
      </c>
      <c r="AB7193" s="38">
        <v>0</v>
      </c>
    </row>
    <row r="7194" spans="1:28" x14ac:dyDescent="0.25">
      <c r="A7194" s="22">
        <v>45545</v>
      </c>
      <c r="B7194" s="38">
        <v>51</v>
      </c>
      <c r="C7194" s="38">
        <v>20.8</v>
      </c>
      <c r="D7194" s="38">
        <v>10</v>
      </c>
      <c r="F7194" s="38">
        <v>61</v>
      </c>
      <c r="G7194" s="38">
        <v>28</v>
      </c>
      <c r="H7194" s="38">
        <v>31.9</v>
      </c>
      <c r="I7194" s="38">
        <v>29.3</v>
      </c>
      <c r="J7194" s="38">
        <v>15.8</v>
      </c>
      <c r="K7194" s="38">
        <v>8.6</v>
      </c>
      <c r="L7194" s="38">
        <v>0.7619999999999999</v>
      </c>
      <c r="M7194" s="38">
        <v>34</v>
      </c>
      <c r="N7194" s="38">
        <v>0</v>
      </c>
      <c r="P7194" s="38">
        <v>44</v>
      </c>
      <c r="Q7194" s="38">
        <v>0</v>
      </c>
      <c r="R7194" s="38">
        <v>11.1</v>
      </c>
      <c r="U7194" s="38">
        <v>24</v>
      </c>
      <c r="V7194" s="38">
        <v>11.3</v>
      </c>
      <c r="W7194" s="38">
        <v>12</v>
      </c>
      <c r="X7194" s="38">
        <v>36</v>
      </c>
      <c r="Y7194" s="38">
        <v>32</v>
      </c>
      <c r="Z7194" s="38">
        <v>30</v>
      </c>
      <c r="AA7194" s="38">
        <v>42</v>
      </c>
      <c r="AB7194" s="38">
        <v>40</v>
      </c>
    </row>
    <row r="7195" spans="1:28" x14ac:dyDescent="0.25">
      <c r="A7195" s="22">
        <v>45546</v>
      </c>
      <c r="B7195" s="38">
        <v>6</v>
      </c>
      <c r="C7195" s="38">
        <v>0.4</v>
      </c>
      <c r="D7195" s="38">
        <v>0</v>
      </c>
      <c r="F7195" s="38">
        <v>0</v>
      </c>
      <c r="G7195" s="38">
        <v>0.5</v>
      </c>
      <c r="H7195" s="38">
        <v>0</v>
      </c>
      <c r="I7195" s="38">
        <v>0.2</v>
      </c>
      <c r="J7195" s="38">
        <v>0</v>
      </c>
      <c r="K7195" s="38">
        <v>0</v>
      </c>
      <c r="L7195" s="38">
        <v>4.0640000000000001</v>
      </c>
      <c r="M7195" s="38">
        <v>0</v>
      </c>
      <c r="N7195" s="38">
        <v>1.4</v>
      </c>
      <c r="P7195" s="38">
        <v>0</v>
      </c>
      <c r="Q7195" s="38">
        <v>16</v>
      </c>
      <c r="R7195" s="38">
        <v>0</v>
      </c>
      <c r="U7195" s="38">
        <v>0</v>
      </c>
      <c r="V7195" s="38">
        <v>0</v>
      </c>
      <c r="W7195" s="38">
        <v>0</v>
      </c>
      <c r="X7195" s="38">
        <v>0</v>
      </c>
      <c r="Y7195" s="38">
        <v>0</v>
      </c>
      <c r="Z7195" s="38">
        <v>2</v>
      </c>
      <c r="AA7195" s="38">
        <v>2</v>
      </c>
      <c r="AB7195" s="38">
        <v>0</v>
      </c>
    </row>
    <row r="7196" spans="1:28" x14ac:dyDescent="0.25">
      <c r="A7196" s="22">
        <v>45547</v>
      </c>
      <c r="B7196" s="38">
        <v>1</v>
      </c>
      <c r="C7196" s="38">
        <v>0</v>
      </c>
      <c r="D7196" s="38">
        <v>0</v>
      </c>
      <c r="F7196" s="38">
        <v>0</v>
      </c>
      <c r="G7196" s="38">
        <v>0</v>
      </c>
      <c r="H7196" s="38">
        <v>0</v>
      </c>
      <c r="I7196" s="38">
        <v>1.6</v>
      </c>
      <c r="J7196" s="38">
        <v>2</v>
      </c>
      <c r="K7196" s="38">
        <v>0.8</v>
      </c>
      <c r="L7196" s="38">
        <v>11.176</v>
      </c>
      <c r="M7196" s="38">
        <v>0</v>
      </c>
      <c r="N7196" s="38">
        <v>11.600000000000001</v>
      </c>
      <c r="P7196" s="38">
        <v>6</v>
      </c>
      <c r="Q7196" s="38">
        <v>27</v>
      </c>
      <c r="R7196" s="38">
        <v>6</v>
      </c>
      <c r="U7196" s="38">
        <v>0</v>
      </c>
      <c r="V7196" s="38">
        <v>0</v>
      </c>
      <c r="W7196" s="38">
        <v>2.2000000000000002</v>
      </c>
      <c r="X7196" s="38">
        <v>21</v>
      </c>
      <c r="Y7196" s="38">
        <v>0</v>
      </c>
      <c r="Z7196" s="38">
        <v>0.5</v>
      </c>
      <c r="AA7196" s="38">
        <v>17</v>
      </c>
      <c r="AB7196" s="38">
        <v>3</v>
      </c>
    </row>
    <row r="7197" spans="1:28" x14ac:dyDescent="0.25">
      <c r="A7197" s="22">
        <v>45548</v>
      </c>
      <c r="B7197" s="38">
        <v>24</v>
      </c>
      <c r="C7197" s="38">
        <v>30.8</v>
      </c>
      <c r="D7197" s="38">
        <v>15.2</v>
      </c>
      <c r="F7197" s="38">
        <v>34.6</v>
      </c>
      <c r="G7197" s="38">
        <v>33.5</v>
      </c>
      <c r="H7197" s="38">
        <v>59.6</v>
      </c>
      <c r="I7197" s="38">
        <v>16.100000000000001</v>
      </c>
      <c r="J7197" s="38">
        <v>43.8</v>
      </c>
      <c r="K7197" s="38">
        <v>34.799999999999997</v>
      </c>
      <c r="L7197" s="38">
        <v>4.3180000000000005</v>
      </c>
      <c r="M7197" s="38">
        <v>25.6</v>
      </c>
      <c r="N7197" s="38">
        <v>18.399999999999995</v>
      </c>
      <c r="P7197" s="38">
        <v>10</v>
      </c>
      <c r="Q7197" s="38">
        <v>2.5</v>
      </c>
      <c r="R7197" s="38">
        <v>16.100000000000001</v>
      </c>
      <c r="U7197" s="38">
        <v>44</v>
      </c>
      <c r="V7197" s="38">
        <v>31.2</v>
      </c>
      <c r="W7197" s="38">
        <v>25</v>
      </c>
      <c r="X7197" s="38">
        <v>29</v>
      </c>
      <c r="Y7197" s="38">
        <v>32</v>
      </c>
      <c r="Z7197" s="38">
        <v>30</v>
      </c>
      <c r="AA7197" s="38">
        <v>46</v>
      </c>
      <c r="AB7197" s="38">
        <v>16</v>
      </c>
    </row>
    <row r="7198" spans="1:28" x14ac:dyDescent="0.25">
      <c r="A7198" s="22">
        <v>45549</v>
      </c>
      <c r="B7198" s="38">
        <v>10</v>
      </c>
      <c r="C7198" s="38">
        <v>1.2</v>
      </c>
      <c r="D7198" s="38">
        <v>0</v>
      </c>
      <c r="F7198" s="38">
        <v>19.2</v>
      </c>
      <c r="G7198" s="38">
        <v>4.5</v>
      </c>
      <c r="H7198" s="38">
        <v>0</v>
      </c>
      <c r="I7198" s="38">
        <v>2</v>
      </c>
      <c r="J7198" s="38">
        <v>8.1999999999999993</v>
      </c>
      <c r="K7198" s="38">
        <v>2</v>
      </c>
      <c r="L7198" s="38">
        <v>2.032</v>
      </c>
      <c r="M7198" s="38">
        <v>0</v>
      </c>
      <c r="N7198" s="38">
        <v>1.4</v>
      </c>
      <c r="P7198" s="38">
        <v>2</v>
      </c>
      <c r="Q7198" s="38">
        <v>19.100000000000001</v>
      </c>
      <c r="R7198" s="38">
        <v>0</v>
      </c>
      <c r="U7198" s="38">
        <v>0</v>
      </c>
      <c r="V7198" s="38">
        <v>31.2</v>
      </c>
      <c r="W7198" s="38">
        <v>6.1</v>
      </c>
      <c r="X7198" s="38">
        <v>1</v>
      </c>
      <c r="Y7198" s="38">
        <v>0</v>
      </c>
      <c r="Z7198" s="38">
        <v>3</v>
      </c>
      <c r="AA7198" s="38">
        <v>5</v>
      </c>
      <c r="AB7198" s="38">
        <v>13</v>
      </c>
    </row>
    <row r="7199" spans="1:28" x14ac:dyDescent="0.25">
      <c r="A7199" s="22">
        <v>45550</v>
      </c>
      <c r="C7199" s="38">
        <v>10.4</v>
      </c>
      <c r="D7199" s="38">
        <v>4</v>
      </c>
      <c r="F7199" s="38">
        <v>0</v>
      </c>
      <c r="G7199" s="38">
        <v>14.9</v>
      </c>
      <c r="H7199" s="38">
        <v>19</v>
      </c>
      <c r="I7199" s="38">
        <v>9.1</v>
      </c>
      <c r="J7199" s="38">
        <v>19.8</v>
      </c>
      <c r="K7199" s="38">
        <v>11.8</v>
      </c>
      <c r="L7199" s="38">
        <v>0</v>
      </c>
      <c r="M7199" s="38">
        <v>4.8</v>
      </c>
      <c r="N7199" s="38">
        <v>14.799999999999997</v>
      </c>
      <c r="P7199" s="38">
        <v>4</v>
      </c>
      <c r="Q7199" s="38">
        <v>0</v>
      </c>
      <c r="R7199" s="38">
        <v>15.9</v>
      </c>
      <c r="U7199" s="38">
        <v>14</v>
      </c>
      <c r="V7199" s="38">
        <v>0</v>
      </c>
      <c r="W7199" s="38">
        <v>10</v>
      </c>
      <c r="X7199" s="38">
        <v>17</v>
      </c>
      <c r="Y7199" s="38">
        <v>12</v>
      </c>
      <c r="Z7199" s="38">
        <v>12.5</v>
      </c>
      <c r="AA7199" s="38">
        <v>13</v>
      </c>
      <c r="AB7199" s="38">
        <v>46</v>
      </c>
    </row>
    <row r="7200" spans="1:28" x14ac:dyDescent="0.25">
      <c r="A7200" s="22">
        <v>45551</v>
      </c>
      <c r="B7200" s="38">
        <v>12</v>
      </c>
      <c r="C7200" s="38">
        <v>0</v>
      </c>
      <c r="D7200" s="38">
        <v>0</v>
      </c>
      <c r="F7200" s="38">
        <v>0</v>
      </c>
      <c r="G7200" s="38">
        <v>0</v>
      </c>
      <c r="H7200" s="38">
        <v>0</v>
      </c>
      <c r="I7200" s="38">
        <v>1.2</v>
      </c>
      <c r="J7200" s="38">
        <v>0.2</v>
      </c>
      <c r="K7200" s="38">
        <v>1</v>
      </c>
      <c r="L7200" s="38">
        <v>2.032</v>
      </c>
      <c r="M7200" s="38">
        <v>0</v>
      </c>
      <c r="N7200" s="38">
        <v>2.4</v>
      </c>
      <c r="P7200" s="38">
        <v>4</v>
      </c>
      <c r="Q7200" s="38">
        <v>3.9</v>
      </c>
      <c r="R7200" s="38">
        <v>0</v>
      </c>
      <c r="V7200" s="38">
        <v>0</v>
      </c>
      <c r="X7200" s="38">
        <v>0</v>
      </c>
      <c r="Y7200" s="38">
        <v>0</v>
      </c>
      <c r="Z7200" s="38">
        <v>0</v>
      </c>
      <c r="AA7200" s="38">
        <v>7</v>
      </c>
      <c r="AB7200" s="38">
        <v>7</v>
      </c>
    </row>
    <row r="7201" spans="1:28" x14ac:dyDescent="0.25">
      <c r="A7201" s="22">
        <v>45552</v>
      </c>
      <c r="B7201" s="38">
        <v>17.5</v>
      </c>
      <c r="C7201" s="38">
        <v>2</v>
      </c>
      <c r="D7201" s="38">
        <v>1.6</v>
      </c>
      <c r="F7201" s="38">
        <v>5.2</v>
      </c>
      <c r="G7201" s="38">
        <v>7.5</v>
      </c>
      <c r="H7201" s="38">
        <v>4.3</v>
      </c>
      <c r="I7201" s="38">
        <v>7</v>
      </c>
      <c r="J7201" s="38">
        <v>8</v>
      </c>
      <c r="K7201" s="38">
        <v>6</v>
      </c>
      <c r="L7201" s="38">
        <v>8.3819999999999997</v>
      </c>
      <c r="M7201" s="38">
        <v>8</v>
      </c>
      <c r="N7201" s="38">
        <v>9</v>
      </c>
      <c r="P7201" s="38">
        <v>7</v>
      </c>
      <c r="Q7201" s="38">
        <v>0</v>
      </c>
      <c r="R7201" s="38">
        <v>2.9</v>
      </c>
      <c r="U7201" s="38">
        <v>9</v>
      </c>
      <c r="V7201" s="38">
        <v>6.5</v>
      </c>
      <c r="W7201" s="38">
        <v>8.1999999999999993</v>
      </c>
      <c r="X7201" s="38">
        <v>3</v>
      </c>
      <c r="Y7201" s="38">
        <v>0.4</v>
      </c>
      <c r="Z7201" s="38">
        <v>0</v>
      </c>
      <c r="AA7201" s="38">
        <v>5</v>
      </c>
      <c r="AB7201" s="38">
        <v>4</v>
      </c>
    </row>
    <row r="7202" spans="1:28" x14ac:dyDescent="0.25">
      <c r="A7202" s="22">
        <v>45553</v>
      </c>
      <c r="B7202" s="38">
        <v>0</v>
      </c>
      <c r="C7202" s="38">
        <v>0</v>
      </c>
      <c r="D7202" s="38">
        <v>0</v>
      </c>
      <c r="F7202" s="38">
        <v>0</v>
      </c>
      <c r="G7202" s="38">
        <v>1.5</v>
      </c>
      <c r="H7202" s="38">
        <v>0</v>
      </c>
      <c r="I7202" s="38">
        <v>2.8</v>
      </c>
      <c r="J7202" s="38">
        <v>0</v>
      </c>
      <c r="K7202" s="38">
        <v>0</v>
      </c>
      <c r="L7202" s="38">
        <v>0</v>
      </c>
      <c r="M7202" s="38">
        <v>0.8</v>
      </c>
      <c r="N7202" s="38">
        <v>8</v>
      </c>
      <c r="P7202" s="38">
        <v>0</v>
      </c>
      <c r="Q7202" s="38">
        <v>40.200000000000003</v>
      </c>
      <c r="R7202" s="38">
        <v>0</v>
      </c>
      <c r="U7202" s="38">
        <v>0</v>
      </c>
      <c r="V7202" s="38">
        <v>0</v>
      </c>
      <c r="W7202" s="38">
        <v>0</v>
      </c>
      <c r="X7202" s="38">
        <v>0</v>
      </c>
      <c r="Y7202" s="38">
        <v>0</v>
      </c>
      <c r="Z7202" s="38">
        <v>0</v>
      </c>
      <c r="AA7202" s="38">
        <v>0</v>
      </c>
      <c r="AB7202" s="38">
        <v>2</v>
      </c>
    </row>
    <row r="7203" spans="1:28" x14ac:dyDescent="0.25">
      <c r="A7203" s="22">
        <v>45554</v>
      </c>
      <c r="B7203" s="38">
        <v>30</v>
      </c>
      <c r="C7203" s="38">
        <v>14.4</v>
      </c>
      <c r="D7203" s="38">
        <v>14.6</v>
      </c>
      <c r="F7203" s="38">
        <v>9</v>
      </c>
      <c r="G7203" s="38">
        <v>82.06</v>
      </c>
      <c r="H7203" s="38">
        <v>16.899999999999999</v>
      </c>
      <c r="I7203" s="38">
        <v>51</v>
      </c>
      <c r="J7203" s="38">
        <v>52</v>
      </c>
      <c r="K7203" s="38">
        <v>22</v>
      </c>
      <c r="L7203" s="38">
        <v>11.937999999999999</v>
      </c>
      <c r="M7203" s="38">
        <v>43.8</v>
      </c>
      <c r="N7203" s="38">
        <v>1.5999999999999999</v>
      </c>
      <c r="P7203" s="38">
        <v>22</v>
      </c>
      <c r="Q7203" s="38">
        <v>0</v>
      </c>
      <c r="R7203" s="38">
        <v>24</v>
      </c>
      <c r="U7203" s="38">
        <v>16</v>
      </c>
      <c r="V7203" s="38">
        <v>50.8</v>
      </c>
      <c r="W7203" s="38">
        <v>37.200000000000003</v>
      </c>
      <c r="X7203" s="38">
        <v>33</v>
      </c>
      <c r="Y7203" s="38">
        <v>0.8</v>
      </c>
      <c r="Z7203" s="38">
        <v>12</v>
      </c>
      <c r="AA7203" s="38">
        <v>0</v>
      </c>
      <c r="AB7203" s="38">
        <v>49</v>
      </c>
    </row>
    <row r="7204" spans="1:28" x14ac:dyDescent="0.25">
      <c r="A7204" s="22">
        <v>45555</v>
      </c>
      <c r="B7204" s="38">
        <v>0</v>
      </c>
      <c r="C7204" s="38">
        <v>0</v>
      </c>
      <c r="D7204" s="38">
        <v>0</v>
      </c>
      <c r="F7204" s="38">
        <v>0</v>
      </c>
      <c r="G7204" s="38">
        <v>0</v>
      </c>
      <c r="H7204" s="38">
        <v>0</v>
      </c>
      <c r="I7204" s="38">
        <v>17</v>
      </c>
      <c r="J7204" s="38">
        <v>0</v>
      </c>
      <c r="K7204" s="38">
        <v>0</v>
      </c>
      <c r="L7204" s="38">
        <v>0</v>
      </c>
      <c r="M7204" s="38">
        <v>0</v>
      </c>
      <c r="N7204" s="38">
        <v>0</v>
      </c>
      <c r="P7204" s="38">
        <v>0</v>
      </c>
      <c r="Q7204" s="38">
        <v>0</v>
      </c>
      <c r="R7204" s="38">
        <v>0</v>
      </c>
      <c r="U7204" s="38">
        <v>0</v>
      </c>
      <c r="V7204" s="38">
        <v>0</v>
      </c>
      <c r="W7204" s="38">
        <v>0</v>
      </c>
      <c r="X7204" s="38">
        <v>0</v>
      </c>
      <c r="Y7204" s="38">
        <v>0</v>
      </c>
      <c r="Z7204" s="38">
        <v>0</v>
      </c>
      <c r="AA7204" s="38">
        <v>0</v>
      </c>
      <c r="AB7204" s="38">
        <v>0</v>
      </c>
    </row>
    <row r="7205" spans="1:28" x14ac:dyDescent="0.25">
      <c r="A7205" s="22">
        <v>45556</v>
      </c>
      <c r="B7205" s="38">
        <v>0</v>
      </c>
      <c r="C7205" s="38">
        <v>0</v>
      </c>
      <c r="D7205" s="38">
        <v>0</v>
      </c>
      <c r="F7205" s="38">
        <v>0</v>
      </c>
      <c r="G7205" s="38">
        <v>0</v>
      </c>
      <c r="H7205" s="38">
        <v>0</v>
      </c>
      <c r="I7205" s="38">
        <v>0.1</v>
      </c>
      <c r="J7205" s="38">
        <v>0</v>
      </c>
      <c r="K7205" s="38">
        <v>0</v>
      </c>
      <c r="L7205" s="38">
        <v>0</v>
      </c>
      <c r="M7205" s="38">
        <v>0</v>
      </c>
      <c r="N7205" s="38">
        <v>0</v>
      </c>
      <c r="P7205" s="38">
        <v>0</v>
      </c>
      <c r="Q7205" s="38">
        <v>0</v>
      </c>
      <c r="R7205" s="38">
        <v>0</v>
      </c>
      <c r="U7205" s="38">
        <v>0</v>
      </c>
      <c r="V7205" s="38">
        <v>0</v>
      </c>
      <c r="W7205" s="38">
        <v>0</v>
      </c>
      <c r="X7205" s="38">
        <v>0</v>
      </c>
      <c r="Y7205" s="38">
        <v>0</v>
      </c>
      <c r="Z7205" s="38">
        <v>0</v>
      </c>
      <c r="AA7205" s="38">
        <v>0</v>
      </c>
      <c r="AB7205" s="38">
        <v>4</v>
      </c>
    </row>
    <row r="7206" spans="1:28" x14ac:dyDescent="0.25">
      <c r="A7206" s="22">
        <v>45557</v>
      </c>
      <c r="B7206" s="38">
        <v>0</v>
      </c>
      <c r="C7206" s="38">
        <v>0</v>
      </c>
      <c r="D7206" s="38">
        <v>0</v>
      </c>
      <c r="F7206" s="38">
        <v>0</v>
      </c>
      <c r="G7206" s="38">
        <v>1.5</v>
      </c>
      <c r="H7206" s="38">
        <v>0</v>
      </c>
      <c r="I7206" s="38">
        <v>0</v>
      </c>
      <c r="J7206" s="38">
        <v>0</v>
      </c>
      <c r="K7206" s="38">
        <v>0</v>
      </c>
      <c r="L7206" s="38">
        <v>0</v>
      </c>
      <c r="M7206" s="38">
        <v>0</v>
      </c>
      <c r="N7206" s="38">
        <v>0</v>
      </c>
      <c r="P7206" s="38">
        <v>0</v>
      </c>
      <c r="Q7206" s="38">
        <v>1.1000000000000001</v>
      </c>
      <c r="R7206" s="38">
        <v>1.5</v>
      </c>
      <c r="U7206" s="38">
        <v>0</v>
      </c>
      <c r="V7206" s="38">
        <v>0</v>
      </c>
      <c r="W7206" s="38">
        <v>0</v>
      </c>
      <c r="X7206" s="38">
        <v>0</v>
      </c>
      <c r="Y7206" s="38">
        <v>0</v>
      </c>
      <c r="Z7206" s="38">
        <v>0</v>
      </c>
      <c r="AA7206" s="38">
        <v>0</v>
      </c>
      <c r="AB7206" s="38">
        <v>0</v>
      </c>
    </row>
    <row r="7207" spans="1:28" x14ac:dyDescent="0.25">
      <c r="A7207" s="22">
        <v>45558</v>
      </c>
      <c r="B7207" s="38">
        <v>0</v>
      </c>
      <c r="C7207" s="38">
        <v>0</v>
      </c>
      <c r="D7207" s="38">
        <v>1</v>
      </c>
      <c r="F7207" s="38">
        <v>0</v>
      </c>
      <c r="G7207" s="38">
        <v>2</v>
      </c>
      <c r="H7207" s="38">
        <v>0</v>
      </c>
      <c r="I7207" s="38">
        <v>0</v>
      </c>
      <c r="J7207" s="38">
        <v>1</v>
      </c>
      <c r="K7207" s="38">
        <v>2</v>
      </c>
      <c r="L7207" s="38">
        <v>0</v>
      </c>
      <c r="M7207" s="38">
        <v>1</v>
      </c>
      <c r="N7207" s="38">
        <v>1</v>
      </c>
      <c r="P7207" s="38">
        <v>0</v>
      </c>
      <c r="Q7207" s="38">
        <v>0</v>
      </c>
      <c r="R7207" s="38">
        <v>0</v>
      </c>
      <c r="U7207" s="38">
        <v>0</v>
      </c>
      <c r="V7207" s="38">
        <v>0</v>
      </c>
      <c r="W7207" s="38">
        <v>0</v>
      </c>
      <c r="X7207" s="38">
        <v>0</v>
      </c>
      <c r="Y7207" s="38">
        <v>0</v>
      </c>
      <c r="Z7207" s="38">
        <v>0</v>
      </c>
      <c r="AA7207" s="38">
        <v>8</v>
      </c>
      <c r="AB7207" s="38">
        <v>0</v>
      </c>
    </row>
    <row r="7208" spans="1:28" x14ac:dyDescent="0.25">
      <c r="A7208" s="22">
        <v>45559</v>
      </c>
      <c r="B7208" s="38">
        <v>2</v>
      </c>
      <c r="C7208" s="38">
        <v>2.4</v>
      </c>
      <c r="D7208" s="38">
        <v>0.2</v>
      </c>
      <c r="F7208" s="38">
        <v>0</v>
      </c>
      <c r="G7208" s="38">
        <v>3</v>
      </c>
      <c r="H7208" s="38">
        <v>0.9</v>
      </c>
      <c r="I7208" s="38">
        <v>3.1</v>
      </c>
      <c r="J7208" s="38">
        <v>1.8</v>
      </c>
      <c r="K7208" s="38">
        <v>1.8</v>
      </c>
      <c r="L7208" s="38">
        <v>0.50800000000000001</v>
      </c>
      <c r="M7208" s="38">
        <v>1.7</v>
      </c>
      <c r="N7208" s="38">
        <v>2</v>
      </c>
      <c r="P7208" s="38">
        <v>5</v>
      </c>
      <c r="Q7208" s="38">
        <v>0</v>
      </c>
      <c r="R7208" s="38">
        <v>0</v>
      </c>
      <c r="U7208" s="38">
        <v>0</v>
      </c>
      <c r="V7208" s="38">
        <v>0</v>
      </c>
      <c r="W7208" s="38">
        <v>4.4000000000000004</v>
      </c>
      <c r="X7208" s="38">
        <v>0</v>
      </c>
      <c r="Y7208" s="38">
        <v>0.2</v>
      </c>
      <c r="Z7208" s="38">
        <v>0</v>
      </c>
      <c r="AA7208" s="38">
        <v>0</v>
      </c>
      <c r="AB7208" s="38">
        <v>10</v>
      </c>
    </row>
    <row r="7209" spans="1:28" x14ac:dyDescent="0.25">
      <c r="A7209" s="22">
        <v>45560</v>
      </c>
      <c r="B7209" s="38">
        <v>5</v>
      </c>
      <c r="C7209" s="38">
        <v>3.6</v>
      </c>
      <c r="D7209" s="38">
        <v>1.4</v>
      </c>
      <c r="F7209" s="38">
        <v>2.2000000000000002</v>
      </c>
      <c r="G7209" s="38">
        <v>18</v>
      </c>
      <c r="H7209" s="38">
        <v>1</v>
      </c>
      <c r="I7209" s="38">
        <v>15</v>
      </c>
      <c r="J7209" s="38">
        <v>8.8000000000000007</v>
      </c>
      <c r="K7209" s="38">
        <v>9.1999999999999993</v>
      </c>
      <c r="L7209" s="38">
        <v>1.5239999999999998</v>
      </c>
      <c r="M7209" s="38">
        <v>10</v>
      </c>
      <c r="N7209" s="38">
        <v>10.199999999999999</v>
      </c>
      <c r="P7209" s="38">
        <v>0</v>
      </c>
      <c r="Q7209" s="38">
        <v>3</v>
      </c>
      <c r="R7209" s="38">
        <v>0</v>
      </c>
      <c r="U7209" s="38">
        <v>0</v>
      </c>
      <c r="V7209" s="38">
        <v>4.2</v>
      </c>
      <c r="W7209" s="38">
        <v>19</v>
      </c>
      <c r="X7209" s="38">
        <v>0</v>
      </c>
      <c r="Y7209" s="38">
        <v>0</v>
      </c>
      <c r="Z7209" s="38">
        <v>0</v>
      </c>
      <c r="AA7209" s="38">
        <v>0</v>
      </c>
      <c r="AB7209" s="38">
        <v>6</v>
      </c>
    </row>
    <row r="7210" spans="1:28" x14ac:dyDescent="0.25">
      <c r="A7210" s="22">
        <v>45561</v>
      </c>
      <c r="B7210" s="38">
        <v>5</v>
      </c>
      <c r="C7210" s="38">
        <v>10.4</v>
      </c>
      <c r="D7210" s="38">
        <v>6</v>
      </c>
      <c r="F7210" s="38">
        <v>9.4</v>
      </c>
      <c r="G7210" s="38">
        <v>17</v>
      </c>
      <c r="H7210" s="38">
        <v>23.3</v>
      </c>
      <c r="I7210" s="38">
        <v>3.8</v>
      </c>
      <c r="J7210" s="38">
        <v>17.8</v>
      </c>
      <c r="K7210" s="38">
        <v>18</v>
      </c>
      <c r="L7210" s="38">
        <v>6.6040000000000001</v>
      </c>
      <c r="M7210" s="38">
        <v>21.9</v>
      </c>
      <c r="N7210" s="38">
        <v>32.6</v>
      </c>
      <c r="P7210" s="38">
        <v>6</v>
      </c>
      <c r="Q7210" s="38">
        <v>0.6</v>
      </c>
      <c r="R7210" s="38">
        <v>1.2</v>
      </c>
      <c r="U7210" s="38">
        <v>15</v>
      </c>
      <c r="V7210" s="38">
        <v>10.4</v>
      </c>
      <c r="W7210" s="38">
        <v>6.2</v>
      </c>
      <c r="X7210" s="38">
        <v>5</v>
      </c>
      <c r="Y7210" s="38">
        <v>10.5</v>
      </c>
      <c r="Z7210" s="38">
        <v>12</v>
      </c>
      <c r="AA7210" s="38">
        <v>6</v>
      </c>
      <c r="AB7210" s="38">
        <v>15</v>
      </c>
    </row>
    <row r="7211" spans="1:28" x14ac:dyDescent="0.25">
      <c r="A7211" s="22">
        <v>45562</v>
      </c>
      <c r="B7211" s="38">
        <v>0</v>
      </c>
      <c r="C7211" s="38">
        <v>54.4</v>
      </c>
      <c r="D7211" s="38">
        <v>29.2</v>
      </c>
      <c r="F7211" s="38">
        <v>3.8</v>
      </c>
      <c r="G7211" s="38">
        <v>15</v>
      </c>
      <c r="H7211" s="38">
        <v>8</v>
      </c>
      <c r="I7211" s="38">
        <v>2.4</v>
      </c>
      <c r="J7211" s="38">
        <v>15.2</v>
      </c>
      <c r="K7211" s="38">
        <v>16.600000000000001</v>
      </c>
      <c r="L7211" s="38">
        <v>0</v>
      </c>
      <c r="M7211" s="38">
        <v>16.3</v>
      </c>
      <c r="N7211" s="38">
        <v>30.599999999999998</v>
      </c>
      <c r="P7211" s="38">
        <v>0</v>
      </c>
      <c r="Q7211" s="38">
        <v>13.6</v>
      </c>
      <c r="R7211" s="38">
        <v>0</v>
      </c>
      <c r="U7211" s="38">
        <v>22</v>
      </c>
      <c r="V7211" s="38">
        <v>10.199999999999999</v>
      </c>
      <c r="W7211" s="38">
        <v>6</v>
      </c>
      <c r="X7211" s="38">
        <v>0</v>
      </c>
      <c r="Y7211" s="38">
        <v>0.8</v>
      </c>
      <c r="Z7211" s="38">
        <v>1.2</v>
      </c>
      <c r="AA7211" s="38">
        <v>8</v>
      </c>
      <c r="AB7211" s="38">
        <v>72</v>
      </c>
    </row>
    <row r="7212" spans="1:28" x14ac:dyDescent="0.25">
      <c r="A7212" s="22">
        <v>45563</v>
      </c>
      <c r="B7212" s="38">
        <v>0</v>
      </c>
      <c r="C7212" s="38">
        <v>7.6</v>
      </c>
      <c r="D7212" s="38">
        <v>5.6</v>
      </c>
      <c r="F7212" s="38">
        <v>24</v>
      </c>
      <c r="G7212" s="38">
        <v>17</v>
      </c>
      <c r="H7212" s="38">
        <v>29.9</v>
      </c>
      <c r="I7212" s="38">
        <v>21</v>
      </c>
      <c r="J7212" s="38">
        <v>26.2</v>
      </c>
      <c r="K7212" s="38">
        <v>31.2</v>
      </c>
      <c r="L7212" s="38">
        <v>1.016</v>
      </c>
      <c r="M7212" s="38">
        <v>20.8</v>
      </c>
      <c r="N7212" s="38">
        <v>7.6000000000000005</v>
      </c>
      <c r="P7212" s="38">
        <v>14</v>
      </c>
      <c r="Q7212" s="38">
        <v>0</v>
      </c>
      <c r="R7212" s="38">
        <v>6</v>
      </c>
      <c r="U7212" s="38">
        <v>24</v>
      </c>
      <c r="V7212" s="38">
        <v>10.9</v>
      </c>
      <c r="W7212" s="38">
        <v>16.399999999999999</v>
      </c>
      <c r="X7212" s="38">
        <v>16</v>
      </c>
      <c r="Y7212" s="38">
        <v>22</v>
      </c>
      <c r="Z7212" s="38">
        <v>26</v>
      </c>
      <c r="AA7212" s="38">
        <v>12</v>
      </c>
      <c r="AB7212" s="38">
        <v>49</v>
      </c>
    </row>
    <row r="7213" spans="1:28" x14ac:dyDescent="0.25">
      <c r="A7213" s="22">
        <v>45564</v>
      </c>
      <c r="B7213" s="38">
        <v>12.5</v>
      </c>
      <c r="C7213" s="38">
        <v>0</v>
      </c>
      <c r="D7213" s="38">
        <v>0</v>
      </c>
      <c r="F7213" s="38">
        <v>1.3</v>
      </c>
      <c r="G7213" s="38">
        <v>0</v>
      </c>
      <c r="H7213" s="38">
        <v>6</v>
      </c>
      <c r="I7213" s="38">
        <v>0.2</v>
      </c>
      <c r="J7213" s="38">
        <v>0.2</v>
      </c>
      <c r="K7213" s="38">
        <v>0</v>
      </c>
      <c r="L7213" s="38">
        <v>0</v>
      </c>
      <c r="M7213" s="38">
        <v>2.2000000000000002</v>
      </c>
      <c r="N7213" s="38">
        <v>1</v>
      </c>
      <c r="P7213" s="38">
        <v>0</v>
      </c>
      <c r="Q7213" s="38">
        <v>0</v>
      </c>
      <c r="R7213" s="38">
        <v>0</v>
      </c>
      <c r="U7213" s="38">
        <v>0</v>
      </c>
      <c r="V7213" s="38">
        <v>0</v>
      </c>
      <c r="W7213" s="38">
        <v>0</v>
      </c>
      <c r="X7213" s="38">
        <v>3</v>
      </c>
      <c r="Y7213" s="38">
        <v>2</v>
      </c>
      <c r="Z7213" s="38">
        <v>0.2</v>
      </c>
      <c r="AA7213" s="38">
        <v>12</v>
      </c>
      <c r="AB7213" s="38">
        <v>0</v>
      </c>
    </row>
    <row r="7214" spans="1:28" x14ac:dyDescent="0.25">
      <c r="A7214" s="22">
        <v>45565</v>
      </c>
      <c r="B7214" s="38">
        <v>7</v>
      </c>
      <c r="C7214" s="38">
        <v>0</v>
      </c>
      <c r="D7214" s="38">
        <v>0</v>
      </c>
      <c r="F7214" s="38">
        <v>0</v>
      </c>
      <c r="G7214" s="38">
        <v>0</v>
      </c>
      <c r="H7214" s="38">
        <v>0</v>
      </c>
      <c r="I7214" s="38">
        <v>0</v>
      </c>
      <c r="J7214" s="38">
        <v>0</v>
      </c>
      <c r="K7214" s="38">
        <v>0</v>
      </c>
      <c r="L7214" s="38">
        <v>0</v>
      </c>
      <c r="M7214" s="38">
        <v>0</v>
      </c>
      <c r="N7214" s="38">
        <v>43.599999999999994</v>
      </c>
      <c r="P7214" s="38">
        <v>0</v>
      </c>
      <c r="Q7214" s="38">
        <v>6.7</v>
      </c>
      <c r="R7214" s="38">
        <v>0</v>
      </c>
      <c r="U7214" s="38">
        <v>0</v>
      </c>
      <c r="V7214" s="38">
        <v>0</v>
      </c>
      <c r="W7214" s="38">
        <v>0</v>
      </c>
      <c r="X7214" s="38">
        <v>0</v>
      </c>
      <c r="Y7214" s="38">
        <v>0</v>
      </c>
      <c r="Z7214" s="38">
        <v>0</v>
      </c>
      <c r="AA7214" s="38">
        <v>8</v>
      </c>
      <c r="AB7214" s="38">
        <v>0</v>
      </c>
    </row>
    <row r="7215" spans="1:28" x14ac:dyDescent="0.25">
      <c r="A7215" s="22">
        <v>45566</v>
      </c>
      <c r="B7215" s="38">
        <v>23</v>
      </c>
      <c r="C7215" s="38">
        <v>20.399999999999999</v>
      </c>
      <c r="D7215" s="38">
        <v>29.8</v>
      </c>
      <c r="F7215" s="38">
        <v>0</v>
      </c>
      <c r="G7215" s="38">
        <v>36.5</v>
      </c>
      <c r="H7215" s="38">
        <v>0</v>
      </c>
      <c r="I7215" s="38">
        <v>52</v>
      </c>
      <c r="J7215" s="38">
        <v>21</v>
      </c>
      <c r="K7215" s="38">
        <v>16.2</v>
      </c>
      <c r="L7215" s="38">
        <v>0</v>
      </c>
      <c r="M7215" s="38">
        <v>72</v>
      </c>
      <c r="N7215" s="38">
        <v>3.5999999999999996</v>
      </c>
      <c r="P7215" s="38">
        <v>0</v>
      </c>
      <c r="Q7215" s="38">
        <v>6.7</v>
      </c>
      <c r="R7215" s="38">
        <v>0</v>
      </c>
      <c r="U7215" s="38">
        <v>45</v>
      </c>
      <c r="V7215" s="38">
        <v>20.6</v>
      </c>
      <c r="W7215" s="38">
        <v>42.2</v>
      </c>
      <c r="X7215" s="38">
        <v>0</v>
      </c>
      <c r="Y7215" s="38">
        <v>0</v>
      </c>
      <c r="Z7215" s="38">
        <v>0</v>
      </c>
      <c r="AA7215" s="38">
        <v>4</v>
      </c>
      <c r="AB7215" s="38">
        <v>32</v>
      </c>
    </row>
    <row r="7216" spans="1:28" x14ac:dyDescent="0.25">
      <c r="A7216" s="22">
        <v>45567</v>
      </c>
      <c r="B7216" s="38">
        <v>0</v>
      </c>
      <c r="C7216" s="38">
        <v>6</v>
      </c>
      <c r="D7216" s="38">
        <v>22</v>
      </c>
      <c r="F7216" s="38">
        <v>0</v>
      </c>
      <c r="G7216" s="38">
        <v>2.5</v>
      </c>
      <c r="H7216" s="38">
        <v>0</v>
      </c>
      <c r="I7216" s="38">
        <v>8.6999999999999993</v>
      </c>
      <c r="J7216" s="38">
        <v>3.2</v>
      </c>
      <c r="K7216" s="38">
        <v>3.2</v>
      </c>
      <c r="L7216" s="38">
        <v>0</v>
      </c>
      <c r="M7216" s="38">
        <v>1</v>
      </c>
      <c r="N7216" s="38">
        <v>30.599999999999998</v>
      </c>
      <c r="P7216" s="38">
        <v>0</v>
      </c>
      <c r="Q7216" s="38">
        <v>0</v>
      </c>
      <c r="R7216" s="38">
        <v>16</v>
      </c>
      <c r="U7216" s="38">
        <v>20</v>
      </c>
      <c r="V7216" s="38">
        <v>0</v>
      </c>
      <c r="W7216" s="38">
        <v>0</v>
      </c>
      <c r="X7216" s="38">
        <v>0</v>
      </c>
      <c r="Y7216" s="38">
        <v>0</v>
      </c>
      <c r="Z7216" s="38">
        <v>0</v>
      </c>
      <c r="AA7216" s="38">
        <v>0</v>
      </c>
      <c r="AB7216" s="38">
        <v>7</v>
      </c>
    </row>
    <row r="7217" spans="1:28" x14ac:dyDescent="0.25">
      <c r="A7217" s="22">
        <v>45568</v>
      </c>
      <c r="B7217" s="38">
        <v>3</v>
      </c>
      <c r="C7217" s="38">
        <v>0</v>
      </c>
      <c r="D7217" s="38">
        <v>0.2</v>
      </c>
      <c r="F7217" s="38">
        <v>20</v>
      </c>
      <c r="G7217" s="38">
        <v>5.0999999999999996</v>
      </c>
      <c r="H7217" s="38">
        <v>51</v>
      </c>
      <c r="I7217" s="38">
        <v>1.4</v>
      </c>
      <c r="J7217" s="38">
        <v>6</v>
      </c>
      <c r="K7217" s="38">
        <v>3.6</v>
      </c>
      <c r="L7217" s="38">
        <v>36.299999999999997</v>
      </c>
      <c r="M7217" s="38">
        <v>24.8</v>
      </c>
      <c r="N7217" s="38">
        <v>7.8</v>
      </c>
      <c r="P7217" s="38">
        <v>73</v>
      </c>
      <c r="Q7217" s="38">
        <v>38.200000000000003</v>
      </c>
      <c r="R7217" s="38">
        <v>16.2</v>
      </c>
      <c r="U7217" s="38">
        <v>38</v>
      </c>
      <c r="V7217" s="38">
        <v>0</v>
      </c>
      <c r="W7217" s="38">
        <v>0</v>
      </c>
      <c r="X7217" s="38">
        <v>9</v>
      </c>
      <c r="Y7217" s="38">
        <v>2</v>
      </c>
      <c r="Z7217" s="38">
        <v>18</v>
      </c>
      <c r="AA7217" s="38">
        <v>4</v>
      </c>
      <c r="AB7217" s="38">
        <v>30</v>
      </c>
    </row>
    <row r="7218" spans="1:28" x14ac:dyDescent="0.25">
      <c r="A7218" s="22">
        <v>45569</v>
      </c>
      <c r="B7218" s="38">
        <v>0</v>
      </c>
      <c r="C7218" s="38">
        <v>0</v>
      </c>
      <c r="D7218" s="38">
        <v>0</v>
      </c>
      <c r="F7218" s="38">
        <v>3.2</v>
      </c>
      <c r="G7218" s="38">
        <v>3.5</v>
      </c>
      <c r="H7218" s="38">
        <v>3</v>
      </c>
      <c r="I7218" s="38">
        <v>17.100000000000001</v>
      </c>
      <c r="J7218" s="38">
        <v>0</v>
      </c>
      <c r="K7218" s="38">
        <v>0</v>
      </c>
      <c r="L7218" s="38">
        <v>13.5</v>
      </c>
      <c r="M7218" s="38">
        <v>22.2</v>
      </c>
      <c r="N7218" s="38">
        <v>2.4</v>
      </c>
      <c r="P7218" s="38">
        <v>52</v>
      </c>
      <c r="Q7218" s="38">
        <v>17.3</v>
      </c>
      <c r="R7218" s="38">
        <v>4</v>
      </c>
      <c r="U7218" s="38">
        <v>36</v>
      </c>
      <c r="V7218" s="38">
        <v>0</v>
      </c>
      <c r="W7218" s="38">
        <v>0</v>
      </c>
      <c r="X7218" s="38">
        <v>12</v>
      </c>
      <c r="Y7218" s="38">
        <v>6</v>
      </c>
      <c r="Z7218" s="38">
        <v>14</v>
      </c>
      <c r="AA7218" s="38">
        <v>4</v>
      </c>
      <c r="AB7218" s="38">
        <v>0</v>
      </c>
    </row>
    <row r="7219" spans="1:28" x14ac:dyDescent="0.25">
      <c r="A7219" s="22">
        <v>45570</v>
      </c>
      <c r="B7219" s="38">
        <v>0</v>
      </c>
      <c r="C7219" s="38">
        <v>0</v>
      </c>
      <c r="D7219" s="38">
        <v>0</v>
      </c>
      <c r="F7219" s="38">
        <v>22.4</v>
      </c>
      <c r="G7219" s="38">
        <v>56.8</v>
      </c>
      <c r="H7219" s="38">
        <v>72.8</v>
      </c>
      <c r="I7219" s="38">
        <v>24.6</v>
      </c>
      <c r="J7219" s="38">
        <v>19</v>
      </c>
      <c r="K7219" s="38">
        <v>0</v>
      </c>
      <c r="L7219" s="38">
        <v>73.7</v>
      </c>
      <c r="M7219" s="38">
        <v>101.4</v>
      </c>
      <c r="N7219" s="38">
        <v>70</v>
      </c>
      <c r="P7219" s="38">
        <v>46</v>
      </c>
      <c r="Q7219" s="38">
        <v>0.3</v>
      </c>
      <c r="R7219" s="38">
        <v>50</v>
      </c>
      <c r="U7219" s="38">
        <v>9</v>
      </c>
      <c r="V7219" s="38">
        <v>70.099999999999994</v>
      </c>
      <c r="W7219" s="38">
        <v>52.4</v>
      </c>
      <c r="X7219" s="38">
        <v>0</v>
      </c>
      <c r="Y7219" s="38">
        <v>48</v>
      </c>
      <c r="Z7219" s="38">
        <v>26</v>
      </c>
      <c r="AA7219" s="38">
        <v>0</v>
      </c>
      <c r="AB7219" s="38">
        <v>0</v>
      </c>
    </row>
    <row r="7220" spans="1:28" x14ac:dyDescent="0.25">
      <c r="A7220" s="22">
        <v>45571</v>
      </c>
      <c r="B7220" s="38">
        <v>1.5</v>
      </c>
      <c r="C7220" s="38">
        <v>6.4</v>
      </c>
      <c r="D7220" s="38">
        <v>33.799999999999997</v>
      </c>
      <c r="F7220" s="38">
        <v>24</v>
      </c>
      <c r="G7220" s="38">
        <v>3</v>
      </c>
      <c r="H7220" s="38">
        <v>11</v>
      </c>
      <c r="I7220" s="38">
        <v>5.0999999999999996</v>
      </c>
      <c r="J7220" s="38">
        <v>3.8</v>
      </c>
      <c r="K7220" s="38">
        <v>0</v>
      </c>
      <c r="L7220" s="38">
        <v>28.5</v>
      </c>
      <c r="M7220" s="38">
        <v>10</v>
      </c>
      <c r="N7220" s="38">
        <v>1.4</v>
      </c>
      <c r="P7220" s="38">
        <v>8</v>
      </c>
      <c r="Q7220" s="38">
        <v>38.5</v>
      </c>
      <c r="R7220" s="38">
        <v>0</v>
      </c>
      <c r="U7220" s="38">
        <v>5</v>
      </c>
      <c r="V7220" s="38">
        <v>2</v>
      </c>
      <c r="W7220" s="38">
        <v>2.1</v>
      </c>
      <c r="X7220" s="38">
        <v>14</v>
      </c>
      <c r="Y7220" s="38">
        <v>44</v>
      </c>
      <c r="Z7220" s="38">
        <v>46</v>
      </c>
      <c r="AA7220" s="38">
        <v>0</v>
      </c>
      <c r="AB7220" s="38">
        <v>0</v>
      </c>
    </row>
    <row r="7221" spans="1:28" x14ac:dyDescent="0.25">
      <c r="A7221" s="22">
        <v>45572</v>
      </c>
      <c r="B7221" s="38">
        <v>18</v>
      </c>
      <c r="C7221" s="38">
        <v>32.200000000000003</v>
      </c>
      <c r="D7221" s="38">
        <v>9.6</v>
      </c>
      <c r="F7221" s="38">
        <v>0</v>
      </c>
      <c r="G7221" s="38">
        <v>1</v>
      </c>
      <c r="H7221" s="38">
        <v>0</v>
      </c>
      <c r="I7221" s="38">
        <v>0.3</v>
      </c>
      <c r="J7221" s="38">
        <v>8</v>
      </c>
      <c r="K7221" s="38">
        <v>0</v>
      </c>
      <c r="L7221" s="38">
        <v>2</v>
      </c>
      <c r="M7221" s="38">
        <v>0</v>
      </c>
      <c r="N7221" s="38">
        <v>0.2</v>
      </c>
      <c r="P7221" s="38">
        <v>2</v>
      </c>
      <c r="Q7221" s="38">
        <v>2</v>
      </c>
      <c r="R7221" s="38">
        <v>0</v>
      </c>
      <c r="U7221" s="38">
        <v>0</v>
      </c>
      <c r="V7221" s="38">
        <v>8.4</v>
      </c>
      <c r="W7221" s="38">
        <v>0</v>
      </c>
      <c r="X7221" s="38">
        <v>1</v>
      </c>
      <c r="Y7221" s="38">
        <v>10</v>
      </c>
      <c r="Z7221" s="38">
        <v>20</v>
      </c>
      <c r="AA7221" s="38">
        <v>152</v>
      </c>
      <c r="AB7221" s="38">
        <v>15</v>
      </c>
    </row>
    <row r="7222" spans="1:28" x14ac:dyDescent="0.25">
      <c r="A7222" s="22">
        <v>45573</v>
      </c>
      <c r="B7222" s="38">
        <v>36</v>
      </c>
      <c r="C7222" s="38">
        <v>2.8</v>
      </c>
      <c r="D7222" s="38">
        <v>2.4</v>
      </c>
      <c r="F7222" s="38">
        <v>0</v>
      </c>
      <c r="G7222" s="38">
        <v>0</v>
      </c>
      <c r="H7222" s="38">
        <v>0</v>
      </c>
      <c r="I7222" s="38">
        <v>0.4</v>
      </c>
      <c r="J7222" s="38">
        <v>0.1</v>
      </c>
      <c r="K7222" s="38">
        <v>0</v>
      </c>
      <c r="L7222" s="38">
        <v>3.6</v>
      </c>
      <c r="M7222" s="38">
        <v>0</v>
      </c>
      <c r="N7222" s="38">
        <v>8</v>
      </c>
      <c r="P7222" s="38">
        <v>4</v>
      </c>
      <c r="Q7222" s="38">
        <v>15.8</v>
      </c>
      <c r="R7222" s="38">
        <v>14.5</v>
      </c>
      <c r="U7222" s="38">
        <v>0</v>
      </c>
      <c r="V7222" s="38">
        <v>0</v>
      </c>
      <c r="W7222" s="38">
        <v>0</v>
      </c>
      <c r="X7222" s="38">
        <v>1</v>
      </c>
      <c r="Y7222" s="38">
        <v>0</v>
      </c>
      <c r="Z7222" s="38">
        <v>6</v>
      </c>
      <c r="AA7222" s="38">
        <v>8</v>
      </c>
      <c r="AB7222" s="38">
        <v>12</v>
      </c>
    </row>
    <row r="7223" spans="1:28" x14ac:dyDescent="0.25">
      <c r="A7223" s="22">
        <v>45574</v>
      </c>
      <c r="B7223" s="38">
        <v>14</v>
      </c>
      <c r="C7223" s="38">
        <v>17.2</v>
      </c>
      <c r="D7223" s="38">
        <v>20.2</v>
      </c>
      <c r="F7223" s="38">
        <v>18.2</v>
      </c>
      <c r="G7223" s="38">
        <v>13</v>
      </c>
      <c r="H7223" s="38">
        <v>4.4000000000000004</v>
      </c>
      <c r="I7223" s="38">
        <v>1.8</v>
      </c>
      <c r="J7223" s="38">
        <v>18</v>
      </c>
      <c r="K7223" s="38">
        <v>28</v>
      </c>
      <c r="L7223" s="38">
        <v>20.6</v>
      </c>
      <c r="M7223" s="38">
        <v>12</v>
      </c>
      <c r="N7223" s="38">
        <v>28.4</v>
      </c>
      <c r="P7223" s="38">
        <v>5</v>
      </c>
      <c r="Q7223" s="38">
        <v>11.1</v>
      </c>
      <c r="R7223" s="38">
        <v>4</v>
      </c>
      <c r="U7223" s="38">
        <v>10</v>
      </c>
      <c r="V7223" s="38">
        <v>4.2</v>
      </c>
      <c r="W7223" s="38">
        <v>8.1999999999999993</v>
      </c>
      <c r="X7223" s="38">
        <v>2</v>
      </c>
      <c r="Y7223" s="38">
        <v>13.8</v>
      </c>
      <c r="Z7223" s="38">
        <v>3</v>
      </c>
      <c r="AA7223" s="38">
        <v>16</v>
      </c>
      <c r="AB7223" s="38">
        <v>38</v>
      </c>
    </row>
    <row r="7224" spans="1:28" x14ac:dyDescent="0.25">
      <c r="A7224" s="22">
        <v>45575</v>
      </c>
      <c r="B7224" s="38">
        <v>12</v>
      </c>
      <c r="C7224" s="38">
        <v>7.2</v>
      </c>
      <c r="D7224" s="38">
        <v>10.4</v>
      </c>
      <c r="F7224" s="38">
        <v>5</v>
      </c>
      <c r="G7224" s="38">
        <v>16.5</v>
      </c>
      <c r="H7224" s="38">
        <v>11</v>
      </c>
      <c r="I7224" s="38">
        <v>16.3</v>
      </c>
      <c r="J7224" s="38">
        <v>22</v>
      </c>
      <c r="K7224" s="38">
        <v>22.8</v>
      </c>
      <c r="L7224" s="38">
        <v>2</v>
      </c>
      <c r="M7224" s="38">
        <v>15</v>
      </c>
      <c r="N7224" s="38">
        <v>5.4</v>
      </c>
      <c r="P7224" s="38">
        <v>0</v>
      </c>
      <c r="Q7224" s="38">
        <v>2</v>
      </c>
      <c r="R7224" s="38">
        <v>2.1</v>
      </c>
      <c r="U7224" s="38">
        <v>8</v>
      </c>
      <c r="V7224" s="38">
        <v>10.8</v>
      </c>
      <c r="W7224" s="38">
        <v>14.2</v>
      </c>
      <c r="X7224" s="38">
        <v>0</v>
      </c>
      <c r="Y7224" s="38">
        <v>2</v>
      </c>
      <c r="Z7224" s="38">
        <v>2.6</v>
      </c>
      <c r="AA7224" s="38">
        <v>12</v>
      </c>
      <c r="AB7224" s="38">
        <v>50</v>
      </c>
    </row>
    <row r="7225" spans="1:28" x14ac:dyDescent="0.25">
      <c r="A7225" s="22">
        <v>45576</v>
      </c>
      <c r="B7225" s="38">
        <v>5</v>
      </c>
      <c r="C7225" s="38">
        <v>1.2</v>
      </c>
      <c r="D7225" s="38">
        <v>1</v>
      </c>
      <c r="F7225" s="38">
        <v>0.2</v>
      </c>
      <c r="G7225" s="38">
        <v>2</v>
      </c>
      <c r="I7225" s="38">
        <v>1</v>
      </c>
      <c r="J7225" s="38">
        <v>0</v>
      </c>
      <c r="K7225" s="38">
        <v>0</v>
      </c>
      <c r="L7225" s="38">
        <v>0</v>
      </c>
      <c r="M7225" s="38">
        <v>0.2</v>
      </c>
      <c r="N7225" s="38">
        <v>12.400000000000002</v>
      </c>
      <c r="P7225" s="38">
        <v>8</v>
      </c>
      <c r="Q7225" s="38">
        <v>4.3</v>
      </c>
      <c r="R7225" s="38">
        <v>3.1</v>
      </c>
      <c r="U7225" s="38">
        <v>3</v>
      </c>
      <c r="V7225" s="38">
        <v>0</v>
      </c>
      <c r="W7225" s="38">
        <v>0</v>
      </c>
      <c r="X7225" s="38">
        <v>4</v>
      </c>
      <c r="Y7225" s="38">
        <v>12</v>
      </c>
      <c r="Z7225" s="38">
        <v>10</v>
      </c>
      <c r="AA7225" s="38">
        <v>10</v>
      </c>
      <c r="AB7225" s="38">
        <v>0</v>
      </c>
    </row>
    <row r="7226" spans="1:28" x14ac:dyDescent="0.25">
      <c r="A7226" s="22">
        <v>45577</v>
      </c>
      <c r="B7226" s="38">
        <v>0</v>
      </c>
      <c r="C7226" s="38">
        <v>22.2</v>
      </c>
      <c r="D7226" s="38">
        <v>16.100000000000001</v>
      </c>
      <c r="F7226" s="38">
        <v>0</v>
      </c>
      <c r="G7226" s="38">
        <v>1</v>
      </c>
      <c r="H7226" s="38">
        <v>2.2999999999999998</v>
      </c>
      <c r="I7226" s="38">
        <v>4.8</v>
      </c>
      <c r="J7226" s="38">
        <v>17</v>
      </c>
      <c r="K7226" s="38">
        <v>8</v>
      </c>
      <c r="L7226" s="38">
        <v>1</v>
      </c>
      <c r="M7226" s="38">
        <v>1</v>
      </c>
      <c r="N7226" s="38">
        <v>11.799999999999997</v>
      </c>
      <c r="P7226" s="38">
        <v>2</v>
      </c>
      <c r="Q7226" s="38">
        <v>0.2</v>
      </c>
      <c r="R7226" s="38">
        <v>4.2</v>
      </c>
      <c r="U7226" s="38">
        <v>15</v>
      </c>
      <c r="V7226" s="38">
        <v>4.2</v>
      </c>
      <c r="W7226" s="38">
        <v>2.4</v>
      </c>
      <c r="X7226" s="38">
        <v>0</v>
      </c>
      <c r="Y7226" s="38">
        <v>5</v>
      </c>
      <c r="Z7226" s="38">
        <v>8</v>
      </c>
      <c r="AA7226" s="38">
        <v>16</v>
      </c>
      <c r="AB7226" s="38">
        <v>68</v>
      </c>
    </row>
    <row r="7227" spans="1:28" x14ac:dyDescent="0.25">
      <c r="A7227" s="22">
        <v>45578</v>
      </c>
      <c r="B7227" s="38">
        <v>25</v>
      </c>
      <c r="C7227" s="38">
        <v>17.2</v>
      </c>
      <c r="D7227" s="38">
        <v>28.8</v>
      </c>
      <c r="F7227" s="38">
        <v>0.1</v>
      </c>
      <c r="G7227" s="38">
        <v>13.9</v>
      </c>
      <c r="H7227" s="38">
        <v>3</v>
      </c>
      <c r="I7227" s="38">
        <v>12.5</v>
      </c>
      <c r="J7227" s="38">
        <v>9</v>
      </c>
      <c r="K7227" s="38">
        <v>13.6</v>
      </c>
      <c r="L7227" s="38">
        <v>11.4</v>
      </c>
      <c r="M7227" s="38">
        <v>11</v>
      </c>
      <c r="N7227" s="38">
        <v>4.8</v>
      </c>
      <c r="P7227" s="38">
        <v>6</v>
      </c>
      <c r="Q7227" s="38">
        <v>20</v>
      </c>
      <c r="R7227" s="38">
        <v>0</v>
      </c>
      <c r="U7227" s="38">
        <v>8</v>
      </c>
      <c r="V7227" s="38">
        <v>8.4</v>
      </c>
      <c r="W7227" s="38">
        <v>22.1</v>
      </c>
      <c r="X7227" s="38">
        <v>6.2</v>
      </c>
      <c r="Y7227" s="38">
        <v>2</v>
      </c>
      <c r="Z7227" s="38">
        <v>2.6</v>
      </c>
      <c r="AA7227" s="38">
        <v>16</v>
      </c>
      <c r="AB7227" s="38">
        <v>52</v>
      </c>
    </row>
    <row r="7228" spans="1:28" x14ac:dyDescent="0.25">
      <c r="A7228" s="22">
        <v>45579</v>
      </c>
      <c r="B7228" s="38">
        <v>4</v>
      </c>
      <c r="C7228" s="38">
        <v>19.600000000000001</v>
      </c>
      <c r="D7228" s="38">
        <v>26</v>
      </c>
      <c r="F7228" s="38">
        <v>3.8</v>
      </c>
      <c r="G7228" s="38">
        <v>2</v>
      </c>
      <c r="H7228" s="38">
        <v>0.3</v>
      </c>
      <c r="I7228" s="38">
        <v>4.2</v>
      </c>
      <c r="J7228" s="38">
        <v>9</v>
      </c>
      <c r="K7228" s="38">
        <v>2.2000000000000002</v>
      </c>
      <c r="L7228" s="38">
        <v>2.8</v>
      </c>
      <c r="M7228" s="38">
        <v>1</v>
      </c>
      <c r="N7228" s="38">
        <v>8.4</v>
      </c>
      <c r="P7228" s="38">
        <v>5</v>
      </c>
      <c r="Q7228" s="38">
        <v>6.2</v>
      </c>
      <c r="R7228" s="38">
        <v>0</v>
      </c>
      <c r="U7228" s="38">
        <v>25</v>
      </c>
      <c r="V7228" s="38">
        <v>2.4</v>
      </c>
      <c r="W7228" s="38">
        <v>2.4</v>
      </c>
      <c r="X7228" s="38">
        <v>0</v>
      </c>
      <c r="Y7228" s="38">
        <v>2</v>
      </c>
      <c r="Z7228" s="38">
        <v>4</v>
      </c>
      <c r="AA7228" s="38">
        <v>8</v>
      </c>
      <c r="AB7228" s="38">
        <v>28</v>
      </c>
    </row>
    <row r="7229" spans="1:28" x14ac:dyDescent="0.25">
      <c r="A7229" s="22">
        <v>45580</v>
      </c>
      <c r="B7229" s="38">
        <v>13</v>
      </c>
      <c r="C7229" s="38">
        <v>17.2</v>
      </c>
      <c r="D7229" s="38">
        <v>14.4</v>
      </c>
      <c r="F7229" s="38">
        <v>8.4</v>
      </c>
      <c r="G7229" s="38">
        <v>15.5</v>
      </c>
      <c r="H7229" s="38">
        <v>14.4</v>
      </c>
      <c r="I7229" s="38">
        <v>6.2</v>
      </c>
      <c r="J7229" s="38">
        <v>4.4000000000000004</v>
      </c>
      <c r="K7229" s="38">
        <v>6</v>
      </c>
      <c r="L7229" s="38">
        <v>23.9</v>
      </c>
      <c r="M7229" s="38">
        <v>17.399999999999999</v>
      </c>
      <c r="N7229" s="38">
        <v>15.200000000000001</v>
      </c>
      <c r="P7229" s="38">
        <v>14</v>
      </c>
      <c r="Q7229" s="38">
        <v>7.6</v>
      </c>
      <c r="R7229" s="38">
        <v>0</v>
      </c>
      <c r="U7229" s="38">
        <v>10</v>
      </c>
      <c r="V7229" s="38">
        <v>10.199999999999999</v>
      </c>
      <c r="W7229" s="38">
        <v>18.2</v>
      </c>
      <c r="X7229" s="38">
        <v>4</v>
      </c>
      <c r="Y7229" s="38">
        <v>4</v>
      </c>
      <c r="Z7229" s="38">
        <v>4</v>
      </c>
      <c r="AA7229" s="38">
        <v>0</v>
      </c>
      <c r="AB7229" s="38">
        <v>6</v>
      </c>
    </row>
    <row r="7230" spans="1:28" x14ac:dyDescent="0.25">
      <c r="A7230" s="22">
        <v>45581</v>
      </c>
      <c r="B7230" s="38">
        <v>14</v>
      </c>
      <c r="C7230" s="38">
        <v>12.4</v>
      </c>
      <c r="D7230" s="38">
        <v>6.4</v>
      </c>
      <c r="F7230" s="38">
        <v>14</v>
      </c>
      <c r="G7230" s="38">
        <v>16.5</v>
      </c>
      <c r="H7230" s="38">
        <v>17.2</v>
      </c>
      <c r="I7230" s="38">
        <v>8.8000000000000007</v>
      </c>
      <c r="J7230" s="38">
        <v>12</v>
      </c>
      <c r="K7230" s="38">
        <v>15.2</v>
      </c>
      <c r="L7230" s="38">
        <v>11.2</v>
      </c>
      <c r="M7230" s="38">
        <v>8.4</v>
      </c>
      <c r="N7230" s="38">
        <v>6.4000000000000012</v>
      </c>
      <c r="P7230" s="38">
        <v>8</v>
      </c>
      <c r="Q7230" s="38">
        <v>26.5</v>
      </c>
      <c r="R7230" s="38">
        <v>18</v>
      </c>
      <c r="U7230" s="38">
        <v>5</v>
      </c>
      <c r="V7230" s="38">
        <v>6.4</v>
      </c>
      <c r="W7230" s="38">
        <v>4.4000000000000004</v>
      </c>
      <c r="X7230" s="38">
        <v>4</v>
      </c>
      <c r="Y7230" s="38">
        <v>12</v>
      </c>
      <c r="Z7230" s="38">
        <v>8</v>
      </c>
      <c r="AA7230" s="38">
        <v>6</v>
      </c>
      <c r="AB7230" s="38">
        <v>2</v>
      </c>
    </row>
    <row r="7231" spans="1:28" x14ac:dyDescent="0.25">
      <c r="A7231" s="22">
        <v>45582</v>
      </c>
      <c r="B7231" s="38">
        <v>2</v>
      </c>
      <c r="C7231" s="38">
        <v>10.4</v>
      </c>
      <c r="D7231" s="38">
        <v>4.4000000000000004</v>
      </c>
      <c r="F7231" s="38">
        <v>13.3</v>
      </c>
      <c r="G7231" s="38">
        <v>8</v>
      </c>
      <c r="H7231" s="38">
        <v>12.1</v>
      </c>
      <c r="I7231" s="38">
        <v>1.8</v>
      </c>
      <c r="J7231" s="38">
        <v>7</v>
      </c>
      <c r="K7231" s="38">
        <v>14</v>
      </c>
      <c r="L7231" s="38">
        <v>0</v>
      </c>
      <c r="M7231" s="38">
        <v>6</v>
      </c>
      <c r="N7231" s="38">
        <v>16.799999999999997</v>
      </c>
      <c r="P7231" s="38">
        <v>2</v>
      </c>
      <c r="Q7231" s="38">
        <v>4</v>
      </c>
      <c r="R7231" s="38">
        <v>4</v>
      </c>
      <c r="U7231" s="38">
        <v>26</v>
      </c>
      <c r="V7231" s="38">
        <v>10.6</v>
      </c>
      <c r="W7231" s="38">
        <v>12.1</v>
      </c>
      <c r="X7231" s="38">
        <v>2.2999999999999998</v>
      </c>
      <c r="Y7231" s="38">
        <v>6</v>
      </c>
      <c r="Z7231" s="38">
        <v>8</v>
      </c>
      <c r="AA7231" s="38">
        <v>0</v>
      </c>
      <c r="AB7231" s="38">
        <v>14</v>
      </c>
    </row>
    <row r="7232" spans="1:28" x14ac:dyDescent="0.25">
      <c r="A7232" s="22">
        <v>45583</v>
      </c>
      <c r="B7232" s="38">
        <v>11</v>
      </c>
      <c r="C7232" s="38">
        <v>12.4</v>
      </c>
      <c r="D7232" s="38">
        <v>9</v>
      </c>
      <c r="F7232" s="38">
        <v>3.8</v>
      </c>
      <c r="G7232" s="38">
        <v>2.1</v>
      </c>
      <c r="H7232" s="38">
        <v>5.2</v>
      </c>
      <c r="I7232" s="38">
        <v>1.4</v>
      </c>
      <c r="J7232" s="38">
        <v>7</v>
      </c>
      <c r="K7232" s="38">
        <v>8.6</v>
      </c>
      <c r="L7232" s="38">
        <v>20.8</v>
      </c>
      <c r="M7232" s="38">
        <v>1.8</v>
      </c>
      <c r="N7232" s="38">
        <v>1.7999999999999998</v>
      </c>
      <c r="P7232" s="38">
        <v>10</v>
      </c>
      <c r="Q7232" s="38">
        <v>10.8</v>
      </c>
      <c r="R7232" s="38">
        <v>8.1999999999999993</v>
      </c>
      <c r="U7232" s="38">
        <v>12</v>
      </c>
      <c r="V7232" s="38">
        <v>3.4</v>
      </c>
      <c r="W7232" s="38">
        <v>3.4</v>
      </c>
      <c r="X7232" s="38">
        <v>2</v>
      </c>
      <c r="Y7232" s="38">
        <v>11.4</v>
      </c>
      <c r="Z7232" s="38">
        <v>2</v>
      </c>
      <c r="AA7232" s="38">
        <v>6</v>
      </c>
      <c r="AB7232" s="38">
        <v>7</v>
      </c>
    </row>
    <row r="7233" spans="1:28" x14ac:dyDescent="0.25">
      <c r="A7233" s="22">
        <v>45584</v>
      </c>
      <c r="B7233" s="38">
        <v>10</v>
      </c>
      <c r="C7233" s="38">
        <v>14.8</v>
      </c>
      <c r="D7233" s="38">
        <v>21.6</v>
      </c>
      <c r="F7233" s="38">
        <v>1.2</v>
      </c>
      <c r="G7233" s="38">
        <v>6.5</v>
      </c>
      <c r="H7233" s="38">
        <v>4</v>
      </c>
      <c r="I7233" s="38">
        <v>2</v>
      </c>
      <c r="J7233" s="38">
        <v>6.2</v>
      </c>
      <c r="K7233" s="38">
        <v>0</v>
      </c>
      <c r="L7233" s="38">
        <v>13.2</v>
      </c>
      <c r="M7233" s="38">
        <v>1.4</v>
      </c>
      <c r="N7233" s="38">
        <v>24.599999999999998</v>
      </c>
      <c r="P7233" s="38">
        <v>6</v>
      </c>
      <c r="Q7233" s="38">
        <v>28</v>
      </c>
      <c r="R7233" s="38">
        <v>25.2</v>
      </c>
      <c r="U7233" s="38">
        <v>16</v>
      </c>
      <c r="V7233" s="38">
        <v>3.2</v>
      </c>
      <c r="W7233" s="38">
        <v>4.0999999999999996</v>
      </c>
      <c r="X7233" s="38">
        <v>15</v>
      </c>
      <c r="Y7233" s="38">
        <v>5</v>
      </c>
      <c r="Z7233" s="38">
        <v>8</v>
      </c>
      <c r="AA7233" s="38">
        <v>6</v>
      </c>
      <c r="AB7233" s="38">
        <v>10</v>
      </c>
    </row>
    <row r="7234" spans="1:28" x14ac:dyDescent="0.25">
      <c r="A7234" s="22">
        <v>45585</v>
      </c>
      <c r="B7234" s="38">
        <v>14</v>
      </c>
      <c r="C7234" s="38">
        <v>12.8</v>
      </c>
      <c r="D7234" s="38">
        <v>14.1</v>
      </c>
      <c r="F7234" s="38">
        <v>7.1</v>
      </c>
      <c r="G7234" s="38">
        <v>15.5</v>
      </c>
      <c r="H7234" s="38">
        <v>6.3</v>
      </c>
      <c r="I7234" s="38">
        <v>10.1</v>
      </c>
      <c r="J7234" s="38">
        <v>15.8</v>
      </c>
      <c r="K7234" s="38">
        <v>15.5</v>
      </c>
      <c r="L7234" s="38">
        <v>11.4</v>
      </c>
      <c r="M7234" s="38">
        <v>12</v>
      </c>
      <c r="N7234" s="38">
        <v>13.599999999999994</v>
      </c>
      <c r="P7234" s="38">
        <v>12</v>
      </c>
      <c r="Q7234" s="38">
        <v>7.8</v>
      </c>
      <c r="R7234" s="38">
        <v>9.1999999999999993</v>
      </c>
      <c r="U7234" s="38">
        <v>10</v>
      </c>
      <c r="V7234" s="38">
        <v>10</v>
      </c>
      <c r="W7234" s="38">
        <v>12.4</v>
      </c>
      <c r="X7234" s="38">
        <v>9</v>
      </c>
      <c r="Y7234" s="38">
        <v>6</v>
      </c>
      <c r="Z7234" s="38">
        <v>8</v>
      </c>
      <c r="AA7234" s="38">
        <v>6</v>
      </c>
      <c r="AB7234" s="38">
        <v>30</v>
      </c>
    </row>
    <row r="7235" spans="1:28" x14ac:dyDescent="0.25">
      <c r="A7235" s="22">
        <v>45586</v>
      </c>
      <c r="B7235" s="38">
        <v>1</v>
      </c>
      <c r="C7235" s="38">
        <v>8</v>
      </c>
      <c r="D7235" s="38">
        <v>5.4</v>
      </c>
      <c r="F7235" s="38">
        <v>1.2</v>
      </c>
      <c r="G7235" s="38">
        <v>4</v>
      </c>
      <c r="H7235" s="38">
        <v>1.2</v>
      </c>
      <c r="I7235" s="38">
        <v>3.3</v>
      </c>
      <c r="J7235" s="38">
        <v>2.2000000000000002</v>
      </c>
      <c r="K7235" s="38">
        <v>6.4</v>
      </c>
      <c r="L7235" s="38">
        <v>0</v>
      </c>
      <c r="M7235" s="38">
        <v>3</v>
      </c>
      <c r="N7235" s="38">
        <v>2.6</v>
      </c>
      <c r="P7235" s="38">
        <v>0</v>
      </c>
      <c r="Q7235" s="38">
        <v>2.4</v>
      </c>
      <c r="R7235" s="38">
        <v>4.2</v>
      </c>
      <c r="U7235" s="38">
        <v>0</v>
      </c>
      <c r="V7235" s="38">
        <v>0</v>
      </c>
      <c r="W7235" s="38">
        <v>2.2000000000000002</v>
      </c>
      <c r="X7235" s="38">
        <v>5</v>
      </c>
      <c r="Y7235" s="38">
        <v>4</v>
      </c>
      <c r="Z7235" s="38">
        <v>8</v>
      </c>
      <c r="AA7235" s="38">
        <v>12</v>
      </c>
      <c r="AB7235" s="38">
        <v>12</v>
      </c>
    </row>
    <row r="7236" spans="1:28" x14ac:dyDescent="0.25">
      <c r="A7236" s="22">
        <v>45587</v>
      </c>
      <c r="B7236" s="38">
        <v>4</v>
      </c>
      <c r="C7236" s="38">
        <v>10.4</v>
      </c>
      <c r="D7236" s="38">
        <v>6</v>
      </c>
      <c r="F7236" s="38">
        <v>0</v>
      </c>
      <c r="G7236" s="38">
        <v>1.5</v>
      </c>
      <c r="H7236" s="38">
        <v>0</v>
      </c>
      <c r="I7236" s="38">
        <v>1</v>
      </c>
      <c r="J7236" s="38">
        <v>2</v>
      </c>
      <c r="K7236" s="38">
        <v>2.8</v>
      </c>
      <c r="L7236" s="38">
        <v>3.3</v>
      </c>
      <c r="M7236" s="38">
        <v>0.4</v>
      </c>
      <c r="N7236" s="38">
        <v>1</v>
      </c>
      <c r="P7236" s="38">
        <v>2</v>
      </c>
      <c r="Q7236" s="38">
        <v>0.3</v>
      </c>
      <c r="R7236" s="38">
        <v>1.3</v>
      </c>
      <c r="U7236" s="38">
        <v>5</v>
      </c>
      <c r="V7236" s="38">
        <v>0</v>
      </c>
      <c r="W7236" s="38">
        <v>0</v>
      </c>
      <c r="X7236" s="38">
        <v>7</v>
      </c>
      <c r="Y7236" s="38">
        <v>0</v>
      </c>
      <c r="Z7236" s="38">
        <v>4</v>
      </c>
      <c r="AA7236" s="38">
        <v>2</v>
      </c>
      <c r="AB7236" s="38">
        <v>5</v>
      </c>
    </row>
    <row r="7237" spans="1:28" x14ac:dyDescent="0.25">
      <c r="A7237" s="22">
        <v>45588</v>
      </c>
      <c r="B7237" s="38">
        <v>1</v>
      </c>
      <c r="C7237" s="38">
        <v>0.4</v>
      </c>
      <c r="D7237" s="38">
        <v>0</v>
      </c>
      <c r="F7237" s="38">
        <v>0</v>
      </c>
      <c r="G7237" s="38">
        <v>0</v>
      </c>
      <c r="H7237" s="38">
        <v>0</v>
      </c>
      <c r="I7237" s="38">
        <v>1.9</v>
      </c>
      <c r="J7237" s="38">
        <v>0.2</v>
      </c>
      <c r="K7237" s="38">
        <v>2</v>
      </c>
      <c r="L7237" s="38">
        <v>0.8</v>
      </c>
      <c r="M7237" s="38">
        <v>0</v>
      </c>
      <c r="N7237" s="38">
        <v>0</v>
      </c>
      <c r="P7237" s="38">
        <v>0</v>
      </c>
      <c r="Q7237" s="38">
        <v>0</v>
      </c>
      <c r="R7237" s="38">
        <v>0</v>
      </c>
      <c r="U7237" s="38">
        <v>0</v>
      </c>
      <c r="V7237" s="38">
        <v>0</v>
      </c>
      <c r="W7237" s="38">
        <v>0</v>
      </c>
      <c r="X7237" s="38">
        <v>0</v>
      </c>
      <c r="Y7237" s="38">
        <v>0</v>
      </c>
      <c r="Z7237" s="38">
        <v>0</v>
      </c>
      <c r="AA7237" s="38">
        <v>0</v>
      </c>
      <c r="AB7237" s="38">
        <v>0</v>
      </c>
    </row>
    <row r="7238" spans="1:28" x14ac:dyDescent="0.25">
      <c r="A7238" s="22">
        <v>45589</v>
      </c>
      <c r="B7238" s="38">
        <v>14</v>
      </c>
      <c r="C7238" s="38">
        <v>14</v>
      </c>
      <c r="D7238" s="38">
        <v>14</v>
      </c>
      <c r="F7238" s="38">
        <v>0</v>
      </c>
      <c r="G7238" s="38">
        <v>8.5</v>
      </c>
      <c r="H7238" s="38">
        <v>4.4000000000000004</v>
      </c>
      <c r="I7238" s="38">
        <v>1.8</v>
      </c>
      <c r="J7238" s="38">
        <v>4</v>
      </c>
      <c r="K7238" s="38">
        <v>3.4</v>
      </c>
      <c r="L7238" s="38">
        <v>9.1</v>
      </c>
      <c r="M7238" s="38">
        <v>4.8</v>
      </c>
      <c r="N7238" s="38">
        <v>15.600000000000001</v>
      </c>
      <c r="P7238" s="38">
        <v>4</v>
      </c>
      <c r="Q7238" s="38">
        <v>0</v>
      </c>
      <c r="R7238" s="38">
        <v>6.3</v>
      </c>
      <c r="U7238" s="38">
        <v>10</v>
      </c>
      <c r="V7238" s="38">
        <v>5.4</v>
      </c>
      <c r="W7238" s="38">
        <v>4.0999999999999996</v>
      </c>
      <c r="X7238" s="38">
        <v>6</v>
      </c>
      <c r="Y7238" s="38">
        <v>2.5</v>
      </c>
      <c r="Z7238" s="38">
        <v>4</v>
      </c>
      <c r="AA7238" s="38">
        <v>0</v>
      </c>
      <c r="AB7238" s="38">
        <v>4</v>
      </c>
    </row>
    <row r="7239" spans="1:28" x14ac:dyDescent="0.25">
      <c r="A7239" s="22">
        <v>45590</v>
      </c>
      <c r="B7239" s="38">
        <v>5</v>
      </c>
      <c r="C7239" s="38">
        <v>30.2</v>
      </c>
      <c r="D7239" s="38">
        <v>25</v>
      </c>
      <c r="F7239" s="38">
        <v>22.8</v>
      </c>
      <c r="G7239" s="38">
        <v>0</v>
      </c>
      <c r="H7239" s="38">
        <v>16.399999999999999</v>
      </c>
      <c r="I7239" s="38">
        <v>14.6</v>
      </c>
      <c r="J7239" s="38">
        <v>34.200000000000003</v>
      </c>
      <c r="K7239" s="38">
        <v>43.6</v>
      </c>
      <c r="L7239" s="38">
        <v>13</v>
      </c>
      <c r="M7239" s="38">
        <v>17</v>
      </c>
      <c r="N7239" s="38">
        <v>15.799999999999999</v>
      </c>
      <c r="P7239" s="38">
        <v>11</v>
      </c>
      <c r="Q7239" s="38">
        <v>11.5</v>
      </c>
      <c r="R7239" s="38">
        <v>10.1</v>
      </c>
      <c r="U7239" s="38">
        <v>3</v>
      </c>
      <c r="V7239" s="38">
        <v>20.8</v>
      </c>
      <c r="W7239" s="38">
        <v>28.4</v>
      </c>
      <c r="X7239" s="38">
        <v>8</v>
      </c>
      <c r="Y7239" s="38">
        <v>14</v>
      </c>
      <c r="Z7239" s="38">
        <v>10</v>
      </c>
      <c r="AA7239" s="38">
        <v>6</v>
      </c>
      <c r="AB7239" s="38">
        <v>52</v>
      </c>
    </row>
    <row r="7240" spans="1:28" x14ac:dyDescent="0.25">
      <c r="A7240" s="22">
        <v>45591</v>
      </c>
      <c r="B7240" s="38">
        <v>0</v>
      </c>
      <c r="C7240" s="38">
        <v>4.4000000000000004</v>
      </c>
      <c r="D7240" s="38">
        <v>6.4</v>
      </c>
      <c r="F7240" s="38">
        <v>8.4</v>
      </c>
      <c r="G7240" s="38">
        <v>7.5</v>
      </c>
      <c r="H7240" s="38">
        <v>6</v>
      </c>
      <c r="I7240" s="38">
        <v>3.1</v>
      </c>
      <c r="J7240" s="38">
        <v>34.200000000000003</v>
      </c>
      <c r="K7240" s="38">
        <v>16</v>
      </c>
      <c r="L7240" s="38">
        <v>5</v>
      </c>
      <c r="M7240" s="38">
        <v>5.2</v>
      </c>
      <c r="N7240" s="38">
        <v>6.6000000000000005</v>
      </c>
      <c r="P7240" s="38">
        <v>2</v>
      </c>
      <c r="Q7240" s="38">
        <v>2.4</v>
      </c>
      <c r="R7240" s="38">
        <v>10.1</v>
      </c>
      <c r="U7240" s="38">
        <v>30</v>
      </c>
      <c r="V7240" s="38">
        <v>10.5</v>
      </c>
      <c r="W7240" s="38">
        <v>4.0999999999999996</v>
      </c>
      <c r="X7240" s="38">
        <v>22</v>
      </c>
      <c r="Y7240" s="38">
        <v>10</v>
      </c>
      <c r="Z7240" s="38">
        <v>6</v>
      </c>
      <c r="AA7240" s="38">
        <v>6</v>
      </c>
      <c r="AB7240" s="38">
        <v>6</v>
      </c>
    </row>
    <row r="7241" spans="1:28" x14ac:dyDescent="0.25">
      <c r="A7241" s="22">
        <v>45592</v>
      </c>
      <c r="B7241" s="38">
        <v>27</v>
      </c>
      <c r="C7241" s="38">
        <v>12.4</v>
      </c>
      <c r="D7241" s="38">
        <v>8</v>
      </c>
      <c r="F7241" s="38">
        <v>5.4</v>
      </c>
      <c r="G7241" s="38">
        <v>14.5</v>
      </c>
      <c r="H7241" s="38">
        <v>7</v>
      </c>
      <c r="I7241" s="38">
        <v>6</v>
      </c>
      <c r="J7241" s="38">
        <v>14.2</v>
      </c>
      <c r="K7241" s="38">
        <v>10.6</v>
      </c>
      <c r="L7241" s="38">
        <v>5.8</v>
      </c>
      <c r="M7241" s="38">
        <v>11</v>
      </c>
      <c r="N7241" s="38">
        <v>7.4</v>
      </c>
      <c r="P7241" s="38">
        <v>1</v>
      </c>
      <c r="Q7241" s="38">
        <v>11.8</v>
      </c>
      <c r="R7241" s="38">
        <v>0</v>
      </c>
      <c r="U7241" s="38">
        <v>10</v>
      </c>
      <c r="V7241" s="38">
        <v>0</v>
      </c>
      <c r="W7241" s="38">
        <v>0</v>
      </c>
      <c r="X7241" s="38">
        <v>6</v>
      </c>
      <c r="Y7241" s="38">
        <v>4</v>
      </c>
      <c r="Z7241" s="38">
        <v>4.5999999999999996</v>
      </c>
      <c r="AA7241" s="38">
        <v>6</v>
      </c>
      <c r="AB7241" s="38">
        <v>11</v>
      </c>
    </row>
    <row r="7242" spans="1:28" x14ac:dyDescent="0.25">
      <c r="A7242" s="22">
        <v>45593</v>
      </c>
      <c r="B7242" s="38">
        <v>14.5</v>
      </c>
      <c r="C7242" s="38">
        <v>6.8</v>
      </c>
      <c r="D7242" s="38">
        <v>8.6</v>
      </c>
      <c r="F7242" s="38">
        <v>8.4</v>
      </c>
      <c r="G7242" s="38">
        <v>16</v>
      </c>
      <c r="H7242" s="38">
        <v>7.3</v>
      </c>
      <c r="I7242" s="38">
        <v>3.5</v>
      </c>
      <c r="J7242" s="38">
        <v>29</v>
      </c>
      <c r="K7242" s="38">
        <v>25.7</v>
      </c>
      <c r="L7242" s="38">
        <v>12.4</v>
      </c>
      <c r="M7242" s="38">
        <v>13.2</v>
      </c>
      <c r="N7242" s="38">
        <v>17.599999999999994</v>
      </c>
      <c r="P7242" s="38">
        <v>14</v>
      </c>
      <c r="Q7242" s="38">
        <v>10</v>
      </c>
      <c r="R7242" s="38">
        <v>0</v>
      </c>
      <c r="U7242" s="38">
        <v>10</v>
      </c>
      <c r="V7242" s="38">
        <v>10.5</v>
      </c>
      <c r="W7242" s="38">
        <v>6.2</v>
      </c>
      <c r="X7242" s="38">
        <v>10</v>
      </c>
      <c r="Y7242" s="38">
        <v>8</v>
      </c>
      <c r="Z7242" s="38">
        <v>6</v>
      </c>
      <c r="AA7242" s="38">
        <v>18</v>
      </c>
      <c r="AB7242" s="38">
        <v>27</v>
      </c>
    </row>
    <row r="7243" spans="1:28" x14ac:dyDescent="0.25">
      <c r="A7243" s="22">
        <v>45594</v>
      </c>
      <c r="B7243" s="38">
        <v>3</v>
      </c>
      <c r="C7243" s="38">
        <v>7.6</v>
      </c>
      <c r="D7243" s="38">
        <v>10</v>
      </c>
      <c r="F7243" s="38">
        <v>18.2</v>
      </c>
      <c r="G7243" s="38">
        <v>40.1</v>
      </c>
      <c r="H7243" s="38">
        <v>23.4</v>
      </c>
      <c r="I7243" s="38">
        <v>26.4</v>
      </c>
      <c r="J7243" s="38">
        <v>23.8</v>
      </c>
      <c r="K7243" s="38">
        <v>21.9</v>
      </c>
      <c r="L7243" s="38">
        <v>32</v>
      </c>
      <c r="M7243" s="38">
        <v>32.200000000000003</v>
      </c>
      <c r="N7243" s="38">
        <v>31.399999999999991</v>
      </c>
      <c r="P7243" s="38">
        <v>21</v>
      </c>
      <c r="Q7243" s="38">
        <v>14.2</v>
      </c>
      <c r="R7243" s="38">
        <v>9.1</v>
      </c>
      <c r="U7243" s="38">
        <v>15</v>
      </c>
      <c r="V7243" s="38">
        <v>20.9</v>
      </c>
      <c r="W7243" s="38">
        <v>26.3</v>
      </c>
      <c r="X7243" s="38">
        <v>12</v>
      </c>
      <c r="Y7243" s="38">
        <v>20</v>
      </c>
      <c r="Z7243" s="38">
        <v>16</v>
      </c>
      <c r="AA7243" s="38">
        <v>6</v>
      </c>
      <c r="AB7243" s="38">
        <v>9</v>
      </c>
    </row>
    <row r="7244" spans="1:28" x14ac:dyDescent="0.25">
      <c r="A7244" s="22">
        <v>45595</v>
      </c>
      <c r="B7244" s="38">
        <v>6</v>
      </c>
      <c r="C7244" s="38">
        <v>3.6</v>
      </c>
      <c r="D7244" s="38">
        <v>2.2000000000000002</v>
      </c>
      <c r="F7244" s="38">
        <v>8.1999999999999993</v>
      </c>
      <c r="G7244" s="38">
        <v>10.5</v>
      </c>
      <c r="H7244" s="38">
        <v>7.1</v>
      </c>
      <c r="I7244" s="38">
        <v>13.2</v>
      </c>
      <c r="J7244" s="38">
        <v>12.4</v>
      </c>
      <c r="K7244" s="38">
        <v>14.5</v>
      </c>
      <c r="L7244" s="38">
        <v>11.7</v>
      </c>
      <c r="M7244" s="38">
        <v>7</v>
      </c>
      <c r="N7244" s="38">
        <v>0.2</v>
      </c>
      <c r="P7244" s="38">
        <v>10</v>
      </c>
      <c r="Q7244" s="38">
        <v>20</v>
      </c>
      <c r="R7244" s="38">
        <v>18</v>
      </c>
      <c r="U7244" s="38">
        <v>14</v>
      </c>
      <c r="V7244" s="38">
        <v>0</v>
      </c>
      <c r="W7244" s="38">
        <v>4.4000000000000004</v>
      </c>
      <c r="X7244" s="38">
        <v>33</v>
      </c>
      <c r="Y7244" s="38">
        <v>12</v>
      </c>
      <c r="Z7244" s="38">
        <v>14</v>
      </c>
      <c r="AA7244" s="38">
        <v>8</v>
      </c>
      <c r="AB7244" s="38">
        <v>0</v>
      </c>
    </row>
    <row r="7245" spans="1:28" x14ac:dyDescent="0.25">
      <c r="A7245" s="22">
        <v>45596</v>
      </c>
      <c r="B7245" s="38">
        <v>0</v>
      </c>
      <c r="C7245" s="38">
        <v>0.4</v>
      </c>
      <c r="D7245" s="38">
        <v>0</v>
      </c>
      <c r="F7245" s="38">
        <v>18.100000000000001</v>
      </c>
      <c r="G7245" s="38">
        <v>0</v>
      </c>
      <c r="H7245" s="38">
        <v>62</v>
      </c>
      <c r="I7245" s="38">
        <v>0.2</v>
      </c>
      <c r="J7245" s="38">
        <v>0</v>
      </c>
      <c r="K7245" s="38">
        <v>0</v>
      </c>
      <c r="L7245" s="38">
        <v>1</v>
      </c>
      <c r="M7245" s="38">
        <v>22</v>
      </c>
      <c r="N7245" s="38">
        <v>16.399999999999999</v>
      </c>
      <c r="P7245" s="38">
        <v>2</v>
      </c>
      <c r="Q7245" s="38">
        <v>0</v>
      </c>
      <c r="R7245" s="38">
        <v>7.1</v>
      </c>
      <c r="U7245" s="38">
        <v>3</v>
      </c>
      <c r="V7245" s="38">
        <v>0</v>
      </c>
      <c r="W7245" s="38">
        <v>6.4</v>
      </c>
      <c r="X7245" s="38">
        <v>1</v>
      </c>
      <c r="Y7245" s="38">
        <v>2</v>
      </c>
      <c r="Z7245" s="38">
        <v>2</v>
      </c>
      <c r="AA7245" s="38">
        <v>6</v>
      </c>
      <c r="AB7245" s="38">
        <v>0</v>
      </c>
    </row>
    <row r="7246" spans="1:28" x14ac:dyDescent="0.25">
      <c r="A7246" s="22">
        <v>45597</v>
      </c>
      <c r="B7246" s="38">
        <v>11</v>
      </c>
      <c r="C7246" s="38">
        <v>3.2</v>
      </c>
      <c r="D7246" s="38">
        <v>0</v>
      </c>
      <c r="E7246" s="38">
        <v>0</v>
      </c>
      <c r="F7246" s="38">
        <v>14</v>
      </c>
      <c r="G7246" s="38">
        <v>24.5</v>
      </c>
      <c r="H7246" s="38">
        <v>7</v>
      </c>
      <c r="I7246" s="38">
        <v>8.1</v>
      </c>
      <c r="J7246" s="38">
        <v>2.2000000000000002</v>
      </c>
      <c r="K7246" s="38">
        <v>0</v>
      </c>
      <c r="L7246" s="38">
        <v>2.032</v>
      </c>
      <c r="M7246" s="38">
        <v>22</v>
      </c>
      <c r="N7246" s="38">
        <v>7.0000000000000009</v>
      </c>
      <c r="P7246" s="38">
        <v>0</v>
      </c>
      <c r="Q7246" s="38">
        <v>15.4</v>
      </c>
      <c r="R7246" s="38">
        <v>0</v>
      </c>
      <c r="U7246" s="38">
        <v>6</v>
      </c>
      <c r="V7246" s="38">
        <v>4.2</v>
      </c>
      <c r="W7246" s="38">
        <v>2.2000000000000002</v>
      </c>
      <c r="X7246" s="38">
        <v>16</v>
      </c>
      <c r="Y7246" s="38">
        <v>31.2</v>
      </c>
      <c r="Z7246" s="38">
        <v>12</v>
      </c>
      <c r="AA7246" s="38">
        <v>2</v>
      </c>
      <c r="AB7246" s="38">
        <v>0</v>
      </c>
    </row>
    <row r="7247" spans="1:28" x14ac:dyDescent="0.25">
      <c r="A7247" s="22">
        <v>45598</v>
      </c>
      <c r="B7247" s="38">
        <v>0</v>
      </c>
      <c r="C7247" s="38">
        <v>2.2000000000000002</v>
      </c>
      <c r="D7247" s="38">
        <v>7.6</v>
      </c>
      <c r="E7247" s="38">
        <v>0</v>
      </c>
      <c r="F7247" s="38">
        <v>2.4</v>
      </c>
      <c r="G7247" s="38">
        <v>4.5999999999999996</v>
      </c>
      <c r="H7247" s="38">
        <v>2.1</v>
      </c>
      <c r="I7247" s="38">
        <v>15.4</v>
      </c>
      <c r="J7247" s="38">
        <v>18</v>
      </c>
      <c r="K7247" s="38">
        <v>18.3</v>
      </c>
      <c r="L7247" s="38">
        <v>3.8099999999999996</v>
      </c>
      <c r="M7247" s="38">
        <v>8.8000000000000007</v>
      </c>
      <c r="N7247" s="38">
        <v>0.8</v>
      </c>
      <c r="P7247" s="38">
        <v>6</v>
      </c>
      <c r="Q7247" s="38">
        <v>0</v>
      </c>
      <c r="R7247" s="38">
        <v>6.2</v>
      </c>
      <c r="U7247" s="38">
        <v>3</v>
      </c>
      <c r="V7247" s="38">
        <v>10.5</v>
      </c>
      <c r="W7247" s="38">
        <v>16.2</v>
      </c>
      <c r="X7247" s="38">
        <v>6</v>
      </c>
      <c r="Y7247" s="38">
        <v>0.4</v>
      </c>
      <c r="Z7247" s="38">
        <v>4</v>
      </c>
      <c r="AA7247" s="38">
        <v>2</v>
      </c>
      <c r="AB7247" s="38">
        <v>0</v>
      </c>
    </row>
    <row r="7248" spans="1:28" x14ac:dyDescent="0.25">
      <c r="A7248" s="22">
        <v>45599</v>
      </c>
      <c r="B7248" s="38">
        <v>0</v>
      </c>
      <c r="C7248" s="38">
        <v>0</v>
      </c>
      <c r="D7248" s="38">
        <v>0</v>
      </c>
      <c r="E7248" s="38">
        <v>0</v>
      </c>
      <c r="F7248" s="38">
        <v>0</v>
      </c>
      <c r="G7248" s="38">
        <v>0</v>
      </c>
      <c r="H7248" s="38">
        <v>0</v>
      </c>
      <c r="I7248" s="38">
        <v>0.1</v>
      </c>
      <c r="J7248" s="38">
        <v>1</v>
      </c>
      <c r="K7248" s="38">
        <v>0</v>
      </c>
      <c r="L7248" s="38">
        <v>1.016</v>
      </c>
      <c r="M7248" s="38">
        <v>0</v>
      </c>
      <c r="N7248" s="38">
        <v>0.2</v>
      </c>
      <c r="P7248" s="38">
        <v>0</v>
      </c>
      <c r="Q7248" s="38">
        <v>0</v>
      </c>
      <c r="R7248" s="38">
        <v>0</v>
      </c>
      <c r="U7248" s="38">
        <v>0</v>
      </c>
      <c r="V7248" s="38">
        <v>0</v>
      </c>
      <c r="W7248" s="38">
        <v>0</v>
      </c>
      <c r="X7248" s="38">
        <v>2</v>
      </c>
      <c r="Y7248" s="38">
        <v>0</v>
      </c>
      <c r="Z7248" s="38">
        <v>0</v>
      </c>
      <c r="AA7248" s="38">
        <v>2</v>
      </c>
      <c r="AB7248" s="38">
        <v>0</v>
      </c>
    </row>
    <row r="7249" spans="1:28" x14ac:dyDescent="0.25">
      <c r="A7249" s="22">
        <v>45600</v>
      </c>
      <c r="B7249" s="38">
        <v>3.5</v>
      </c>
      <c r="C7249" s="38">
        <v>0.8</v>
      </c>
      <c r="D7249" s="38">
        <v>0</v>
      </c>
      <c r="E7249" s="38">
        <v>0</v>
      </c>
      <c r="F7249" s="38">
        <v>0</v>
      </c>
      <c r="G7249" s="38">
        <v>0</v>
      </c>
      <c r="H7249" s="38">
        <v>0</v>
      </c>
      <c r="I7249" s="38">
        <v>0</v>
      </c>
      <c r="J7249" s="38">
        <v>1</v>
      </c>
      <c r="K7249" s="38">
        <v>0</v>
      </c>
      <c r="L7249" s="38">
        <v>0</v>
      </c>
      <c r="M7249" s="38">
        <v>0</v>
      </c>
      <c r="N7249" s="38">
        <v>17.599999999999998</v>
      </c>
      <c r="P7249" s="38">
        <v>0</v>
      </c>
      <c r="Q7249" s="38">
        <v>14.4</v>
      </c>
      <c r="R7249" s="38">
        <v>0</v>
      </c>
      <c r="U7249" s="38">
        <v>0</v>
      </c>
      <c r="V7249" s="38">
        <v>0</v>
      </c>
      <c r="W7249" s="38">
        <v>0</v>
      </c>
      <c r="X7249" s="38">
        <v>0</v>
      </c>
      <c r="Y7249" s="38">
        <v>0</v>
      </c>
      <c r="Z7249" s="38">
        <v>0</v>
      </c>
      <c r="AA7249" s="38">
        <v>0</v>
      </c>
      <c r="AB7249" s="38">
        <v>0</v>
      </c>
    </row>
    <row r="7250" spans="1:28" x14ac:dyDescent="0.25">
      <c r="A7250" s="22">
        <v>45601</v>
      </c>
      <c r="B7250" s="38">
        <v>15.5</v>
      </c>
      <c r="C7250" s="38">
        <v>24.2</v>
      </c>
      <c r="D7250" s="38">
        <v>24</v>
      </c>
      <c r="E7250" s="38">
        <v>0</v>
      </c>
      <c r="F7250" s="38">
        <v>26.4</v>
      </c>
      <c r="G7250" s="38">
        <v>21.5</v>
      </c>
      <c r="H7250" s="38">
        <v>31</v>
      </c>
      <c r="I7250" s="38">
        <v>6</v>
      </c>
      <c r="J7250" s="38">
        <v>34.5</v>
      </c>
      <c r="K7250" s="38">
        <v>28.3</v>
      </c>
      <c r="L7250" s="38">
        <v>32.003999999999998</v>
      </c>
      <c r="M7250" s="38">
        <v>30.8</v>
      </c>
      <c r="N7250" s="38">
        <v>14</v>
      </c>
      <c r="P7250" s="38">
        <v>34</v>
      </c>
      <c r="Q7250" s="38">
        <v>9.5</v>
      </c>
      <c r="R7250" s="38">
        <v>12</v>
      </c>
      <c r="U7250" s="38">
        <v>25</v>
      </c>
      <c r="V7250" s="38">
        <v>10.5</v>
      </c>
      <c r="W7250" s="38">
        <v>8.4</v>
      </c>
      <c r="X7250" s="38">
        <v>21</v>
      </c>
      <c r="Y7250" s="38">
        <v>24.6</v>
      </c>
      <c r="Z7250" s="38">
        <v>26</v>
      </c>
      <c r="AA7250" s="38">
        <v>8</v>
      </c>
      <c r="AB7250" s="38">
        <v>4</v>
      </c>
    </row>
    <row r="7251" spans="1:28" x14ac:dyDescent="0.25">
      <c r="A7251" s="22">
        <v>45602</v>
      </c>
      <c r="B7251" s="38">
        <v>18.5</v>
      </c>
      <c r="C7251" s="38">
        <v>9.6</v>
      </c>
      <c r="D7251" s="38">
        <v>10.199999999999999</v>
      </c>
      <c r="E7251" s="38">
        <v>15</v>
      </c>
      <c r="F7251" s="38">
        <v>6</v>
      </c>
      <c r="G7251" s="38">
        <v>9</v>
      </c>
      <c r="H7251" s="38">
        <v>7</v>
      </c>
      <c r="I7251" s="38">
        <v>14.5</v>
      </c>
      <c r="J7251" s="38">
        <v>17.399999999999999</v>
      </c>
      <c r="K7251" s="38">
        <v>14.6</v>
      </c>
      <c r="L7251" s="38">
        <v>20.827999999999996</v>
      </c>
      <c r="M7251" s="38">
        <v>9.3000000000000007</v>
      </c>
      <c r="N7251" s="38">
        <v>16.2</v>
      </c>
      <c r="P7251" s="38">
        <v>10</v>
      </c>
      <c r="Q7251" s="38">
        <v>1.5</v>
      </c>
      <c r="R7251" s="38">
        <v>7.1</v>
      </c>
      <c r="U7251" s="38">
        <v>14</v>
      </c>
      <c r="V7251" s="38">
        <v>0</v>
      </c>
      <c r="W7251" s="38">
        <v>0</v>
      </c>
      <c r="X7251" s="38">
        <v>4</v>
      </c>
      <c r="Y7251" s="38">
        <v>8</v>
      </c>
      <c r="Z7251" s="38">
        <v>4.8</v>
      </c>
      <c r="AA7251" s="38">
        <v>6</v>
      </c>
      <c r="AB7251" s="38">
        <v>18</v>
      </c>
    </row>
    <row r="7252" spans="1:28" x14ac:dyDescent="0.25">
      <c r="A7252" s="22">
        <v>45603</v>
      </c>
      <c r="B7252" s="38">
        <v>3</v>
      </c>
      <c r="C7252" s="38">
        <v>4.4000000000000004</v>
      </c>
      <c r="D7252" s="38">
        <v>10.199999999999999</v>
      </c>
      <c r="E7252" s="38">
        <v>0</v>
      </c>
      <c r="F7252" s="38">
        <v>6.3</v>
      </c>
      <c r="G7252" s="38">
        <v>0</v>
      </c>
      <c r="H7252" s="38">
        <v>4.4000000000000004</v>
      </c>
      <c r="I7252" s="38">
        <v>5.8</v>
      </c>
      <c r="J7252" s="38">
        <v>9.5</v>
      </c>
      <c r="K7252" s="38">
        <v>8.1999999999999993</v>
      </c>
      <c r="L7252" s="38">
        <v>2.794</v>
      </c>
      <c r="M7252" s="38">
        <v>5</v>
      </c>
      <c r="N7252" s="38">
        <v>10.8</v>
      </c>
      <c r="P7252" s="38">
        <v>8</v>
      </c>
      <c r="Q7252" s="38">
        <v>11.2</v>
      </c>
      <c r="R7252" s="38">
        <v>0</v>
      </c>
      <c r="U7252" s="38">
        <v>10</v>
      </c>
      <c r="V7252" s="38">
        <v>9.1999999999999993</v>
      </c>
      <c r="W7252" s="38">
        <v>4.4000000000000004</v>
      </c>
      <c r="X7252" s="38">
        <v>4</v>
      </c>
      <c r="Y7252" s="38">
        <v>4</v>
      </c>
      <c r="Z7252" s="38">
        <v>4.5</v>
      </c>
      <c r="AA7252" s="38">
        <v>6</v>
      </c>
      <c r="AB7252" s="38">
        <v>21</v>
      </c>
    </row>
    <row r="7253" spans="1:28" x14ac:dyDescent="0.25">
      <c r="A7253" s="22">
        <v>45604</v>
      </c>
      <c r="B7253" s="38">
        <v>5</v>
      </c>
      <c r="C7253" s="38">
        <v>9.1999999999999993</v>
      </c>
      <c r="D7253" s="38">
        <v>18</v>
      </c>
      <c r="E7253" s="38">
        <v>14</v>
      </c>
      <c r="F7253" s="38">
        <v>3.1</v>
      </c>
      <c r="G7253" s="38">
        <v>6.5</v>
      </c>
      <c r="H7253" s="38">
        <v>2.8</v>
      </c>
      <c r="I7253" s="38">
        <v>4</v>
      </c>
      <c r="J7253" s="38">
        <v>10</v>
      </c>
      <c r="K7253" s="38">
        <v>8.8000000000000007</v>
      </c>
      <c r="L7253" s="38">
        <v>6.35</v>
      </c>
      <c r="M7253" s="38">
        <v>2.6</v>
      </c>
      <c r="N7253" s="38">
        <v>22.200000000000003</v>
      </c>
      <c r="P7253" s="38">
        <v>14</v>
      </c>
      <c r="Q7253" s="38">
        <v>139</v>
      </c>
      <c r="R7253" s="38">
        <v>7</v>
      </c>
      <c r="U7253" s="38">
        <v>12</v>
      </c>
      <c r="V7253" s="38">
        <v>7.1</v>
      </c>
      <c r="W7253" s="38">
        <v>4.3</v>
      </c>
      <c r="X7253" s="38">
        <v>8</v>
      </c>
      <c r="Y7253" s="38">
        <v>8</v>
      </c>
      <c r="Z7253" s="38">
        <v>8</v>
      </c>
      <c r="AA7253" s="38">
        <v>6</v>
      </c>
      <c r="AB7253" s="38">
        <v>14</v>
      </c>
    </row>
    <row r="7254" spans="1:28" x14ac:dyDescent="0.25">
      <c r="A7254" s="22">
        <v>45605</v>
      </c>
      <c r="B7254" s="38">
        <v>132</v>
      </c>
      <c r="C7254" s="38">
        <v>174.8</v>
      </c>
      <c r="D7254" s="38">
        <v>173</v>
      </c>
      <c r="E7254" s="38">
        <v>14</v>
      </c>
      <c r="F7254" s="38">
        <v>104.2</v>
      </c>
      <c r="G7254" s="38">
        <v>106</v>
      </c>
      <c r="H7254" s="38">
        <v>110.8</v>
      </c>
      <c r="I7254" s="38">
        <v>96.8</v>
      </c>
      <c r="J7254" s="38">
        <v>123.2</v>
      </c>
      <c r="K7254" s="38">
        <v>128.80000000000001</v>
      </c>
      <c r="L7254" s="38">
        <v>111.50599999999999</v>
      </c>
      <c r="M7254" s="38">
        <v>121.2</v>
      </c>
      <c r="N7254" s="38">
        <v>139.39999999999995</v>
      </c>
      <c r="P7254" s="38">
        <v>126</v>
      </c>
      <c r="Q7254" s="38">
        <v>0</v>
      </c>
      <c r="R7254" s="38">
        <v>56</v>
      </c>
      <c r="U7254" s="38">
        <v>146</v>
      </c>
      <c r="V7254" s="38">
        <v>70.8</v>
      </c>
      <c r="W7254" s="38">
        <v>94.2</v>
      </c>
      <c r="X7254" s="38">
        <v>116</v>
      </c>
      <c r="Y7254" s="38">
        <v>57.2</v>
      </c>
      <c r="Z7254" s="38">
        <v>58</v>
      </c>
      <c r="AA7254" s="38">
        <v>6</v>
      </c>
      <c r="AB7254" s="38">
        <v>140</v>
      </c>
    </row>
    <row r="7255" spans="1:28" x14ac:dyDescent="0.25">
      <c r="A7255" s="22">
        <v>45606</v>
      </c>
      <c r="B7255" s="38">
        <v>2</v>
      </c>
      <c r="C7255" s="38">
        <v>2.2000000000000002</v>
      </c>
      <c r="D7255" s="38">
        <v>6</v>
      </c>
      <c r="E7255" s="38">
        <v>14</v>
      </c>
      <c r="F7255" s="38">
        <v>0.2</v>
      </c>
      <c r="G7255" s="38">
        <v>2.5</v>
      </c>
      <c r="H7255" s="38">
        <v>1.2</v>
      </c>
      <c r="I7255" s="38">
        <v>2</v>
      </c>
      <c r="J7255" s="38">
        <v>3</v>
      </c>
      <c r="K7255" s="38">
        <v>7.6</v>
      </c>
      <c r="L7255" s="38">
        <v>3.0479999999999996</v>
      </c>
      <c r="M7255" s="38">
        <v>0.2</v>
      </c>
      <c r="N7255" s="38">
        <v>19.599999999999998</v>
      </c>
      <c r="P7255" s="38">
        <v>14</v>
      </c>
      <c r="Q7255" s="38">
        <v>4</v>
      </c>
      <c r="R7255" s="38">
        <v>0</v>
      </c>
      <c r="U7255" s="38">
        <v>0</v>
      </c>
      <c r="V7255" s="38">
        <v>0</v>
      </c>
      <c r="W7255" s="38">
        <v>4.2</v>
      </c>
      <c r="X7255" s="38">
        <v>0</v>
      </c>
      <c r="Y7255" s="38">
        <v>0</v>
      </c>
      <c r="Z7255" s="38">
        <v>0.5</v>
      </c>
      <c r="AA7255" s="38">
        <v>6</v>
      </c>
      <c r="AB7255" s="38">
        <v>12</v>
      </c>
    </row>
    <row r="7256" spans="1:28" x14ac:dyDescent="0.25">
      <c r="A7256" s="22">
        <v>45607</v>
      </c>
      <c r="B7256" s="38">
        <v>8</v>
      </c>
      <c r="C7256" s="38">
        <v>13.2</v>
      </c>
      <c r="D7256" s="38">
        <v>8</v>
      </c>
      <c r="E7256" s="38">
        <v>0.3</v>
      </c>
      <c r="F7256" s="38">
        <v>2</v>
      </c>
      <c r="G7256" s="38">
        <v>15.5</v>
      </c>
      <c r="H7256" s="38">
        <v>5.2</v>
      </c>
      <c r="I7256" s="38">
        <v>8.8000000000000007</v>
      </c>
      <c r="J7256" s="38">
        <v>3</v>
      </c>
      <c r="K7256" s="38">
        <v>8.1999999999999993</v>
      </c>
      <c r="L7256" s="38">
        <v>3.556</v>
      </c>
      <c r="M7256" s="38">
        <v>12</v>
      </c>
      <c r="N7256" s="38">
        <v>19.600000000000001</v>
      </c>
      <c r="P7256" s="38">
        <v>8</v>
      </c>
      <c r="Q7256" s="38">
        <v>29</v>
      </c>
      <c r="R7256" s="38">
        <v>2.4</v>
      </c>
      <c r="U7256" s="38">
        <v>0</v>
      </c>
      <c r="V7256" s="38">
        <v>10.199999999999999</v>
      </c>
      <c r="W7256" s="38">
        <v>12.2</v>
      </c>
      <c r="X7256" s="38">
        <v>2</v>
      </c>
      <c r="Y7256" s="38">
        <v>0.8</v>
      </c>
      <c r="Z7256" s="38">
        <v>0</v>
      </c>
      <c r="AA7256" s="38">
        <v>156</v>
      </c>
      <c r="AB7256" s="38">
        <v>7</v>
      </c>
    </row>
    <row r="7257" spans="1:28" x14ac:dyDescent="0.25">
      <c r="A7257" s="22">
        <v>45608</v>
      </c>
      <c r="B7257" s="38">
        <v>29</v>
      </c>
      <c r="C7257" s="38">
        <v>35.6</v>
      </c>
      <c r="D7257" s="38">
        <v>33.799999999999997</v>
      </c>
      <c r="E7257" s="38">
        <v>22</v>
      </c>
      <c r="F7257" s="38">
        <v>17.2</v>
      </c>
      <c r="G7257" s="38">
        <v>46.5</v>
      </c>
      <c r="H7257" s="38">
        <v>23</v>
      </c>
      <c r="I7257" s="38">
        <v>44</v>
      </c>
      <c r="J7257" s="38">
        <v>52.2</v>
      </c>
      <c r="K7257" s="38">
        <v>52.8</v>
      </c>
      <c r="L7257" s="38">
        <v>28.955999999999996</v>
      </c>
      <c r="M7257" s="38">
        <v>36.799999999999997</v>
      </c>
      <c r="N7257" s="38">
        <v>143.6</v>
      </c>
      <c r="P7257" s="38">
        <v>0</v>
      </c>
      <c r="Q7257" s="38">
        <v>82</v>
      </c>
      <c r="R7257" s="38">
        <v>40.1</v>
      </c>
      <c r="U7257" s="38">
        <v>85</v>
      </c>
      <c r="V7257" s="38">
        <v>0</v>
      </c>
      <c r="W7257" s="38">
        <v>0</v>
      </c>
      <c r="X7257" s="38">
        <v>26</v>
      </c>
      <c r="Y7257" s="38">
        <v>18</v>
      </c>
      <c r="Z7257" s="38">
        <v>20</v>
      </c>
      <c r="AA7257" s="38">
        <v>22</v>
      </c>
      <c r="AB7257" s="38">
        <v>175</v>
      </c>
    </row>
    <row r="7258" spans="1:28" x14ac:dyDescent="0.25">
      <c r="A7258" s="22">
        <v>45609</v>
      </c>
      <c r="B7258" s="38">
        <v>60</v>
      </c>
      <c r="C7258" s="38">
        <v>79.599999999999994</v>
      </c>
      <c r="D7258" s="38">
        <v>99.4</v>
      </c>
      <c r="E7258" s="38">
        <v>52</v>
      </c>
      <c r="F7258" s="38">
        <v>104.3</v>
      </c>
      <c r="G7258" s="38">
        <v>114</v>
      </c>
      <c r="H7258" s="38">
        <v>121.8</v>
      </c>
      <c r="I7258" s="38">
        <v>106</v>
      </c>
      <c r="J7258" s="38">
        <v>0</v>
      </c>
      <c r="K7258" s="38">
        <v>96.6</v>
      </c>
      <c r="L7258" s="38">
        <v>65.024000000000001</v>
      </c>
      <c r="M7258" s="38">
        <v>93.3</v>
      </c>
      <c r="N7258" s="38">
        <v>3.2000000000000006</v>
      </c>
      <c r="P7258" s="38">
        <v>44</v>
      </c>
      <c r="Q7258" s="38">
        <v>0</v>
      </c>
      <c r="R7258" s="38">
        <v>58</v>
      </c>
      <c r="U7258" s="38">
        <v>105</v>
      </c>
      <c r="V7258" s="38">
        <v>0</v>
      </c>
      <c r="W7258" s="38">
        <v>0</v>
      </c>
      <c r="X7258" s="38">
        <v>96</v>
      </c>
      <c r="Y7258" s="38">
        <v>102</v>
      </c>
      <c r="Z7258" s="38">
        <v>106</v>
      </c>
      <c r="AA7258" s="38">
        <v>206</v>
      </c>
      <c r="AB7258" s="38">
        <v>78</v>
      </c>
    </row>
    <row r="7259" spans="1:28" x14ac:dyDescent="0.25">
      <c r="A7259" s="22">
        <v>45610</v>
      </c>
      <c r="B7259" s="38">
        <v>7</v>
      </c>
      <c r="C7259" s="38">
        <v>0.4</v>
      </c>
      <c r="D7259" s="38">
        <v>0</v>
      </c>
      <c r="E7259" s="38">
        <v>7</v>
      </c>
      <c r="F7259" s="38">
        <v>6.4</v>
      </c>
      <c r="G7259" s="38">
        <v>9.5</v>
      </c>
      <c r="H7259" s="38">
        <v>11</v>
      </c>
      <c r="I7259" s="38">
        <v>2.2000000000000002</v>
      </c>
      <c r="J7259" s="38">
        <v>0</v>
      </c>
      <c r="K7259" s="38">
        <v>4.5999999999999996</v>
      </c>
      <c r="L7259" s="38">
        <v>4.5719999999999992</v>
      </c>
      <c r="M7259" s="38">
        <v>7.8</v>
      </c>
      <c r="N7259" s="38">
        <v>0.60000000000000009</v>
      </c>
      <c r="P7259" s="38">
        <v>6</v>
      </c>
      <c r="Q7259" s="38">
        <v>0</v>
      </c>
      <c r="R7259" s="38">
        <v>7</v>
      </c>
      <c r="U7259" s="38">
        <v>0</v>
      </c>
      <c r="V7259" s="38">
        <v>0</v>
      </c>
      <c r="W7259" s="38">
        <v>0</v>
      </c>
      <c r="X7259" s="38">
        <v>40</v>
      </c>
      <c r="Y7259" s="38">
        <v>2</v>
      </c>
      <c r="Z7259" s="38">
        <v>2</v>
      </c>
      <c r="AA7259" s="38">
        <v>8</v>
      </c>
      <c r="AB7259" s="38">
        <v>0</v>
      </c>
    </row>
    <row r="7260" spans="1:28" x14ac:dyDescent="0.25">
      <c r="A7260" s="22">
        <v>45611</v>
      </c>
      <c r="B7260" s="38">
        <v>0</v>
      </c>
      <c r="C7260" s="38">
        <v>0</v>
      </c>
      <c r="D7260" s="38">
        <v>0</v>
      </c>
      <c r="E7260" s="38">
        <v>0</v>
      </c>
      <c r="F7260" s="38">
        <v>0</v>
      </c>
      <c r="G7260" s="38">
        <v>0</v>
      </c>
      <c r="H7260" s="38">
        <v>0.6</v>
      </c>
      <c r="I7260" s="38">
        <v>0</v>
      </c>
      <c r="J7260" s="38">
        <v>0</v>
      </c>
      <c r="K7260" s="38">
        <v>0</v>
      </c>
      <c r="L7260" s="38">
        <v>0</v>
      </c>
      <c r="M7260" s="38">
        <v>0</v>
      </c>
      <c r="N7260" s="38">
        <v>4</v>
      </c>
      <c r="P7260" s="38">
        <v>0</v>
      </c>
      <c r="Q7260" s="38">
        <v>0</v>
      </c>
      <c r="R7260" s="38">
        <v>0</v>
      </c>
      <c r="U7260" s="38">
        <v>0</v>
      </c>
      <c r="V7260" s="38">
        <v>0</v>
      </c>
      <c r="W7260" s="38">
        <v>0</v>
      </c>
      <c r="X7260" s="38">
        <v>70</v>
      </c>
      <c r="Y7260" s="38">
        <v>0</v>
      </c>
      <c r="Z7260" s="38">
        <v>0</v>
      </c>
      <c r="AA7260" s="38">
        <v>8</v>
      </c>
      <c r="AB7260" s="38">
        <v>0</v>
      </c>
    </row>
    <row r="7261" spans="1:28" x14ac:dyDescent="0.25">
      <c r="A7261" s="22">
        <v>45612</v>
      </c>
      <c r="B7261" s="38">
        <v>0</v>
      </c>
      <c r="C7261" s="38">
        <v>0</v>
      </c>
      <c r="D7261" s="38">
        <v>0</v>
      </c>
      <c r="E7261" s="38">
        <v>7</v>
      </c>
      <c r="F7261" s="38">
        <v>0</v>
      </c>
      <c r="G7261" s="38">
        <v>0</v>
      </c>
      <c r="H7261" s="38">
        <v>0.2</v>
      </c>
      <c r="I7261" s="38">
        <v>6</v>
      </c>
      <c r="J7261" s="38">
        <v>0</v>
      </c>
      <c r="K7261" s="38">
        <v>0</v>
      </c>
      <c r="L7261" s="38">
        <v>0.50800000000000001</v>
      </c>
      <c r="M7261" s="38">
        <v>3.4</v>
      </c>
      <c r="N7261" s="38">
        <v>5.8000000000000007</v>
      </c>
      <c r="P7261" s="38">
        <v>3</v>
      </c>
      <c r="Q7261" s="38">
        <v>1.1000000000000001</v>
      </c>
      <c r="R7261" s="38">
        <v>0</v>
      </c>
      <c r="U7261" s="38">
        <v>5</v>
      </c>
      <c r="V7261" s="38">
        <v>0</v>
      </c>
      <c r="W7261" s="38">
        <v>0</v>
      </c>
      <c r="X7261" s="38">
        <v>0</v>
      </c>
      <c r="Y7261" s="38">
        <v>0</v>
      </c>
      <c r="Z7261" s="38">
        <v>0</v>
      </c>
      <c r="AA7261" s="38">
        <v>0</v>
      </c>
      <c r="AB7261" s="38">
        <v>17</v>
      </c>
    </row>
    <row r="7262" spans="1:28" x14ac:dyDescent="0.25">
      <c r="A7262" s="22">
        <v>45613</v>
      </c>
      <c r="B7262" s="38">
        <v>5</v>
      </c>
      <c r="C7262" s="38">
        <v>6.8</v>
      </c>
      <c r="D7262" s="38">
        <v>10</v>
      </c>
      <c r="E7262" s="38">
        <v>0</v>
      </c>
      <c r="F7262" s="38">
        <v>0</v>
      </c>
      <c r="G7262" s="38">
        <v>2.5</v>
      </c>
      <c r="H7262" s="38">
        <v>6.4</v>
      </c>
      <c r="I7262" s="38">
        <v>2.2000000000000002</v>
      </c>
      <c r="J7262" s="38">
        <v>4</v>
      </c>
      <c r="K7262" s="38">
        <v>7.2</v>
      </c>
      <c r="L7262" s="38">
        <v>0</v>
      </c>
      <c r="M7262" s="38">
        <v>4.2</v>
      </c>
      <c r="N7262" s="38">
        <v>30.599999999999998</v>
      </c>
      <c r="P7262" s="38">
        <v>0</v>
      </c>
      <c r="Q7262" s="38">
        <v>57.9</v>
      </c>
      <c r="R7262" s="38">
        <v>4.2</v>
      </c>
      <c r="U7262" s="38">
        <v>6</v>
      </c>
      <c r="V7262" s="38">
        <v>0</v>
      </c>
      <c r="W7262" s="38">
        <v>0</v>
      </c>
      <c r="X7262" s="38">
        <v>0</v>
      </c>
      <c r="Y7262" s="38">
        <v>8</v>
      </c>
      <c r="Z7262" s="38">
        <v>6</v>
      </c>
      <c r="AA7262" s="38">
        <v>0</v>
      </c>
      <c r="AB7262" s="38">
        <v>23</v>
      </c>
    </row>
    <row r="7263" spans="1:28" x14ac:dyDescent="0.25">
      <c r="A7263" s="22">
        <v>45614</v>
      </c>
      <c r="B7263" s="38">
        <v>43</v>
      </c>
      <c r="C7263" s="38">
        <v>23.2</v>
      </c>
      <c r="D7263" s="38">
        <v>42</v>
      </c>
      <c r="E7263" s="38">
        <v>47</v>
      </c>
      <c r="F7263" s="38">
        <v>128.30000000000001</v>
      </c>
      <c r="G7263" s="38">
        <v>52</v>
      </c>
      <c r="H7263" s="38">
        <v>102.4</v>
      </c>
      <c r="I7263" s="38">
        <v>48.5</v>
      </c>
      <c r="J7263" s="38">
        <v>38</v>
      </c>
      <c r="K7263" s="38">
        <v>24</v>
      </c>
      <c r="L7263" s="38">
        <v>44.704000000000001</v>
      </c>
      <c r="M7263" s="38">
        <v>86.4</v>
      </c>
      <c r="N7263" s="38">
        <v>26.799999999999994</v>
      </c>
      <c r="P7263" s="38">
        <v>32</v>
      </c>
      <c r="Q7263" s="38">
        <v>126.2</v>
      </c>
      <c r="R7263" s="38">
        <v>78.2</v>
      </c>
      <c r="U7263" s="38">
        <v>58</v>
      </c>
      <c r="V7263" s="38">
        <v>20.9</v>
      </c>
      <c r="W7263" s="38">
        <v>52.3</v>
      </c>
      <c r="X7263" s="38">
        <v>105</v>
      </c>
      <c r="Y7263" s="38">
        <v>82</v>
      </c>
      <c r="Z7263" s="38">
        <v>120</v>
      </c>
      <c r="AA7263" s="38">
        <v>76</v>
      </c>
      <c r="AB7263" s="38">
        <v>5</v>
      </c>
    </row>
    <row r="7264" spans="1:28" x14ac:dyDescent="0.25">
      <c r="A7264" s="22">
        <v>45615</v>
      </c>
      <c r="B7264" s="38">
        <v>55</v>
      </c>
      <c r="C7264" s="38">
        <v>49.6</v>
      </c>
      <c r="D7264" s="38">
        <v>70</v>
      </c>
      <c r="E7264" s="38">
        <v>75</v>
      </c>
      <c r="F7264" s="38">
        <v>23.1</v>
      </c>
      <c r="G7264" s="38">
        <v>107</v>
      </c>
      <c r="H7264" s="38">
        <v>28</v>
      </c>
      <c r="I7264" s="38">
        <v>118</v>
      </c>
      <c r="J7264" s="38">
        <v>103</v>
      </c>
      <c r="K7264" s="38">
        <v>95</v>
      </c>
      <c r="L7264" s="38">
        <v>72.643999999999991</v>
      </c>
      <c r="M7264" s="38">
        <v>61.1</v>
      </c>
      <c r="N7264" s="38">
        <v>97.800000000000026</v>
      </c>
      <c r="P7264" s="38">
        <v>78</v>
      </c>
      <c r="Q7264" s="38">
        <v>0.8</v>
      </c>
      <c r="R7264" s="38">
        <v>50.1</v>
      </c>
      <c r="U7264" s="38">
        <v>150</v>
      </c>
      <c r="V7264" s="38">
        <v>0</v>
      </c>
      <c r="W7264" s="38">
        <v>0</v>
      </c>
      <c r="X7264" s="38">
        <v>103</v>
      </c>
      <c r="Y7264" s="38">
        <v>40.799999999999997</v>
      </c>
      <c r="Z7264" s="38">
        <v>58.2</v>
      </c>
      <c r="AA7264" s="38">
        <v>120</v>
      </c>
      <c r="AB7264" s="38">
        <v>25</v>
      </c>
    </row>
    <row r="7265" spans="1:28" x14ac:dyDescent="0.25">
      <c r="A7265" s="22">
        <v>45616</v>
      </c>
      <c r="B7265" s="38">
        <v>0</v>
      </c>
      <c r="C7265" s="38">
        <v>10.4</v>
      </c>
      <c r="D7265" s="38">
        <v>6</v>
      </c>
      <c r="E7265" s="38">
        <v>0</v>
      </c>
      <c r="F7265" s="38">
        <v>1.3</v>
      </c>
      <c r="G7265" s="38">
        <v>3</v>
      </c>
      <c r="H7265" s="38">
        <v>1</v>
      </c>
      <c r="I7265" s="38">
        <v>8.1999999999999993</v>
      </c>
      <c r="J7265" s="38">
        <v>18.5</v>
      </c>
      <c r="K7265" s="38">
        <v>12.3</v>
      </c>
      <c r="L7265" s="38">
        <v>24.13</v>
      </c>
      <c r="M7265" s="38">
        <v>3.2</v>
      </c>
      <c r="N7265" s="38">
        <v>11.599999999999998</v>
      </c>
      <c r="P7265" s="38">
        <v>39</v>
      </c>
      <c r="Q7265" s="38">
        <v>0</v>
      </c>
      <c r="R7265" s="38">
        <v>0</v>
      </c>
      <c r="U7265" s="38">
        <v>0</v>
      </c>
      <c r="V7265" s="38">
        <v>0</v>
      </c>
      <c r="W7265" s="38">
        <v>0</v>
      </c>
      <c r="X7265" s="38">
        <v>1</v>
      </c>
      <c r="Y7265" s="38">
        <v>0</v>
      </c>
      <c r="Z7265" s="38">
        <v>0</v>
      </c>
      <c r="AA7265" s="38">
        <v>12</v>
      </c>
      <c r="AB7265" s="38">
        <v>17</v>
      </c>
    </row>
    <row r="7266" spans="1:28" x14ac:dyDescent="0.25">
      <c r="A7266" s="22">
        <v>45617</v>
      </c>
      <c r="B7266" s="38">
        <v>0</v>
      </c>
      <c r="C7266" s="38">
        <v>0</v>
      </c>
      <c r="D7266" s="38">
        <v>0</v>
      </c>
      <c r="E7266" s="38">
        <v>0</v>
      </c>
      <c r="F7266" s="38">
        <v>0</v>
      </c>
      <c r="G7266" s="38">
        <v>0</v>
      </c>
      <c r="H7266" s="38">
        <v>1.2</v>
      </c>
      <c r="I7266" s="38">
        <v>0.3</v>
      </c>
      <c r="J7266" s="38">
        <v>1.2</v>
      </c>
      <c r="K7266" s="38">
        <v>0</v>
      </c>
      <c r="L7266" s="38">
        <v>0</v>
      </c>
      <c r="M7266" s="38">
        <v>0</v>
      </c>
      <c r="N7266" s="38">
        <v>0.8</v>
      </c>
      <c r="P7266" s="38">
        <v>0</v>
      </c>
      <c r="Q7266" s="38">
        <v>1.7</v>
      </c>
      <c r="R7266" s="38">
        <v>0</v>
      </c>
      <c r="U7266" s="38">
        <v>0</v>
      </c>
      <c r="V7266" s="38">
        <v>0</v>
      </c>
      <c r="W7266" s="38">
        <v>0</v>
      </c>
      <c r="X7266" s="38">
        <v>0</v>
      </c>
      <c r="Y7266" s="38">
        <v>0</v>
      </c>
      <c r="Z7266" s="38">
        <v>0</v>
      </c>
      <c r="AA7266" s="38">
        <v>0</v>
      </c>
      <c r="AB7266" s="38">
        <v>0</v>
      </c>
    </row>
    <row r="7267" spans="1:28" x14ac:dyDescent="0.25">
      <c r="A7267" s="22">
        <v>45618</v>
      </c>
      <c r="B7267" s="38">
        <v>15</v>
      </c>
      <c r="C7267" s="38">
        <v>0</v>
      </c>
      <c r="D7267" s="38">
        <v>2.4</v>
      </c>
      <c r="E7267" s="38">
        <v>0</v>
      </c>
      <c r="F7267" s="38">
        <v>0</v>
      </c>
      <c r="G7267" s="38">
        <v>1</v>
      </c>
      <c r="H7267" s="38">
        <v>1.2</v>
      </c>
      <c r="I7267" s="38">
        <v>2</v>
      </c>
      <c r="J7267" s="38">
        <v>1.2</v>
      </c>
      <c r="K7267" s="38">
        <v>2</v>
      </c>
      <c r="L7267" s="38">
        <v>1.5239999999999998</v>
      </c>
      <c r="M7267" s="38">
        <v>0.9</v>
      </c>
      <c r="N7267" s="38">
        <v>21.200000000000003</v>
      </c>
      <c r="P7267" s="38">
        <v>2</v>
      </c>
      <c r="Q7267" s="38">
        <v>5.6</v>
      </c>
      <c r="R7267" s="38">
        <v>4</v>
      </c>
      <c r="U7267" s="38">
        <v>0</v>
      </c>
      <c r="V7267" s="38">
        <v>0</v>
      </c>
      <c r="X7267" s="38">
        <v>1</v>
      </c>
      <c r="Y7267" s="38">
        <v>0</v>
      </c>
      <c r="Z7267" s="38">
        <v>0</v>
      </c>
      <c r="AA7267" s="38">
        <v>8</v>
      </c>
      <c r="AB7267" s="38">
        <v>2</v>
      </c>
    </row>
    <row r="7268" spans="1:28" x14ac:dyDescent="0.25">
      <c r="A7268" s="22">
        <v>45619</v>
      </c>
      <c r="B7268" s="38">
        <v>0</v>
      </c>
      <c r="C7268" s="38">
        <v>35.6</v>
      </c>
      <c r="D7268" s="38">
        <v>45.6</v>
      </c>
      <c r="E7268" s="38">
        <v>0</v>
      </c>
      <c r="F7268" s="38">
        <v>2.2000000000000002</v>
      </c>
      <c r="G7268" s="38">
        <v>5.5</v>
      </c>
      <c r="H7268" s="38">
        <v>1.2</v>
      </c>
      <c r="I7268" s="38">
        <v>2.8</v>
      </c>
      <c r="J7268" s="38">
        <v>7.5</v>
      </c>
      <c r="K7268" s="38">
        <v>9.6</v>
      </c>
      <c r="L7268" s="38">
        <v>6.6040000000000001</v>
      </c>
      <c r="M7268" s="38">
        <v>4.5999999999999996</v>
      </c>
      <c r="N7268" s="38">
        <v>24.599999999999998</v>
      </c>
      <c r="P7268" s="38">
        <v>6</v>
      </c>
      <c r="Q7268" s="38">
        <v>14</v>
      </c>
      <c r="R7268" s="38">
        <v>10</v>
      </c>
      <c r="U7268" s="38">
        <v>0</v>
      </c>
      <c r="V7268" s="38">
        <v>2.2000000000000002</v>
      </c>
      <c r="W7268" s="38">
        <v>0</v>
      </c>
      <c r="X7268" s="38">
        <v>4</v>
      </c>
      <c r="Y7268" s="38">
        <v>6</v>
      </c>
      <c r="Z7268" s="38">
        <v>8</v>
      </c>
      <c r="AA7268" s="38">
        <v>8</v>
      </c>
      <c r="AB7268" s="38">
        <v>0</v>
      </c>
    </row>
    <row r="7269" spans="1:28" x14ac:dyDescent="0.25">
      <c r="A7269" s="22">
        <v>45620</v>
      </c>
      <c r="B7269" s="38">
        <v>32</v>
      </c>
      <c r="C7269" s="38">
        <v>8.1999999999999993</v>
      </c>
      <c r="D7269" s="38">
        <v>8</v>
      </c>
      <c r="E7269" s="38">
        <v>0</v>
      </c>
      <c r="F7269" s="38">
        <v>21.2</v>
      </c>
      <c r="G7269" s="38">
        <v>17.5</v>
      </c>
      <c r="H7269" s="38">
        <v>11</v>
      </c>
      <c r="I7269" s="38">
        <v>16</v>
      </c>
      <c r="J7269" s="38">
        <v>11.4</v>
      </c>
      <c r="K7269" s="38">
        <v>12.8</v>
      </c>
      <c r="L7269" s="38">
        <v>8.8899999999999988</v>
      </c>
      <c r="M7269" s="38">
        <v>16.2</v>
      </c>
      <c r="N7269" s="38">
        <v>13.199999999999994</v>
      </c>
      <c r="P7269" s="38">
        <v>11</v>
      </c>
      <c r="Q7269" s="38">
        <v>5.7</v>
      </c>
      <c r="R7269" s="38">
        <v>0</v>
      </c>
      <c r="U7269" s="38">
        <v>4</v>
      </c>
      <c r="V7269" s="38">
        <v>2.2000000000000002</v>
      </c>
      <c r="W7269" s="38">
        <v>16</v>
      </c>
      <c r="X7269" s="38">
        <v>18</v>
      </c>
      <c r="Y7269" s="38">
        <v>34</v>
      </c>
      <c r="Z7269" s="38">
        <v>36</v>
      </c>
      <c r="AA7269" s="38">
        <v>8</v>
      </c>
      <c r="AB7269" s="38">
        <v>3</v>
      </c>
    </row>
    <row r="7270" spans="1:28" x14ac:dyDescent="0.25">
      <c r="A7270" s="22">
        <v>45621</v>
      </c>
      <c r="B7270" s="38">
        <v>5</v>
      </c>
      <c r="C7270" s="38">
        <v>12</v>
      </c>
      <c r="D7270" s="38">
        <v>17</v>
      </c>
      <c r="E7270" s="38">
        <v>0</v>
      </c>
      <c r="F7270" s="38">
        <v>10</v>
      </c>
      <c r="G7270" s="38">
        <v>14.5</v>
      </c>
      <c r="H7270" s="38">
        <v>12</v>
      </c>
      <c r="I7270" s="38">
        <v>7</v>
      </c>
      <c r="J7270" s="38">
        <v>20</v>
      </c>
      <c r="K7270" s="38">
        <v>18</v>
      </c>
      <c r="L7270" s="38">
        <v>2.032</v>
      </c>
      <c r="M7270" s="38">
        <v>10</v>
      </c>
      <c r="N7270" s="38">
        <v>5.4</v>
      </c>
      <c r="P7270" s="38">
        <v>2</v>
      </c>
      <c r="Q7270" s="38">
        <v>4.5</v>
      </c>
      <c r="R7270" s="38">
        <v>16</v>
      </c>
      <c r="U7270" s="38">
        <v>45</v>
      </c>
      <c r="V7270" s="38">
        <v>10.6</v>
      </c>
      <c r="W7270" s="38">
        <v>10.199999999999999</v>
      </c>
      <c r="X7270" s="38">
        <v>7</v>
      </c>
      <c r="Y7270" s="38">
        <v>4</v>
      </c>
      <c r="Z7270" s="38">
        <v>16</v>
      </c>
      <c r="AA7270" s="38">
        <v>40</v>
      </c>
      <c r="AB7270" s="38">
        <v>0</v>
      </c>
    </row>
    <row r="7271" spans="1:28" x14ac:dyDescent="0.25">
      <c r="A7271" s="22">
        <v>45622</v>
      </c>
      <c r="B7271" s="38">
        <v>2</v>
      </c>
      <c r="C7271" s="38">
        <v>3.2</v>
      </c>
      <c r="D7271" s="38">
        <v>3</v>
      </c>
      <c r="E7271" s="38">
        <v>5</v>
      </c>
      <c r="F7271" s="38">
        <v>2.1</v>
      </c>
      <c r="G7271" s="38">
        <v>0</v>
      </c>
      <c r="H7271" s="38">
        <v>0.2</v>
      </c>
      <c r="I7271" s="38">
        <v>0.1</v>
      </c>
      <c r="J7271" s="38">
        <v>7</v>
      </c>
      <c r="K7271" s="38">
        <v>6.5</v>
      </c>
      <c r="L7271" s="38">
        <v>1.016</v>
      </c>
      <c r="M7271" s="38">
        <v>0</v>
      </c>
      <c r="N7271" s="38">
        <v>11.4</v>
      </c>
      <c r="P7271" s="38">
        <v>4</v>
      </c>
      <c r="Q7271" s="38">
        <v>24.5</v>
      </c>
      <c r="R7271" s="38">
        <v>0</v>
      </c>
      <c r="U7271" s="38">
        <v>5</v>
      </c>
      <c r="V7271" s="38">
        <v>0</v>
      </c>
      <c r="W7271" s="38">
        <v>1.5</v>
      </c>
      <c r="X7271" s="38">
        <v>0</v>
      </c>
      <c r="Y7271" s="38">
        <v>0</v>
      </c>
      <c r="Z7271" s="38">
        <v>0</v>
      </c>
      <c r="AA7271" s="38">
        <v>0</v>
      </c>
      <c r="AB7271" s="38">
        <v>4</v>
      </c>
    </row>
    <row r="7272" spans="1:28" x14ac:dyDescent="0.25">
      <c r="A7272" s="22">
        <v>45623</v>
      </c>
      <c r="B7272" s="38">
        <v>45</v>
      </c>
      <c r="C7272" s="38">
        <v>22.8</v>
      </c>
      <c r="D7272" s="38">
        <v>20</v>
      </c>
      <c r="E7272" s="38">
        <v>45</v>
      </c>
      <c r="F7272" s="38">
        <v>16.2</v>
      </c>
      <c r="G7272" s="38">
        <v>19.5</v>
      </c>
      <c r="H7272" s="38">
        <v>12.2</v>
      </c>
      <c r="I7272" s="38">
        <v>21.2</v>
      </c>
      <c r="J7272" s="38">
        <v>14.2</v>
      </c>
      <c r="K7272" s="38">
        <v>17.600000000000001</v>
      </c>
      <c r="L7272" s="38">
        <v>45.72</v>
      </c>
      <c r="M7272" s="38">
        <v>14.1</v>
      </c>
      <c r="N7272" s="38">
        <v>11.199999999999996</v>
      </c>
      <c r="P7272" s="38">
        <v>56</v>
      </c>
      <c r="Q7272" s="38">
        <v>13</v>
      </c>
      <c r="R7272" s="38">
        <v>19.5</v>
      </c>
      <c r="U7272" s="38">
        <v>20</v>
      </c>
      <c r="V7272" s="38">
        <v>0</v>
      </c>
      <c r="W7272" s="38">
        <v>0</v>
      </c>
      <c r="X7272" s="38">
        <v>24</v>
      </c>
      <c r="Y7272" s="38">
        <v>0</v>
      </c>
      <c r="Z7272" s="38">
        <v>14.2</v>
      </c>
      <c r="AA7272" s="38">
        <v>12</v>
      </c>
      <c r="AB7272" s="38">
        <v>20</v>
      </c>
    </row>
    <row r="7273" spans="1:28" x14ac:dyDescent="0.25">
      <c r="A7273" s="22">
        <v>45624</v>
      </c>
      <c r="B7273" s="38">
        <v>14</v>
      </c>
      <c r="C7273" s="38">
        <v>18.8</v>
      </c>
      <c r="D7273" s="38">
        <v>12.2</v>
      </c>
      <c r="E7273" s="38">
        <v>0</v>
      </c>
      <c r="F7273" s="38">
        <v>0</v>
      </c>
      <c r="G7273" s="38">
        <v>1.8</v>
      </c>
      <c r="H7273" s="38">
        <v>1.4</v>
      </c>
      <c r="I7273" s="38">
        <v>2</v>
      </c>
      <c r="J7273" s="38">
        <v>1</v>
      </c>
      <c r="K7273" s="38">
        <v>2</v>
      </c>
      <c r="L7273" s="38">
        <v>7.1120000000000001</v>
      </c>
      <c r="M7273" s="38">
        <v>1.8</v>
      </c>
      <c r="N7273" s="38">
        <v>24.800000000000004</v>
      </c>
      <c r="P7273" s="38">
        <v>6</v>
      </c>
      <c r="Q7273" s="38">
        <v>6.5</v>
      </c>
      <c r="R7273" s="38">
        <v>6</v>
      </c>
      <c r="U7273" s="38">
        <v>7</v>
      </c>
      <c r="V7273" s="38">
        <v>0</v>
      </c>
      <c r="W7273" s="38">
        <v>0</v>
      </c>
      <c r="X7273" s="38">
        <v>10</v>
      </c>
      <c r="Y7273" s="38">
        <v>16.2</v>
      </c>
      <c r="Z7273" s="38">
        <v>0.5</v>
      </c>
      <c r="AA7273" s="38">
        <v>7</v>
      </c>
      <c r="AB7273" s="38">
        <v>10</v>
      </c>
    </row>
    <row r="7274" spans="1:28" x14ac:dyDescent="0.25">
      <c r="A7274" s="22">
        <v>45625</v>
      </c>
      <c r="B7274" s="38">
        <v>28</v>
      </c>
      <c r="C7274" s="38">
        <v>44.2</v>
      </c>
      <c r="D7274" s="38">
        <v>45.2</v>
      </c>
      <c r="E7274" s="38">
        <v>8</v>
      </c>
      <c r="F7274" s="38">
        <v>7</v>
      </c>
      <c r="G7274" s="38">
        <v>15.5</v>
      </c>
      <c r="H7274" s="38">
        <v>10.4</v>
      </c>
      <c r="I7274" s="38">
        <v>9.1</v>
      </c>
      <c r="J7274" s="38">
        <v>27.5</v>
      </c>
      <c r="K7274" s="38">
        <v>21.6</v>
      </c>
      <c r="L7274" s="38">
        <v>18.287999999999997</v>
      </c>
      <c r="M7274" s="38">
        <v>15.6</v>
      </c>
      <c r="N7274" s="38">
        <v>7.6000000000000023</v>
      </c>
      <c r="P7274" s="38">
        <v>18</v>
      </c>
      <c r="Q7274" s="38">
        <v>23</v>
      </c>
      <c r="R7274" s="38">
        <v>6</v>
      </c>
      <c r="U7274" s="38">
        <v>16</v>
      </c>
      <c r="V7274" s="38">
        <v>10.4</v>
      </c>
      <c r="W7274" s="38">
        <v>12.4</v>
      </c>
      <c r="X7274" s="38">
        <v>16</v>
      </c>
      <c r="Y7274" s="38">
        <v>0</v>
      </c>
      <c r="Z7274" s="38">
        <v>10</v>
      </c>
      <c r="AA7274" s="38">
        <v>8</v>
      </c>
      <c r="AB7274" s="38">
        <v>15</v>
      </c>
    </row>
    <row r="7275" spans="1:28" x14ac:dyDescent="0.25">
      <c r="A7275" s="22">
        <v>45626</v>
      </c>
      <c r="B7275" s="38">
        <v>40</v>
      </c>
      <c r="C7275" s="38">
        <v>48.4</v>
      </c>
      <c r="D7275" s="38">
        <v>26.2</v>
      </c>
      <c r="E7275" s="38">
        <v>0</v>
      </c>
      <c r="F7275" s="38">
        <v>12.2</v>
      </c>
      <c r="G7275" s="38">
        <v>1.4</v>
      </c>
      <c r="H7275" s="38">
        <v>8.4</v>
      </c>
      <c r="I7275" s="38">
        <v>16.5</v>
      </c>
      <c r="J7275" s="38">
        <v>18</v>
      </c>
      <c r="K7275" s="38">
        <v>23.8</v>
      </c>
      <c r="L7275" s="38">
        <v>35.559999999999995</v>
      </c>
      <c r="M7275" s="38">
        <v>8.8000000000000007</v>
      </c>
      <c r="N7275" s="38">
        <v>29.999999999999993</v>
      </c>
      <c r="P7275" s="38">
        <v>26</v>
      </c>
      <c r="Q7275" s="38">
        <v>1.2</v>
      </c>
      <c r="R7275" s="38">
        <v>26</v>
      </c>
      <c r="U7275" s="38">
        <v>0</v>
      </c>
      <c r="V7275" s="38">
        <v>20.2</v>
      </c>
      <c r="W7275" s="38">
        <v>14.4</v>
      </c>
      <c r="X7275" s="38">
        <v>16</v>
      </c>
      <c r="Y7275" s="38">
        <v>10</v>
      </c>
      <c r="Z7275" s="38">
        <v>16</v>
      </c>
      <c r="AA7275" s="38">
        <v>8</v>
      </c>
      <c r="AB7275" s="38">
        <v>12</v>
      </c>
    </row>
    <row r="7276" spans="1:28" x14ac:dyDescent="0.25">
      <c r="A7276" s="22">
        <v>45627</v>
      </c>
      <c r="B7276" s="38">
        <v>65</v>
      </c>
      <c r="C7276" s="38">
        <v>5.2</v>
      </c>
      <c r="D7276" s="38">
        <v>2</v>
      </c>
      <c r="E7276" s="38">
        <v>0</v>
      </c>
      <c r="F7276" s="38">
        <v>1.3</v>
      </c>
      <c r="G7276" s="38">
        <v>7</v>
      </c>
      <c r="H7276" s="38">
        <v>1</v>
      </c>
      <c r="I7276" s="38">
        <v>5.6</v>
      </c>
      <c r="J7276" s="38">
        <v>4</v>
      </c>
      <c r="K7276" s="38">
        <v>2.4</v>
      </c>
      <c r="L7276" s="38">
        <v>3.8099999999999996</v>
      </c>
      <c r="M7276" s="38">
        <v>2</v>
      </c>
      <c r="N7276" s="38">
        <v>7.8000000000000007</v>
      </c>
      <c r="P7276" s="38">
        <v>2</v>
      </c>
      <c r="Q7276" s="38">
        <v>3.2</v>
      </c>
      <c r="R7276" s="38">
        <v>2.5</v>
      </c>
      <c r="U7276" s="38">
        <v>0</v>
      </c>
      <c r="V7276" s="38">
        <v>1.2</v>
      </c>
      <c r="W7276" s="38">
        <v>6</v>
      </c>
      <c r="X7276" s="38">
        <v>12</v>
      </c>
      <c r="Y7276" s="38">
        <v>0.5</v>
      </c>
      <c r="Z7276" s="38">
        <v>0.5</v>
      </c>
      <c r="AA7276" s="38">
        <v>14</v>
      </c>
      <c r="AB7276" s="38">
        <v>0</v>
      </c>
    </row>
    <row r="7277" spans="1:28" x14ac:dyDescent="0.25">
      <c r="A7277" s="22">
        <v>45628</v>
      </c>
      <c r="B7277" s="38">
        <v>12.5</v>
      </c>
      <c r="C7277" s="38">
        <v>5.2</v>
      </c>
      <c r="D7277" s="38">
        <v>4.4000000000000004</v>
      </c>
      <c r="E7277" s="38">
        <v>0</v>
      </c>
      <c r="F7277" s="38">
        <v>2</v>
      </c>
      <c r="G7277" s="38">
        <v>3.7</v>
      </c>
      <c r="H7277" s="38">
        <v>6.2</v>
      </c>
      <c r="I7277" s="38">
        <v>5.8</v>
      </c>
      <c r="J7277" s="38">
        <v>4</v>
      </c>
      <c r="K7277" s="38">
        <v>6.8</v>
      </c>
      <c r="L7277" s="38">
        <v>7.6199999999999992</v>
      </c>
      <c r="M7277" s="38">
        <v>4.8</v>
      </c>
      <c r="N7277" s="38">
        <v>2.8000000000000003</v>
      </c>
      <c r="P7277" s="38">
        <v>0</v>
      </c>
      <c r="Q7277" s="38">
        <v>1.5</v>
      </c>
      <c r="R7277" s="38">
        <v>0</v>
      </c>
      <c r="U7277" s="38">
        <v>3</v>
      </c>
      <c r="V7277" s="38">
        <v>6.2</v>
      </c>
      <c r="W7277" s="38">
        <v>6.4</v>
      </c>
      <c r="X7277" s="38">
        <v>3</v>
      </c>
      <c r="Y7277" s="38">
        <v>0</v>
      </c>
      <c r="Z7277" s="38">
        <v>0</v>
      </c>
      <c r="AA7277" s="38">
        <v>0</v>
      </c>
      <c r="AB7277" s="38">
        <v>2</v>
      </c>
    </row>
    <row r="7278" spans="1:28" x14ac:dyDescent="0.25">
      <c r="A7278" s="22">
        <v>45629</v>
      </c>
      <c r="B7278" s="38">
        <v>0</v>
      </c>
      <c r="C7278" s="38">
        <v>4.8</v>
      </c>
      <c r="D7278" s="38">
        <v>5.6</v>
      </c>
      <c r="E7278" s="38">
        <v>97</v>
      </c>
      <c r="F7278" s="38">
        <v>5</v>
      </c>
      <c r="G7278" s="38">
        <v>6.5</v>
      </c>
      <c r="H7278" s="38">
        <v>0</v>
      </c>
      <c r="I7278" s="38">
        <v>8</v>
      </c>
      <c r="J7278" s="38">
        <v>1</v>
      </c>
      <c r="K7278" s="38">
        <v>0</v>
      </c>
      <c r="L7278" s="38">
        <v>0.254</v>
      </c>
      <c r="M7278" s="38">
        <v>5.8</v>
      </c>
      <c r="N7278" s="38">
        <v>2.6</v>
      </c>
      <c r="P7278" s="38">
        <v>0</v>
      </c>
      <c r="Q7278" s="38">
        <v>0</v>
      </c>
      <c r="R7278" s="38">
        <v>3</v>
      </c>
      <c r="U7278" s="38">
        <v>0</v>
      </c>
      <c r="V7278" s="38">
        <v>1.2</v>
      </c>
      <c r="W7278" s="38">
        <v>6</v>
      </c>
      <c r="X7278" s="38">
        <v>2</v>
      </c>
      <c r="Y7278" s="38">
        <v>0</v>
      </c>
      <c r="Z7278" s="38">
        <v>0</v>
      </c>
      <c r="AA7278" s="38">
        <v>0</v>
      </c>
      <c r="AB7278" s="38">
        <v>0</v>
      </c>
    </row>
    <row r="7279" spans="1:28" x14ac:dyDescent="0.25">
      <c r="A7279" s="22">
        <v>45630</v>
      </c>
      <c r="B7279" s="38">
        <v>0</v>
      </c>
      <c r="C7279" s="38">
        <v>0</v>
      </c>
      <c r="D7279" s="38">
        <v>2</v>
      </c>
      <c r="E7279" s="38">
        <v>0</v>
      </c>
      <c r="F7279" s="38">
        <v>0</v>
      </c>
      <c r="G7279" s="38">
        <v>0</v>
      </c>
      <c r="H7279" s="38">
        <v>0</v>
      </c>
      <c r="I7279" s="38">
        <v>0.2</v>
      </c>
      <c r="J7279" s="38">
        <v>0</v>
      </c>
      <c r="K7279" s="38">
        <v>6.8</v>
      </c>
      <c r="L7279" s="38">
        <v>0</v>
      </c>
      <c r="M7279" s="38">
        <v>0</v>
      </c>
      <c r="N7279" s="38">
        <v>0.2</v>
      </c>
      <c r="P7279" s="38">
        <v>0</v>
      </c>
      <c r="Q7279" s="38">
        <v>3</v>
      </c>
      <c r="R7279" s="38">
        <v>0</v>
      </c>
      <c r="U7279" s="38">
        <v>0</v>
      </c>
      <c r="V7279" s="38">
        <v>0</v>
      </c>
      <c r="W7279" s="38">
        <v>0</v>
      </c>
      <c r="X7279" s="38">
        <v>1</v>
      </c>
      <c r="Y7279" s="38">
        <v>0</v>
      </c>
      <c r="Z7279" s="38">
        <v>0</v>
      </c>
      <c r="AA7279" s="38">
        <v>0</v>
      </c>
      <c r="AB7279" s="38">
        <v>0</v>
      </c>
    </row>
    <row r="7280" spans="1:28" x14ac:dyDescent="0.25">
      <c r="A7280" s="22">
        <v>45631</v>
      </c>
      <c r="B7280" s="38">
        <v>5</v>
      </c>
      <c r="C7280" s="38">
        <v>4.8</v>
      </c>
      <c r="D7280" s="38">
        <v>1.8</v>
      </c>
      <c r="E7280" s="38">
        <v>4</v>
      </c>
      <c r="F7280" s="38">
        <v>2.4</v>
      </c>
      <c r="G7280" s="38">
        <v>7</v>
      </c>
      <c r="H7280" s="38">
        <v>8.1999999999999993</v>
      </c>
      <c r="I7280" s="38">
        <v>1.8</v>
      </c>
      <c r="J7280" s="38">
        <v>6</v>
      </c>
      <c r="K7280" s="38">
        <v>5.8</v>
      </c>
      <c r="L7280" s="38">
        <v>0.50800000000000001</v>
      </c>
      <c r="M7280" s="38">
        <v>5.6</v>
      </c>
      <c r="N7280" s="38">
        <v>2.2000000000000002</v>
      </c>
      <c r="P7280" s="38">
        <v>0</v>
      </c>
      <c r="Q7280" s="38">
        <v>1.5</v>
      </c>
      <c r="R7280" s="38">
        <v>5</v>
      </c>
      <c r="U7280" s="38">
        <v>0</v>
      </c>
      <c r="V7280" s="38">
        <v>4.2</v>
      </c>
      <c r="W7280" s="38">
        <v>4.4000000000000004</v>
      </c>
      <c r="X7280" s="38">
        <v>1</v>
      </c>
      <c r="Y7280" s="38">
        <v>2</v>
      </c>
      <c r="Z7280" s="38">
        <v>2.5</v>
      </c>
      <c r="AA7280" s="38">
        <v>0</v>
      </c>
      <c r="AB7280" s="38">
        <v>2</v>
      </c>
    </row>
    <row r="7281" spans="1:28" x14ac:dyDescent="0.25">
      <c r="A7281" s="22">
        <v>45632</v>
      </c>
      <c r="B7281" s="38">
        <v>24</v>
      </c>
      <c r="C7281" s="38">
        <v>4.2</v>
      </c>
      <c r="D7281" s="38">
        <v>2</v>
      </c>
      <c r="E7281" s="38">
        <v>0.4</v>
      </c>
      <c r="F7281" s="38">
        <v>3.3</v>
      </c>
      <c r="G7281" s="38">
        <v>16</v>
      </c>
      <c r="H7281" s="38">
        <v>5</v>
      </c>
      <c r="I7281" s="38">
        <v>0.1</v>
      </c>
      <c r="J7281" s="38">
        <v>7.8</v>
      </c>
      <c r="K7281" s="38">
        <v>6.2</v>
      </c>
      <c r="L7281" s="38">
        <v>10.667999999999999</v>
      </c>
      <c r="M7281" s="38">
        <v>17</v>
      </c>
      <c r="N7281" s="38">
        <v>8</v>
      </c>
      <c r="P7281" s="38">
        <v>0</v>
      </c>
      <c r="Q7281" s="38">
        <v>5.6</v>
      </c>
      <c r="R7281" s="38">
        <v>0</v>
      </c>
      <c r="U7281" s="38">
        <v>13</v>
      </c>
      <c r="V7281" s="38">
        <v>4.2</v>
      </c>
      <c r="W7281" s="38">
        <v>4.4000000000000004</v>
      </c>
      <c r="X7281" s="38">
        <v>4</v>
      </c>
      <c r="Y7281" s="38">
        <v>2</v>
      </c>
      <c r="Z7281" s="38">
        <v>2</v>
      </c>
      <c r="AA7281" s="38">
        <v>0</v>
      </c>
      <c r="AB7281" s="38">
        <v>12</v>
      </c>
    </row>
    <row r="7282" spans="1:28" x14ac:dyDescent="0.25">
      <c r="A7282" s="22">
        <v>45633</v>
      </c>
      <c r="B7282" s="38">
        <v>11</v>
      </c>
      <c r="C7282" s="38">
        <v>4.4000000000000004</v>
      </c>
      <c r="D7282" s="38">
        <v>5.8</v>
      </c>
      <c r="E7282" s="38">
        <v>13</v>
      </c>
      <c r="F7282" s="38">
        <v>24</v>
      </c>
      <c r="G7282" s="38">
        <v>18</v>
      </c>
      <c r="H7282" s="38">
        <v>18.8</v>
      </c>
      <c r="I7282" s="38">
        <v>30</v>
      </c>
      <c r="J7282" s="38">
        <v>16</v>
      </c>
      <c r="K7282" s="38">
        <v>0</v>
      </c>
      <c r="L7282" s="38">
        <v>8.8899999999999988</v>
      </c>
      <c r="M7282" s="38">
        <v>20.2</v>
      </c>
      <c r="N7282" s="38">
        <v>29.199999999999996</v>
      </c>
      <c r="P7282" s="38">
        <v>6</v>
      </c>
      <c r="Q7282" s="38">
        <v>5.8</v>
      </c>
      <c r="R7282" s="38">
        <v>13</v>
      </c>
      <c r="U7282" s="38">
        <v>5</v>
      </c>
      <c r="V7282" s="38">
        <v>4.2</v>
      </c>
      <c r="W7282" s="38">
        <v>4.4000000000000004</v>
      </c>
      <c r="X7282" s="38">
        <v>3</v>
      </c>
      <c r="Y7282" s="38">
        <v>17.2</v>
      </c>
      <c r="Z7282" s="38">
        <v>18</v>
      </c>
      <c r="AA7282" s="38">
        <v>10</v>
      </c>
      <c r="AB7282" s="38">
        <v>16</v>
      </c>
    </row>
    <row r="7283" spans="1:28" x14ac:dyDescent="0.25">
      <c r="A7283" s="22">
        <v>45634</v>
      </c>
      <c r="B7283" s="38">
        <v>15</v>
      </c>
      <c r="C7283" s="38">
        <v>24.2</v>
      </c>
      <c r="D7283" s="38">
        <v>22</v>
      </c>
      <c r="E7283" s="38">
        <v>11</v>
      </c>
      <c r="F7283" s="38">
        <v>7</v>
      </c>
      <c r="G7283" s="38">
        <v>6</v>
      </c>
      <c r="H7283" s="38">
        <v>3.8</v>
      </c>
      <c r="I7283" s="38">
        <v>1.3</v>
      </c>
      <c r="J7283" s="38">
        <v>14.2</v>
      </c>
      <c r="K7283" s="38">
        <v>22.2</v>
      </c>
      <c r="L7283" s="38">
        <v>4.0640000000000001</v>
      </c>
      <c r="M7283" s="38">
        <v>5.0999999999999996</v>
      </c>
      <c r="N7283" s="38">
        <v>9.2000000000000011</v>
      </c>
      <c r="P7283" s="38">
        <v>4</v>
      </c>
      <c r="Q7283" s="38">
        <v>3.8</v>
      </c>
      <c r="R7283" s="38">
        <v>11.9</v>
      </c>
      <c r="U7283" s="38">
        <v>26</v>
      </c>
      <c r="V7283" s="38">
        <v>10.199999999999999</v>
      </c>
      <c r="W7283" s="38">
        <v>4.4000000000000004</v>
      </c>
      <c r="X7283" s="38">
        <v>15.5</v>
      </c>
      <c r="Y7283" s="38">
        <v>2.5</v>
      </c>
      <c r="Z7283" s="38">
        <v>2</v>
      </c>
      <c r="AA7283" s="38">
        <v>10</v>
      </c>
      <c r="AB7283" s="38">
        <v>4</v>
      </c>
    </row>
    <row r="7284" spans="1:28" x14ac:dyDescent="0.25">
      <c r="A7284" s="22">
        <v>45635</v>
      </c>
      <c r="B7284" s="38">
        <v>18</v>
      </c>
      <c r="C7284" s="38">
        <v>9.1999999999999993</v>
      </c>
      <c r="D7284" s="38">
        <v>8</v>
      </c>
      <c r="E7284" s="38">
        <v>0</v>
      </c>
      <c r="F7284" s="38">
        <v>1.4</v>
      </c>
      <c r="G7284" s="38">
        <v>10.5</v>
      </c>
      <c r="H7284" s="38">
        <v>4.4000000000000004</v>
      </c>
      <c r="I7284" s="38">
        <v>1.2</v>
      </c>
      <c r="J7284" s="38">
        <v>8</v>
      </c>
      <c r="K7284" s="38">
        <v>2.6</v>
      </c>
      <c r="L7284" s="38">
        <v>2.794</v>
      </c>
      <c r="M7284" s="38">
        <v>10</v>
      </c>
      <c r="N7284" s="38">
        <v>3.8000000000000007</v>
      </c>
      <c r="P7284" s="38">
        <v>6</v>
      </c>
      <c r="Q7284" s="38">
        <v>0.8</v>
      </c>
      <c r="R7284" s="38">
        <v>2</v>
      </c>
      <c r="U7284" s="38">
        <v>6</v>
      </c>
      <c r="V7284" s="38">
        <v>5.2</v>
      </c>
      <c r="W7284" s="38">
        <v>6.5</v>
      </c>
      <c r="X7284" s="38">
        <v>2</v>
      </c>
      <c r="Y7284" s="38">
        <v>2.4</v>
      </c>
      <c r="Z7284" s="38">
        <v>4</v>
      </c>
      <c r="AA7284" s="38">
        <v>10</v>
      </c>
      <c r="AB7284" s="38">
        <v>2</v>
      </c>
    </row>
    <row r="7285" spans="1:28" x14ac:dyDescent="0.25">
      <c r="A7285" s="22">
        <v>45636</v>
      </c>
      <c r="B7285" s="38">
        <v>0</v>
      </c>
      <c r="C7285" s="38">
        <v>1.6</v>
      </c>
      <c r="D7285" s="38">
        <v>2</v>
      </c>
      <c r="E7285" s="38">
        <v>0</v>
      </c>
      <c r="F7285" s="38">
        <v>4.0999999999999996</v>
      </c>
      <c r="G7285" s="38">
        <v>0</v>
      </c>
      <c r="H7285" s="38">
        <v>0.6</v>
      </c>
      <c r="I7285" s="38">
        <v>0</v>
      </c>
      <c r="J7285" s="38">
        <v>1.2</v>
      </c>
      <c r="K7285" s="38">
        <v>0</v>
      </c>
      <c r="L7285" s="38">
        <v>1.5239999999999998</v>
      </c>
      <c r="M7285" s="38">
        <v>0.8</v>
      </c>
      <c r="N7285" s="38">
        <v>3.4000000000000004</v>
      </c>
      <c r="P7285" s="38">
        <v>0</v>
      </c>
      <c r="Q7285" s="38">
        <v>0</v>
      </c>
      <c r="R7285" s="38">
        <v>1</v>
      </c>
      <c r="U7285" s="38">
        <v>0</v>
      </c>
      <c r="V7285" s="38">
        <v>0</v>
      </c>
      <c r="W7285" s="38">
        <v>0</v>
      </c>
      <c r="X7285" s="38">
        <v>0</v>
      </c>
      <c r="Y7285" s="38">
        <v>4</v>
      </c>
      <c r="Z7285" s="38">
        <v>6</v>
      </c>
      <c r="AA7285" s="38">
        <v>0</v>
      </c>
      <c r="AB7285" s="38">
        <v>0</v>
      </c>
    </row>
    <row r="7286" spans="1:28" x14ac:dyDescent="0.25">
      <c r="A7286" s="22">
        <v>45637</v>
      </c>
      <c r="B7286" s="38">
        <v>4</v>
      </c>
      <c r="C7286" s="38">
        <v>0.4</v>
      </c>
      <c r="D7286" s="38">
        <v>0</v>
      </c>
      <c r="E7286" s="38">
        <v>0</v>
      </c>
      <c r="F7286" s="38">
        <v>0</v>
      </c>
      <c r="G7286" s="38">
        <v>0</v>
      </c>
      <c r="H7286" s="38">
        <v>0</v>
      </c>
      <c r="I7286" s="38">
        <v>0.1</v>
      </c>
      <c r="J7286" s="38">
        <v>2.2000000000000002</v>
      </c>
      <c r="K7286" s="38">
        <v>0.8</v>
      </c>
      <c r="L7286" s="38">
        <v>0.50800000000000001</v>
      </c>
      <c r="M7286" s="38">
        <v>0</v>
      </c>
      <c r="N7286" s="38">
        <v>0</v>
      </c>
      <c r="P7286" s="38">
        <v>0</v>
      </c>
      <c r="Q7286" s="38">
        <v>31</v>
      </c>
      <c r="R7286" s="38">
        <v>0</v>
      </c>
      <c r="U7286" s="38">
        <v>0</v>
      </c>
      <c r="V7286" s="38">
        <v>0</v>
      </c>
      <c r="W7286" s="38">
        <v>0</v>
      </c>
      <c r="X7286" s="38">
        <v>1</v>
      </c>
      <c r="Y7286" s="38">
        <v>0</v>
      </c>
      <c r="Z7286" s="38">
        <v>0</v>
      </c>
      <c r="AA7286" s="38">
        <v>0</v>
      </c>
      <c r="AB7286" s="38">
        <v>0</v>
      </c>
    </row>
    <row r="7287" spans="1:28" x14ac:dyDescent="0.25">
      <c r="A7287" s="22">
        <v>45638</v>
      </c>
      <c r="B7287" s="38">
        <v>0</v>
      </c>
      <c r="C7287" s="38">
        <v>0.4</v>
      </c>
      <c r="D7287" s="38">
        <v>4</v>
      </c>
      <c r="E7287" s="38">
        <v>40</v>
      </c>
      <c r="F7287" s="38">
        <v>28.3</v>
      </c>
      <c r="G7287" s="38">
        <v>6.5</v>
      </c>
      <c r="H7287" s="38">
        <v>34</v>
      </c>
      <c r="I7287" s="38">
        <v>3.2</v>
      </c>
      <c r="J7287" s="38">
        <v>6</v>
      </c>
      <c r="K7287" s="38">
        <v>8.4</v>
      </c>
      <c r="L7287" s="38">
        <v>4.8259999999999996</v>
      </c>
      <c r="M7287" s="38">
        <v>26.8</v>
      </c>
      <c r="N7287" s="38">
        <v>38.400000000000013</v>
      </c>
      <c r="P7287" s="38">
        <v>0</v>
      </c>
      <c r="Q7287" s="38">
        <v>2.1</v>
      </c>
      <c r="R7287" s="38">
        <v>49.1</v>
      </c>
      <c r="U7287" s="38">
        <v>27</v>
      </c>
      <c r="V7287" s="38">
        <v>4.0999999999999996</v>
      </c>
      <c r="W7287" s="38">
        <v>2.2000000000000002</v>
      </c>
      <c r="X7287" s="38">
        <v>28.5</v>
      </c>
      <c r="Y7287" s="38">
        <v>28</v>
      </c>
      <c r="Z7287" s="38">
        <v>28.5</v>
      </c>
      <c r="AA7287" s="38">
        <v>0</v>
      </c>
      <c r="AB7287" s="38">
        <v>0</v>
      </c>
    </row>
    <row r="7288" spans="1:28" x14ac:dyDescent="0.25">
      <c r="A7288" s="22">
        <v>45639</v>
      </c>
      <c r="B7288" s="38">
        <v>3</v>
      </c>
      <c r="C7288" s="38">
        <v>4.2</v>
      </c>
      <c r="D7288" s="38">
        <v>2</v>
      </c>
      <c r="E7288" s="38">
        <v>5</v>
      </c>
      <c r="F7288" s="38">
        <v>1.3</v>
      </c>
      <c r="G7288" s="38">
        <v>0</v>
      </c>
      <c r="H7288" s="38">
        <v>0</v>
      </c>
      <c r="I7288" s="38">
        <v>0</v>
      </c>
      <c r="J7288" s="38">
        <v>1.2</v>
      </c>
      <c r="K7288" s="38">
        <v>0</v>
      </c>
      <c r="L7288" s="38">
        <v>6.6040000000000001</v>
      </c>
      <c r="M7288" s="38">
        <v>0</v>
      </c>
      <c r="N7288" s="38">
        <v>41.400000000000006</v>
      </c>
      <c r="P7288" s="38">
        <v>14</v>
      </c>
      <c r="Q7288" s="38">
        <v>21.4</v>
      </c>
      <c r="R7288" s="38">
        <v>0</v>
      </c>
      <c r="U7288" s="38">
        <v>0</v>
      </c>
      <c r="V7288" s="38">
        <v>0</v>
      </c>
      <c r="W7288" s="38">
        <v>0</v>
      </c>
      <c r="X7288" s="38">
        <v>4</v>
      </c>
      <c r="Y7288" s="38">
        <v>2</v>
      </c>
      <c r="Z7288" s="38">
        <v>10</v>
      </c>
      <c r="AA7288" s="38">
        <v>0</v>
      </c>
      <c r="AB7288" s="38">
        <v>0</v>
      </c>
    </row>
    <row r="7289" spans="1:28" x14ac:dyDescent="0.25">
      <c r="A7289" s="22">
        <v>45640</v>
      </c>
      <c r="B7289" s="38">
        <v>10.199999999999999</v>
      </c>
      <c r="C7289" s="38">
        <v>16.399999999999999</v>
      </c>
      <c r="D7289" s="38">
        <v>15.2</v>
      </c>
      <c r="E7289" s="38">
        <v>25</v>
      </c>
      <c r="F7289" s="38">
        <v>1.4</v>
      </c>
      <c r="G7289" s="38">
        <v>36.5</v>
      </c>
      <c r="H7289" s="38">
        <v>10.4</v>
      </c>
      <c r="I7289" s="38">
        <v>8</v>
      </c>
      <c r="J7289" s="38">
        <v>32.1</v>
      </c>
      <c r="K7289" s="38">
        <v>22.2</v>
      </c>
      <c r="L7289" s="38">
        <v>1.5239999999999998</v>
      </c>
      <c r="M7289" s="38">
        <v>3</v>
      </c>
      <c r="N7289" s="38">
        <v>39.4</v>
      </c>
      <c r="P7289" s="38">
        <v>28</v>
      </c>
      <c r="Q7289" s="38">
        <v>43.9</v>
      </c>
      <c r="R7289" s="38">
        <v>45.2</v>
      </c>
      <c r="U7289" s="38">
        <v>34</v>
      </c>
      <c r="V7289" s="38">
        <v>13</v>
      </c>
      <c r="W7289" s="38">
        <v>15.2</v>
      </c>
      <c r="X7289" s="38">
        <v>1</v>
      </c>
      <c r="Y7289" s="38">
        <v>0</v>
      </c>
      <c r="Z7289" s="38">
        <v>0</v>
      </c>
      <c r="AA7289" s="38">
        <v>0</v>
      </c>
      <c r="AB7289" s="38">
        <v>46</v>
      </c>
    </row>
    <row r="7290" spans="1:28" x14ac:dyDescent="0.25">
      <c r="A7290" s="22">
        <v>45641</v>
      </c>
      <c r="B7290" s="38">
        <v>113.5</v>
      </c>
      <c r="C7290" s="38">
        <v>55.6</v>
      </c>
      <c r="D7290" s="38">
        <v>70</v>
      </c>
      <c r="E7290" s="38">
        <v>0</v>
      </c>
      <c r="F7290" s="38">
        <v>10.199999999999999</v>
      </c>
      <c r="G7290" s="38">
        <v>22</v>
      </c>
      <c r="H7290" s="38">
        <v>4</v>
      </c>
      <c r="I7290" s="38">
        <v>0</v>
      </c>
      <c r="J7290" s="38">
        <v>0</v>
      </c>
      <c r="K7290" s="38">
        <v>0</v>
      </c>
      <c r="L7290" s="38">
        <v>32.003999999999998</v>
      </c>
      <c r="M7290" s="38">
        <v>8.8000000000000007</v>
      </c>
      <c r="N7290" s="38">
        <v>16.799999999999997</v>
      </c>
      <c r="P7290" s="38">
        <v>0</v>
      </c>
      <c r="Q7290" s="38">
        <v>14.3</v>
      </c>
      <c r="R7290" s="38">
        <v>0</v>
      </c>
      <c r="U7290" s="38">
        <v>38</v>
      </c>
      <c r="V7290" s="38">
        <v>0</v>
      </c>
      <c r="W7290" s="38">
        <v>0</v>
      </c>
      <c r="X7290" s="38">
        <v>6</v>
      </c>
      <c r="Y7290" s="38">
        <v>14</v>
      </c>
      <c r="Z7290" s="38">
        <v>8</v>
      </c>
      <c r="AA7290" s="38">
        <v>38</v>
      </c>
      <c r="AB7290" s="38">
        <v>0</v>
      </c>
    </row>
    <row r="7291" spans="1:28" x14ac:dyDescent="0.25">
      <c r="A7291" s="22">
        <v>45642</v>
      </c>
      <c r="B7291" s="38">
        <v>14</v>
      </c>
      <c r="C7291" s="38">
        <v>13.2</v>
      </c>
      <c r="D7291" s="38">
        <v>20.2</v>
      </c>
      <c r="E7291" s="38">
        <v>0</v>
      </c>
      <c r="F7291" s="38">
        <v>8.3000000000000007</v>
      </c>
      <c r="G7291" s="38">
        <v>14</v>
      </c>
      <c r="H7291" s="38">
        <v>14</v>
      </c>
      <c r="I7291" s="38">
        <v>0</v>
      </c>
      <c r="J7291" s="38">
        <v>0</v>
      </c>
      <c r="K7291" s="38">
        <v>0</v>
      </c>
      <c r="L7291" s="38">
        <v>11.683999999999999</v>
      </c>
      <c r="M7291" s="38">
        <v>15.9</v>
      </c>
      <c r="N7291" s="38">
        <v>5.4000000000000012</v>
      </c>
      <c r="P7291" s="38">
        <v>4</v>
      </c>
      <c r="Q7291" s="38">
        <v>18.399999999999999</v>
      </c>
      <c r="R7291" s="38">
        <v>45.2</v>
      </c>
      <c r="U7291" s="38">
        <v>12.2</v>
      </c>
      <c r="V7291" s="38">
        <v>0</v>
      </c>
      <c r="W7291" s="38">
        <v>0</v>
      </c>
      <c r="X7291" s="38">
        <v>17</v>
      </c>
      <c r="Y7291" s="38">
        <v>2</v>
      </c>
      <c r="Z7291" s="38">
        <v>4</v>
      </c>
      <c r="AA7291" s="38">
        <v>12</v>
      </c>
      <c r="AB7291" s="38">
        <v>0</v>
      </c>
    </row>
    <row r="7292" spans="1:28" x14ac:dyDescent="0.25">
      <c r="A7292" s="22">
        <v>45643</v>
      </c>
      <c r="B7292" s="38">
        <v>14</v>
      </c>
      <c r="C7292" s="38">
        <v>28.4</v>
      </c>
      <c r="D7292" s="38">
        <v>32.799999999999997</v>
      </c>
      <c r="E7292" s="38">
        <v>11</v>
      </c>
      <c r="F7292" s="38">
        <v>10.199999999999999</v>
      </c>
      <c r="G7292" s="38">
        <v>9</v>
      </c>
      <c r="H7292" s="38">
        <v>11</v>
      </c>
      <c r="I7292" s="38">
        <v>4.7</v>
      </c>
      <c r="J7292" s="38">
        <v>16.2</v>
      </c>
      <c r="K7292" s="38">
        <v>14.2</v>
      </c>
      <c r="L7292" s="38">
        <v>8.636000000000001</v>
      </c>
      <c r="M7292" s="38">
        <v>5</v>
      </c>
      <c r="N7292" s="38">
        <v>41.199999999999996</v>
      </c>
      <c r="P7292" s="38">
        <v>8</v>
      </c>
      <c r="Q7292" s="38">
        <v>34</v>
      </c>
      <c r="R7292" s="38">
        <v>30</v>
      </c>
      <c r="U7292" s="38">
        <v>30</v>
      </c>
      <c r="V7292" s="38">
        <v>4</v>
      </c>
      <c r="W7292" s="38">
        <v>4.2</v>
      </c>
      <c r="X7292" s="38">
        <v>28</v>
      </c>
      <c r="Y7292" s="38">
        <v>4</v>
      </c>
      <c r="Z7292" s="38">
        <v>6</v>
      </c>
      <c r="AA7292" s="38">
        <v>18</v>
      </c>
      <c r="AB7292" s="38">
        <v>14</v>
      </c>
    </row>
    <row r="7293" spans="1:28" x14ac:dyDescent="0.25">
      <c r="A7293" s="22">
        <v>45644</v>
      </c>
      <c r="B7293" s="38">
        <v>11.5</v>
      </c>
      <c r="C7293" s="38">
        <v>18.399999999999999</v>
      </c>
      <c r="D7293" s="38">
        <v>30</v>
      </c>
      <c r="E7293" s="38">
        <v>15</v>
      </c>
      <c r="F7293" s="38">
        <v>34.1</v>
      </c>
      <c r="G7293" s="38">
        <v>31.5</v>
      </c>
      <c r="H7293" s="38">
        <v>30.3</v>
      </c>
      <c r="I7293" s="38">
        <v>31.3</v>
      </c>
      <c r="J7293" s="38">
        <v>36.200000000000003</v>
      </c>
      <c r="K7293" s="38">
        <v>14.2</v>
      </c>
      <c r="L7293" s="38">
        <v>10.921999999999999</v>
      </c>
      <c r="M7293" s="38">
        <v>35.6</v>
      </c>
      <c r="N7293" s="38">
        <v>38.999999999999993</v>
      </c>
      <c r="P7293" s="38">
        <v>6</v>
      </c>
      <c r="Q7293" s="38">
        <v>73.5</v>
      </c>
      <c r="R7293" s="38">
        <v>0.5</v>
      </c>
      <c r="U7293" s="38">
        <v>50</v>
      </c>
      <c r="V7293" s="38">
        <v>21.5</v>
      </c>
      <c r="W7293" s="38">
        <v>0</v>
      </c>
      <c r="X7293" s="38">
        <v>67</v>
      </c>
      <c r="Y7293" s="38">
        <v>32.799999999999997</v>
      </c>
      <c r="Z7293" s="38">
        <v>40.200000000000003</v>
      </c>
      <c r="AA7293" s="38">
        <v>32</v>
      </c>
      <c r="AB7293" s="38">
        <v>8</v>
      </c>
    </row>
    <row r="7294" spans="1:28" x14ac:dyDescent="0.25">
      <c r="A7294" s="22">
        <v>45645</v>
      </c>
      <c r="B7294" s="38">
        <v>56</v>
      </c>
      <c r="C7294" s="38">
        <v>64.2</v>
      </c>
      <c r="D7294" s="38">
        <v>95.6</v>
      </c>
      <c r="E7294" s="38">
        <v>15</v>
      </c>
      <c r="F7294" s="38">
        <v>77.3</v>
      </c>
      <c r="G7294" s="38">
        <v>39</v>
      </c>
      <c r="H7294" s="38">
        <v>60.5</v>
      </c>
      <c r="I7294" s="38">
        <v>35.200000000000003</v>
      </c>
      <c r="J7294" s="38">
        <v>52.5</v>
      </c>
      <c r="K7294" s="38">
        <v>104.5</v>
      </c>
      <c r="L7294" s="38">
        <v>45.72</v>
      </c>
      <c r="M7294" s="38">
        <v>86.4</v>
      </c>
      <c r="N7294" s="38">
        <v>107.60000000000004</v>
      </c>
      <c r="P7294" s="38">
        <v>77</v>
      </c>
      <c r="Q7294" s="38">
        <v>113.3</v>
      </c>
      <c r="R7294" s="38">
        <v>99.2</v>
      </c>
      <c r="U7294" s="38">
        <v>94</v>
      </c>
      <c r="V7294" s="38">
        <v>30.9</v>
      </c>
      <c r="W7294" s="38">
        <v>70.400000000000006</v>
      </c>
      <c r="X7294" s="38">
        <v>90</v>
      </c>
      <c r="Y7294" s="38">
        <v>70</v>
      </c>
      <c r="Z7294" s="38">
        <v>60</v>
      </c>
      <c r="AA7294" s="38">
        <v>60</v>
      </c>
      <c r="AB7294" s="38">
        <v>155</v>
      </c>
    </row>
    <row r="7295" spans="1:28" x14ac:dyDescent="0.25">
      <c r="A7295" s="22">
        <v>45646</v>
      </c>
      <c r="B7295" s="38">
        <v>61</v>
      </c>
      <c r="C7295" s="38">
        <v>80</v>
      </c>
      <c r="D7295" s="38">
        <v>60</v>
      </c>
      <c r="E7295" s="38">
        <v>85</v>
      </c>
      <c r="F7295" s="38">
        <v>12.3</v>
      </c>
      <c r="G7295" s="38">
        <v>76.599999999999994</v>
      </c>
      <c r="H7295" s="38">
        <v>23.6</v>
      </c>
      <c r="I7295" s="38">
        <v>52.7</v>
      </c>
      <c r="J7295" s="38">
        <v>84</v>
      </c>
      <c r="K7295" s="38">
        <v>88.1</v>
      </c>
      <c r="L7295" s="38">
        <v>53.339999999999996</v>
      </c>
      <c r="M7295" s="38">
        <v>34.799999999999997</v>
      </c>
      <c r="N7295" s="38">
        <v>40</v>
      </c>
      <c r="P7295" s="38">
        <v>36</v>
      </c>
      <c r="Q7295" s="38">
        <v>48.3</v>
      </c>
      <c r="R7295" s="38">
        <v>143</v>
      </c>
      <c r="U7295" s="38">
        <v>72</v>
      </c>
      <c r="V7295" s="38">
        <v>63.5</v>
      </c>
      <c r="W7295" s="38">
        <v>18.2</v>
      </c>
      <c r="X7295" s="38">
        <v>85</v>
      </c>
      <c r="Y7295" s="38">
        <v>24</v>
      </c>
      <c r="Z7295" s="38">
        <v>62</v>
      </c>
      <c r="AA7295" s="38">
        <v>30</v>
      </c>
      <c r="AB7295" s="38">
        <v>35</v>
      </c>
    </row>
    <row r="7296" spans="1:28" x14ac:dyDescent="0.25">
      <c r="A7296" s="22">
        <v>45647</v>
      </c>
      <c r="B7296" s="38">
        <v>0</v>
      </c>
      <c r="C7296" s="38">
        <v>32.6</v>
      </c>
      <c r="D7296" s="38">
        <v>18.399999999999999</v>
      </c>
      <c r="E7296" s="38">
        <v>85</v>
      </c>
      <c r="F7296" s="38">
        <v>3.1</v>
      </c>
      <c r="G7296" s="38">
        <v>9</v>
      </c>
      <c r="H7296" s="38">
        <v>5.2</v>
      </c>
      <c r="I7296" s="38">
        <v>6.2</v>
      </c>
      <c r="J7296" s="38">
        <v>6.4</v>
      </c>
      <c r="K7296" s="38">
        <v>17.2</v>
      </c>
      <c r="L7296" s="38">
        <v>8.636000000000001</v>
      </c>
      <c r="M7296" s="38">
        <v>8.6</v>
      </c>
      <c r="N7296" s="38">
        <v>7.400000000000003</v>
      </c>
      <c r="P7296" s="38">
        <v>22</v>
      </c>
      <c r="Q7296" s="38">
        <v>0</v>
      </c>
      <c r="R7296" s="38">
        <v>45.1</v>
      </c>
      <c r="U7296" s="38">
        <v>20</v>
      </c>
      <c r="V7296" s="38">
        <v>3.5</v>
      </c>
      <c r="W7296" s="38">
        <v>4</v>
      </c>
      <c r="X7296" s="38">
        <v>17</v>
      </c>
      <c r="Y7296" s="38">
        <v>10</v>
      </c>
      <c r="Z7296" s="38">
        <v>8</v>
      </c>
      <c r="AA7296" s="38">
        <v>18</v>
      </c>
      <c r="AB7296" s="38">
        <v>4</v>
      </c>
    </row>
    <row r="7297" spans="1:30" x14ac:dyDescent="0.25">
      <c r="A7297" s="22">
        <v>45648</v>
      </c>
      <c r="B7297" s="38">
        <v>0</v>
      </c>
      <c r="C7297" s="38">
        <v>0</v>
      </c>
      <c r="D7297" s="38">
        <v>0</v>
      </c>
      <c r="E7297" s="38">
        <v>85</v>
      </c>
      <c r="F7297" s="38">
        <v>0</v>
      </c>
      <c r="G7297" s="38">
        <v>0</v>
      </c>
      <c r="H7297" s="38">
        <v>0</v>
      </c>
      <c r="I7297" s="38">
        <v>0.2</v>
      </c>
      <c r="J7297" s="38">
        <v>1.2</v>
      </c>
      <c r="K7297" s="38">
        <v>2</v>
      </c>
      <c r="L7297" s="38">
        <v>0</v>
      </c>
      <c r="M7297" s="38">
        <v>0.2</v>
      </c>
      <c r="N7297" s="38">
        <v>0</v>
      </c>
      <c r="P7297" s="38">
        <v>0</v>
      </c>
      <c r="Q7297" s="38">
        <v>0.5</v>
      </c>
      <c r="R7297" s="38">
        <v>0</v>
      </c>
      <c r="U7297" s="38">
        <v>0</v>
      </c>
      <c r="V7297" s="38">
        <v>0</v>
      </c>
      <c r="W7297" s="38">
        <v>0</v>
      </c>
      <c r="X7297" s="38">
        <v>5</v>
      </c>
      <c r="Y7297" s="38">
        <v>0</v>
      </c>
      <c r="Z7297" s="38">
        <v>3</v>
      </c>
      <c r="AA7297" s="38">
        <v>30</v>
      </c>
      <c r="AB7297" s="38">
        <v>0</v>
      </c>
    </row>
    <row r="7298" spans="1:30" x14ac:dyDescent="0.25">
      <c r="A7298" s="22">
        <v>45649</v>
      </c>
      <c r="B7298" s="38">
        <v>12</v>
      </c>
      <c r="C7298" s="38">
        <v>1.6</v>
      </c>
      <c r="D7298" s="38">
        <v>0</v>
      </c>
      <c r="E7298" s="38">
        <v>0</v>
      </c>
      <c r="F7298" s="38">
        <v>2</v>
      </c>
      <c r="G7298" s="38">
        <v>0</v>
      </c>
      <c r="H7298" s="38">
        <v>0</v>
      </c>
      <c r="I7298" s="38">
        <v>0.8</v>
      </c>
      <c r="J7298" s="38">
        <v>0</v>
      </c>
      <c r="K7298" s="38">
        <v>0</v>
      </c>
      <c r="L7298" s="38">
        <v>0.50800000000000001</v>
      </c>
      <c r="M7298" s="38">
        <v>8.1999999999999993</v>
      </c>
      <c r="N7298" s="38">
        <v>1</v>
      </c>
      <c r="P7298" s="38">
        <v>0</v>
      </c>
      <c r="Q7298" s="38">
        <v>0.7</v>
      </c>
      <c r="R7298" s="38">
        <v>0</v>
      </c>
      <c r="U7298" s="38">
        <v>0</v>
      </c>
      <c r="V7298" s="38">
        <v>0</v>
      </c>
      <c r="W7298" s="38">
        <v>0</v>
      </c>
      <c r="X7298" s="38">
        <v>0</v>
      </c>
      <c r="Y7298" s="38">
        <v>0</v>
      </c>
      <c r="Z7298" s="38">
        <v>0</v>
      </c>
      <c r="AA7298" s="38">
        <v>0</v>
      </c>
      <c r="AB7298" s="38">
        <v>0</v>
      </c>
    </row>
    <row r="7299" spans="1:30" x14ac:dyDescent="0.25">
      <c r="A7299" s="22">
        <v>45650</v>
      </c>
      <c r="B7299" s="38">
        <v>1</v>
      </c>
      <c r="C7299" s="38">
        <v>0.8</v>
      </c>
      <c r="D7299" s="38">
        <v>0</v>
      </c>
      <c r="E7299" s="38">
        <v>0</v>
      </c>
      <c r="F7299" s="38">
        <v>2.2999999999999998</v>
      </c>
      <c r="G7299" s="38">
        <v>0</v>
      </c>
      <c r="H7299" s="38">
        <v>0</v>
      </c>
      <c r="I7299" s="38">
        <v>0</v>
      </c>
      <c r="J7299" s="38">
        <v>1.2</v>
      </c>
      <c r="K7299" s="38">
        <v>0</v>
      </c>
      <c r="L7299" s="38">
        <v>0</v>
      </c>
      <c r="M7299" s="38">
        <v>0.4</v>
      </c>
      <c r="N7299" s="38">
        <v>0</v>
      </c>
      <c r="P7299" s="38">
        <v>0</v>
      </c>
      <c r="Q7299" s="38">
        <v>0</v>
      </c>
      <c r="R7299" s="38">
        <v>0</v>
      </c>
      <c r="U7299" s="38">
        <v>0</v>
      </c>
      <c r="V7299" s="38">
        <v>0</v>
      </c>
      <c r="W7299" s="38">
        <v>0</v>
      </c>
      <c r="X7299" s="38">
        <v>7</v>
      </c>
      <c r="Y7299" s="38">
        <v>0</v>
      </c>
      <c r="Z7299" s="38">
        <v>0</v>
      </c>
      <c r="AA7299" s="38">
        <v>0</v>
      </c>
      <c r="AB7299" s="38">
        <v>0</v>
      </c>
    </row>
    <row r="7300" spans="1:30" x14ac:dyDescent="0.25">
      <c r="A7300" s="22">
        <v>45651</v>
      </c>
      <c r="B7300" s="38">
        <v>0</v>
      </c>
      <c r="C7300" s="38">
        <v>2.4</v>
      </c>
      <c r="D7300" s="38">
        <v>4</v>
      </c>
      <c r="E7300" s="38">
        <v>0</v>
      </c>
      <c r="F7300" s="38">
        <v>0</v>
      </c>
      <c r="G7300" s="38">
        <v>0</v>
      </c>
      <c r="H7300" s="38">
        <v>3</v>
      </c>
      <c r="I7300" s="38">
        <v>0</v>
      </c>
      <c r="J7300" s="38">
        <v>2.2000000000000002</v>
      </c>
      <c r="K7300" s="38">
        <v>2</v>
      </c>
      <c r="L7300" s="38">
        <v>2.032</v>
      </c>
      <c r="M7300" s="38">
        <v>0.8</v>
      </c>
      <c r="N7300" s="38">
        <v>2.8000000000000003</v>
      </c>
      <c r="P7300" s="38">
        <v>0</v>
      </c>
      <c r="Q7300" s="38">
        <v>0</v>
      </c>
      <c r="R7300" s="38">
        <v>2</v>
      </c>
      <c r="U7300" s="38">
        <v>0</v>
      </c>
      <c r="V7300" s="38">
        <v>0</v>
      </c>
      <c r="W7300" s="38">
        <v>0</v>
      </c>
      <c r="X7300" s="38">
        <v>2</v>
      </c>
      <c r="Y7300" s="38">
        <v>0</v>
      </c>
      <c r="Z7300" s="38">
        <v>0</v>
      </c>
      <c r="AA7300" s="38">
        <v>0</v>
      </c>
      <c r="AB7300" s="38">
        <v>0</v>
      </c>
    </row>
    <row r="7301" spans="1:30" x14ac:dyDescent="0.25">
      <c r="A7301" s="22">
        <v>45652</v>
      </c>
      <c r="B7301" s="38">
        <v>0</v>
      </c>
      <c r="C7301" s="38">
        <v>0</v>
      </c>
      <c r="D7301" s="38">
        <v>2.8</v>
      </c>
      <c r="E7301" s="38">
        <v>0</v>
      </c>
      <c r="F7301" s="38">
        <v>0</v>
      </c>
      <c r="G7301" s="38">
        <v>2.5</v>
      </c>
      <c r="H7301" s="38">
        <v>3</v>
      </c>
      <c r="I7301" s="38">
        <v>2.6</v>
      </c>
      <c r="J7301" s="38">
        <v>5.8</v>
      </c>
      <c r="K7301" s="38">
        <v>17.399999999999999</v>
      </c>
      <c r="L7301" s="38">
        <v>1.778</v>
      </c>
      <c r="M7301" s="38">
        <v>3</v>
      </c>
      <c r="N7301" s="38">
        <v>19.599999999999994</v>
      </c>
      <c r="P7301" s="38">
        <v>2</v>
      </c>
      <c r="Q7301" s="38">
        <v>2.8</v>
      </c>
      <c r="R7301" s="38">
        <v>2</v>
      </c>
      <c r="U7301" s="38">
        <v>6.3</v>
      </c>
      <c r="V7301" s="38">
        <v>2.2000000000000002</v>
      </c>
      <c r="W7301" s="38">
        <v>2.1</v>
      </c>
      <c r="X7301" s="38">
        <v>3</v>
      </c>
      <c r="Y7301" s="38">
        <v>4.5999999999999996</v>
      </c>
      <c r="Z7301" s="38">
        <v>5.2</v>
      </c>
      <c r="AA7301" s="38">
        <v>0</v>
      </c>
      <c r="AB7301" s="38">
        <v>0</v>
      </c>
    </row>
    <row r="7302" spans="1:30" x14ac:dyDescent="0.25">
      <c r="A7302" s="22">
        <v>45653</v>
      </c>
      <c r="B7302" s="38">
        <v>8</v>
      </c>
      <c r="C7302" s="38">
        <v>6.2</v>
      </c>
      <c r="D7302" s="38">
        <v>6</v>
      </c>
      <c r="E7302" s="38">
        <v>7</v>
      </c>
      <c r="F7302" s="38">
        <v>2.2999999999999998</v>
      </c>
      <c r="G7302" s="38">
        <v>4.2</v>
      </c>
      <c r="H7302" s="38">
        <v>2.9</v>
      </c>
      <c r="I7302" s="38">
        <v>3.4</v>
      </c>
      <c r="J7302" s="38">
        <v>10</v>
      </c>
      <c r="K7302" s="38">
        <v>9</v>
      </c>
      <c r="L7302" s="38">
        <v>3.302</v>
      </c>
      <c r="M7302" s="38">
        <v>0.4</v>
      </c>
      <c r="N7302" s="38">
        <v>1.9999999999999998</v>
      </c>
      <c r="P7302" s="38">
        <v>4</v>
      </c>
      <c r="Q7302" s="38">
        <v>1.2</v>
      </c>
      <c r="R7302" s="38">
        <v>2.2999999999999998</v>
      </c>
      <c r="U7302" s="38">
        <v>4.3</v>
      </c>
      <c r="V7302" s="38">
        <v>1.5</v>
      </c>
      <c r="W7302" s="38">
        <v>2.2000000000000002</v>
      </c>
      <c r="X7302" s="38">
        <v>6</v>
      </c>
      <c r="Y7302" s="38">
        <v>3.6</v>
      </c>
      <c r="Z7302" s="38">
        <v>4</v>
      </c>
      <c r="AA7302" s="38">
        <v>6</v>
      </c>
      <c r="AB7302" s="38">
        <v>0</v>
      </c>
    </row>
    <row r="7303" spans="1:30" x14ac:dyDescent="0.25">
      <c r="A7303" s="22">
        <v>45654</v>
      </c>
      <c r="B7303" s="38">
        <v>5</v>
      </c>
      <c r="C7303" s="38">
        <v>0</v>
      </c>
      <c r="D7303" s="38">
        <v>0.6</v>
      </c>
      <c r="E7303" s="38">
        <v>0</v>
      </c>
      <c r="F7303" s="38">
        <v>1.3</v>
      </c>
      <c r="G7303" s="38">
        <v>0.6</v>
      </c>
      <c r="H7303" s="38">
        <v>1.5</v>
      </c>
      <c r="I7303" s="38">
        <v>0</v>
      </c>
      <c r="J7303" s="38">
        <v>1.2</v>
      </c>
      <c r="K7303" s="38">
        <v>3.8</v>
      </c>
      <c r="L7303" s="38">
        <v>2.2859999999999996</v>
      </c>
      <c r="M7303" s="38">
        <v>0.2</v>
      </c>
      <c r="N7303" s="38">
        <v>6.8000000000000007</v>
      </c>
      <c r="P7303" s="38">
        <v>0</v>
      </c>
      <c r="Q7303" s="38">
        <v>1</v>
      </c>
      <c r="R7303" s="38">
        <v>6.2</v>
      </c>
      <c r="U7303" s="38">
        <v>4</v>
      </c>
      <c r="V7303" s="38">
        <v>0</v>
      </c>
      <c r="W7303" s="38">
        <v>0</v>
      </c>
      <c r="X7303" s="38">
        <v>0</v>
      </c>
      <c r="Y7303" s="38">
        <v>5.4</v>
      </c>
      <c r="Z7303" s="38">
        <v>6</v>
      </c>
      <c r="AA7303" s="38">
        <v>0</v>
      </c>
      <c r="AB7303" s="38">
        <v>0</v>
      </c>
    </row>
    <row r="7304" spans="1:30" x14ac:dyDescent="0.25">
      <c r="A7304" s="22">
        <v>45655</v>
      </c>
      <c r="B7304" s="38">
        <v>3</v>
      </c>
      <c r="C7304" s="38">
        <v>0</v>
      </c>
      <c r="D7304" s="38">
        <v>0</v>
      </c>
      <c r="E7304" s="38">
        <v>0</v>
      </c>
      <c r="F7304" s="38">
        <v>0</v>
      </c>
      <c r="G7304" s="38">
        <v>0</v>
      </c>
      <c r="H7304" s="38">
        <v>1</v>
      </c>
      <c r="I7304" s="38">
        <v>0</v>
      </c>
      <c r="J7304" s="38">
        <v>1</v>
      </c>
      <c r="K7304" s="38">
        <v>0</v>
      </c>
      <c r="L7304" s="38">
        <v>1.016</v>
      </c>
      <c r="M7304" s="38">
        <v>0.3</v>
      </c>
      <c r="N7304" s="38">
        <v>0</v>
      </c>
      <c r="P7304" s="38">
        <v>0</v>
      </c>
      <c r="Q7304" s="38">
        <v>0</v>
      </c>
      <c r="R7304" s="38">
        <v>0</v>
      </c>
      <c r="U7304" s="38">
        <v>0</v>
      </c>
      <c r="V7304" s="38">
        <v>1.3</v>
      </c>
      <c r="W7304" s="38">
        <v>0</v>
      </c>
      <c r="X7304" s="38">
        <v>4</v>
      </c>
      <c r="Y7304" s="38">
        <v>0</v>
      </c>
      <c r="Z7304" s="38">
        <v>0</v>
      </c>
      <c r="AA7304" s="38">
        <v>0</v>
      </c>
      <c r="AB7304" s="38">
        <v>0</v>
      </c>
    </row>
    <row r="7305" spans="1:30" x14ac:dyDescent="0.25">
      <c r="A7305" s="22">
        <v>45656</v>
      </c>
      <c r="B7305" s="38">
        <v>0</v>
      </c>
      <c r="C7305" s="38">
        <v>0</v>
      </c>
      <c r="D7305" s="38">
        <v>0</v>
      </c>
      <c r="E7305" s="38">
        <v>0</v>
      </c>
      <c r="F7305" s="38">
        <v>1</v>
      </c>
      <c r="G7305" s="38">
        <v>2.5</v>
      </c>
      <c r="H7305" s="38">
        <v>0.7</v>
      </c>
      <c r="I7305" s="38">
        <v>0</v>
      </c>
      <c r="J7305" s="38">
        <v>3</v>
      </c>
      <c r="K7305" s="38">
        <v>2.2999999999999998</v>
      </c>
      <c r="L7305" s="38">
        <v>0</v>
      </c>
      <c r="M7305" s="38">
        <v>0.2</v>
      </c>
      <c r="N7305" s="38">
        <v>11.399999999999999</v>
      </c>
      <c r="P7305" s="38">
        <v>0</v>
      </c>
      <c r="Q7305" s="38">
        <v>0.4</v>
      </c>
      <c r="R7305" s="38">
        <v>0</v>
      </c>
      <c r="U7305" s="38">
        <v>0</v>
      </c>
      <c r="V7305" s="38">
        <v>0</v>
      </c>
      <c r="W7305" s="38">
        <v>0</v>
      </c>
      <c r="X7305" s="38">
        <v>0</v>
      </c>
      <c r="Y7305" s="38">
        <v>2</v>
      </c>
      <c r="Z7305" s="38">
        <v>4</v>
      </c>
      <c r="AA7305" s="38">
        <v>0</v>
      </c>
      <c r="AB7305" s="38">
        <v>0</v>
      </c>
    </row>
    <row r="7306" spans="1:30" x14ac:dyDescent="0.25">
      <c r="A7306" s="22">
        <v>45657</v>
      </c>
      <c r="B7306" s="38">
        <v>0</v>
      </c>
      <c r="C7306" s="38">
        <v>0.8</v>
      </c>
      <c r="D7306" s="38">
        <v>0.6</v>
      </c>
      <c r="E7306" s="38">
        <v>0</v>
      </c>
      <c r="F7306" s="38">
        <v>0</v>
      </c>
      <c r="G7306" s="38">
        <v>5.5</v>
      </c>
      <c r="H7306" s="38">
        <v>7.2</v>
      </c>
      <c r="I7306" s="38">
        <v>0</v>
      </c>
      <c r="J7306" s="38">
        <v>4</v>
      </c>
      <c r="K7306" s="38">
        <v>5.2</v>
      </c>
      <c r="L7306" s="38">
        <v>0</v>
      </c>
      <c r="M7306" s="38">
        <v>0</v>
      </c>
      <c r="N7306" s="38">
        <v>4.4000000000000004</v>
      </c>
      <c r="P7306" s="38">
        <v>0</v>
      </c>
      <c r="R7306" s="38">
        <v>0</v>
      </c>
      <c r="U7306" s="38">
        <v>7</v>
      </c>
      <c r="V7306" s="38">
        <v>3</v>
      </c>
      <c r="W7306" s="38">
        <v>0</v>
      </c>
      <c r="X7306" s="38">
        <v>0</v>
      </c>
      <c r="Y7306" s="38">
        <v>2</v>
      </c>
      <c r="Z7306" s="38">
        <v>0.6</v>
      </c>
      <c r="AA7306" s="38">
        <v>2</v>
      </c>
      <c r="AB7306" s="38">
        <v>0</v>
      </c>
    </row>
    <row r="7307" spans="1:30" x14ac:dyDescent="0.25">
      <c r="A7307" s="22">
        <v>45658</v>
      </c>
      <c r="B7307" s="38">
        <v>0</v>
      </c>
      <c r="C7307" s="38">
        <v>0.8</v>
      </c>
      <c r="D7307" s="38">
        <v>0</v>
      </c>
      <c r="E7307" s="38">
        <v>0</v>
      </c>
      <c r="F7307" s="38">
        <v>0</v>
      </c>
      <c r="G7307" s="38">
        <v>0</v>
      </c>
      <c r="H7307" s="38">
        <v>0</v>
      </c>
      <c r="I7307" s="38">
        <v>0.1</v>
      </c>
      <c r="J7307" s="38">
        <v>0</v>
      </c>
      <c r="K7307" s="38">
        <v>0</v>
      </c>
      <c r="L7307" s="38">
        <v>0</v>
      </c>
      <c r="M7307" s="38">
        <v>0</v>
      </c>
      <c r="N7307" s="38">
        <v>0</v>
      </c>
      <c r="P7307" s="38">
        <v>0</v>
      </c>
      <c r="Q7307" s="38">
        <v>0</v>
      </c>
      <c r="R7307" s="38">
        <v>0</v>
      </c>
      <c r="U7307" s="38">
        <v>0</v>
      </c>
      <c r="V7307" s="38">
        <v>0</v>
      </c>
      <c r="W7307" s="38">
        <v>0</v>
      </c>
      <c r="X7307" s="38">
        <v>0</v>
      </c>
      <c r="Y7307" s="38">
        <v>0</v>
      </c>
      <c r="Z7307" s="38">
        <v>0</v>
      </c>
      <c r="AA7307" s="38">
        <v>20</v>
      </c>
      <c r="AB7307" s="38">
        <v>0</v>
      </c>
      <c r="AC7307" s="38">
        <v>0</v>
      </c>
      <c r="AD7307" s="38">
        <v>0</v>
      </c>
    </row>
    <row r="7308" spans="1:30" x14ac:dyDescent="0.25">
      <c r="A7308" s="22">
        <v>45659</v>
      </c>
      <c r="B7308" s="38">
        <v>0</v>
      </c>
      <c r="C7308" s="38">
        <v>0</v>
      </c>
      <c r="D7308" s="38">
        <v>0</v>
      </c>
      <c r="E7308" s="38">
        <v>0</v>
      </c>
      <c r="F7308" s="38">
        <v>0</v>
      </c>
      <c r="G7308" s="38">
        <v>0</v>
      </c>
      <c r="H7308" s="38">
        <v>0</v>
      </c>
      <c r="I7308" s="38">
        <v>0</v>
      </c>
      <c r="J7308" s="38">
        <v>0</v>
      </c>
      <c r="K7308" s="38">
        <v>0</v>
      </c>
      <c r="L7308" s="38">
        <v>0</v>
      </c>
      <c r="M7308" s="38">
        <v>0</v>
      </c>
      <c r="N7308" s="38">
        <v>0</v>
      </c>
      <c r="P7308" s="38">
        <v>0</v>
      </c>
      <c r="Q7308" s="38">
        <v>0</v>
      </c>
      <c r="R7308" s="38">
        <v>3.2</v>
      </c>
      <c r="U7308" s="38">
        <v>0</v>
      </c>
      <c r="V7308" s="38">
        <v>0</v>
      </c>
      <c r="W7308" s="38">
        <v>0</v>
      </c>
      <c r="X7308" s="38">
        <v>0</v>
      </c>
      <c r="Y7308" s="38">
        <v>0</v>
      </c>
      <c r="Z7308" s="38">
        <v>0</v>
      </c>
      <c r="AA7308" s="38">
        <v>0</v>
      </c>
      <c r="AB7308" s="38">
        <v>0</v>
      </c>
      <c r="AC7308" s="38">
        <v>0</v>
      </c>
      <c r="AD7308" s="38">
        <v>0</v>
      </c>
    </row>
    <row r="7309" spans="1:30" x14ac:dyDescent="0.25">
      <c r="A7309" s="22">
        <v>45660</v>
      </c>
      <c r="B7309" s="38">
        <v>11</v>
      </c>
      <c r="C7309" s="38">
        <v>4.2</v>
      </c>
      <c r="D7309" s="38">
        <v>6</v>
      </c>
      <c r="E7309" s="38">
        <v>0</v>
      </c>
      <c r="F7309" s="38">
        <v>2.2000000000000002</v>
      </c>
      <c r="G7309" s="38">
        <v>8.6</v>
      </c>
      <c r="H7309" s="38">
        <v>5.7</v>
      </c>
      <c r="I7309" s="38">
        <v>3.3</v>
      </c>
      <c r="J7309" s="38">
        <v>0</v>
      </c>
      <c r="K7309" s="38">
        <v>0</v>
      </c>
      <c r="L7309" s="38">
        <v>9.6519999999999992</v>
      </c>
      <c r="M7309" s="38">
        <v>6.8</v>
      </c>
      <c r="N7309" s="38">
        <v>36.800000000000004</v>
      </c>
      <c r="P7309" s="38">
        <v>2</v>
      </c>
      <c r="Q7309" s="38">
        <v>8.9</v>
      </c>
      <c r="R7309" s="38">
        <v>7</v>
      </c>
      <c r="U7309" s="38">
        <v>4</v>
      </c>
      <c r="V7309" s="38">
        <v>0</v>
      </c>
      <c r="W7309" s="38">
        <v>0</v>
      </c>
      <c r="X7309" s="38">
        <v>1</v>
      </c>
      <c r="Y7309" s="38">
        <v>0</v>
      </c>
      <c r="Z7309" s="38">
        <v>0</v>
      </c>
      <c r="AA7309" s="38">
        <v>0</v>
      </c>
      <c r="AB7309" s="38">
        <v>0</v>
      </c>
      <c r="AC7309" s="38">
        <v>58.600000000000016</v>
      </c>
      <c r="AD7309" s="38">
        <v>49.200000000000053</v>
      </c>
    </row>
    <row r="7310" spans="1:30" x14ac:dyDescent="0.25">
      <c r="A7310" s="22">
        <v>45661</v>
      </c>
      <c r="B7310" s="38">
        <v>0</v>
      </c>
      <c r="C7310" s="38">
        <v>28.4</v>
      </c>
      <c r="D7310" s="38">
        <v>29.2</v>
      </c>
      <c r="E7310" s="38">
        <v>0</v>
      </c>
      <c r="F7310" s="38">
        <v>16.3</v>
      </c>
      <c r="G7310" s="38">
        <v>34</v>
      </c>
      <c r="H7310" s="38">
        <v>24.3</v>
      </c>
      <c r="I7310" s="38">
        <v>38</v>
      </c>
      <c r="J7310" s="38">
        <v>0</v>
      </c>
      <c r="K7310" s="38">
        <v>0</v>
      </c>
      <c r="L7310" s="38">
        <v>8.3819999999999997</v>
      </c>
      <c r="M7310" s="38">
        <v>48.4</v>
      </c>
      <c r="N7310" s="38">
        <v>0.60000000000000009</v>
      </c>
      <c r="P7310" s="38">
        <v>8</v>
      </c>
      <c r="Q7310" s="38">
        <v>12.4</v>
      </c>
      <c r="R7310" s="38">
        <v>0</v>
      </c>
      <c r="U7310" s="38">
        <v>42</v>
      </c>
      <c r="V7310" s="38">
        <v>0</v>
      </c>
      <c r="W7310" s="38">
        <v>0</v>
      </c>
      <c r="X7310" s="38">
        <v>20</v>
      </c>
      <c r="Y7310" s="38">
        <v>18.8</v>
      </c>
      <c r="Z7310" s="38">
        <v>26.4</v>
      </c>
      <c r="AA7310" s="38">
        <v>45</v>
      </c>
      <c r="AB7310" s="38">
        <v>0</v>
      </c>
      <c r="AC7310" s="38">
        <v>4</v>
      </c>
      <c r="AD7310" s="38">
        <v>4.0000000000000009</v>
      </c>
    </row>
    <row r="7311" spans="1:30" x14ac:dyDescent="0.25">
      <c r="A7311" s="22">
        <v>45662</v>
      </c>
      <c r="B7311" s="38">
        <v>4</v>
      </c>
      <c r="C7311" s="38">
        <v>8.1999999999999993</v>
      </c>
      <c r="D7311" s="38">
        <v>0</v>
      </c>
      <c r="E7311" s="38">
        <v>0</v>
      </c>
      <c r="F7311" s="38">
        <v>0</v>
      </c>
      <c r="G7311" s="38">
        <v>0</v>
      </c>
      <c r="H7311" s="38">
        <v>0</v>
      </c>
      <c r="I7311" s="38">
        <v>0.2</v>
      </c>
      <c r="J7311" s="38">
        <v>0</v>
      </c>
      <c r="K7311" s="38">
        <v>0</v>
      </c>
      <c r="L7311" s="38">
        <v>1.5239999999999998</v>
      </c>
      <c r="M7311" s="38">
        <v>0.3</v>
      </c>
      <c r="N7311" s="38">
        <v>1.5999999999999999</v>
      </c>
      <c r="P7311" s="38">
        <v>0</v>
      </c>
      <c r="Q7311" s="38">
        <v>0</v>
      </c>
      <c r="R7311" s="38">
        <v>6.1</v>
      </c>
      <c r="U7311" s="38">
        <v>0</v>
      </c>
      <c r="V7311" s="38">
        <v>0</v>
      </c>
      <c r="W7311" s="38">
        <v>0</v>
      </c>
      <c r="X7311" s="38">
        <v>0</v>
      </c>
      <c r="Y7311" s="38">
        <v>6</v>
      </c>
      <c r="Z7311" s="38">
        <v>4</v>
      </c>
      <c r="AA7311" s="38">
        <v>0</v>
      </c>
      <c r="AB7311" s="38">
        <v>0</v>
      </c>
      <c r="AC7311" s="38">
        <v>1.8</v>
      </c>
      <c r="AD7311" s="38">
        <v>0.60000000000000009</v>
      </c>
    </row>
    <row r="7312" spans="1:30" x14ac:dyDescent="0.25">
      <c r="A7312" s="22">
        <v>45663</v>
      </c>
      <c r="B7312" s="38">
        <v>26</v>
      </c>
      <c r="C7312" s="38">
        <v>10.4</v>
      </c>
      <c r="D7312" s="38">
        <v>16</v>
      </c>
      <c r="E7312" s="38">
        <v>0</v>
      </c>
      <c r="F7312" s="38">
        <v>1.2</v>
      </c>
      <c r="G7312" s="38">
        <v>3.9</v>
      </c>
      <c r="H7312" s="38">
        <v>1.2</v>
      </c>
      <c r="I7312" s="38">
        <v>3.6</v>
      </c>
      <c r="J7312" s="38">
        <v>0</v>
      </c>
      <c r="K7312" s="38">
        <v>0</v>
      </c>
      <c r="L7312" s="38">
        <v>18.033999999999999</v>
      </c>
      <c r="M7312" s="38">
        <v>0.4</v>
      </c>
      <c r="N7312" s="38">
        <v>8.7999999999999989</v>
      </c>
      <c r="P7312" s="38">
        <v>14</v>
      </c>
      <c r="Q7312" s="38">
        <v>14.5</v>
      </c>
      <c r="R7312" s="38">
        <v>2.2000000000000002</v>
      </c>
      <c r="U7312" s="38">
        <v>8</v>
      </c>
      <c r="V7312" s="38">
        <v>0</v>
      </c>
      <c r="W7312" s="38">
        <v>0</v>
      </c>
      <c r="X7312" s="38">
        <v>4</v>
      </c>
      <c r="Y7312" s="38">
        <v>0</v>
      </c>
      <c r="Z7312" s="38">
        <v>0</v>
      </c>
      <c r="AA7312" s="38">
        <v>5</v>
      </c>
      <c r="AB7312" s="38">
        <v>0</v>
      </c>
      <c r="AC7312" s="38">
        <v>1</v>
      </c>
      <c r="AD7312" s="38">
        <v>1</v>
      </c>
    </row>
    <row r="7313" spans="1:30" x14ac:dyDescent="0.25">
      <c r="A7313" s="22">
        <v>45664</v>
      </c>
      <c r="B7313" s="38">
        <v>3.5</v>
      </c>
      <c r="C7313" s="38">
        <v>4.8</v>
      </c>
      <c r="D7313" s="38">
        <v>2</v>
      </c>
      <c r="E7313" s="38">
        <v>0</v>
      </c>
      <c r="F7313" s="38">
        <v>2.2000000000000002</v>
      </c>
      <c r="G7313" s="38">
        <v>4</v>
      </c>
      <c r="H7313" s="38">
        <v>4.2</v>
      </c>
      <c r="I7313" s="38">
        <v>1.8</v>
      </c>
      <c r="J7313" s="38">
        <v>4</v>
      </c>
      <c r="K7313" s="38">
        <v>2.8</v>
      </c>
      <c r="L7313" s="38">
        <v>1.5239999999999998</v>
      </c>
      <c r="M7313" s="38">
        <v>4</v>
      </c>
      <c r="N7313" s="38">
        <v>7.9999999999999991</v>
      </c>
      <c r="P7313" s="38">
        <v>4</v>
      </c>
      <c r="Q7313" s="38">
        <v>0</v>
      </c>
      <c r="R7313" s="38">
        <v>0</v>
      </c>
      <c r="U7313" s="38">
        <v>0</v>
      </c>
      <c r="V7313" s="38">
        <v>3.5</v>
      </c>
      <c r="W7313" s="38">
        <v>2</v>
      </c>
      <c r="X7313" s="38">
        <v>2</v>
      </c>
      <c r="Y7313" s="38">
        <v>4</v>
      </c>
      <c r="Z7313" s="38">
        <v>6</v>
      </c>
      <c r="AA7313" s="38">
        <v>2</v>
      </c>
      <c r="AB7313" s="38">
        <v>2</v>
      </c>
      <c r="AC7313" s="38">
        <v>2.4000000000000004</v>
      </c>
      <c r="AD7313" s="38">
        <v>8.4000000000000021</v>
      </c>
    </row>
    <row r="7314" spans="1:30" x14ac:dyDescent="0.25">
      <c r="A7314" s="22">
        <v>45665</v>
      </c>
      <c r="B7314" s="38">
        <v>1</v>
      </c>
      <c r="C7314" s="38">
        <v>2</v>
      </c>
      <c r="D7314" s="38">
        <v>0</v>
      </c>
      <c r="E7314" s="38">
        <v>0</v>
      </c>
      <c r="F7314" s="38">
        <v>0</v>
      </c>
      <c r="G7314" s="38">
        <v>2</v>
      </c>
      <c r="H7314" s="38">
        <v>0</v>
      </c>
      <c r="I7314" s="38">
        <v>4.2</v>
      </c>
      <c r="J7314" s="38">
        <v>0</v>
      </c>
      <c r="K7314" s="38">
        <v>0</v>
      </c>
      <c r="L7314" s="38">
        <v>0</v>
      </c>
      <c r="M7314" s="38">
        <v>0</v>
      </c>
      <c r="N7314" s="38">
        <v>0</v>
      </c>
      <c r="P7314" s="38">
        <v>0</v>
      </c>
      <c r="Q7314" s="38">
        <v>5</v>
      </c>
      <c r="R7314" s="38">
        <v>0</v>
      </c>
      <c r="U7314" s="38">
        <v>0</v>
      </c>
      <c r="V7314" s="38">
        <v>1.2</v>
      </c>
      <c r="W7314" s="38">
        <v>1.2</v>
      </c>
      <c r="X7314" s="38">
        <v>0</v>
      </c>
      <c r="Y7314" s="38">
        <v>0</v>
      </c>
      <c r="Z7314" s="38">
        <v>0</v>
      </c>
      <c r="AA7314" s="38">
        <v>0</v>
      </c>
      <c r="AB7314" s="38">
        <v>0</v>
      </c>
      <c r="AC7314" s="38">
        <v>0</v>
      </c>
      <c r="AD7314" s="38">
        <v>0</v>
      </c>
    </row>
    <row r="7315" spans="1:30" x14ac:dyDescent="0.25">
      <c r="A7315" s="22">
        <v>45666</v>
      </c>
      <c r="B7315" s="38">
        <v>0</v>
      </c>
      <c r="C7315" s="38">
        <v>2</v>
      </c>
      <c r="D7315" s="38">
        <v>0.2</v>
      </c>
      <c r="E7315" s="38">
        <v>0</v>
      </c>
      <c r="F7315" s="38">
        <v>1.3</v>
      </c>
      <c r="G7315" s="38">
        <v>1.6</v>
      </c>
      <c r="H7315" s="38">
        <v>3.7</v>
      </c>
      <c r="I7315" s="38">
        <v>2.5</v>
      </c>
      <c r="J7315" s="38">
        <v>2</v>
      </c>
      <c r="K7315" s="38">
        <v>0</v>
      </c>
      <c r="L7315" s="38">
        <v>0</v>
      </c>
      <c r="M7315" s="38">
        <v>0.8</v>
      </c>
      <c r="N7315" s="38">
        <v>0.2</v>
      </c>
      <c r="P7315" s="38">
        <v>0</v>
      </c>
      <c r="Q7315" s="38">
        <v>0</v>
      </c>
      <c r="R7315" s="38">
        <v>0</v>
      </c>
      <c r="U7315" s="38">
        <v>0</v>
      </c>
      <c r="V7315" s="38">
        <v>2.2000000000000002</v>
      </c>
      <c r="W7315" s="38">
        <v>2.2999999999999998</v>
      </c>
      <c r="X7315" s="38">
        <v>0</v>
      </c>
      <c r="Y7315" s="38">
        <v>0</v>
      </c>
      <c r="Z7315" s="38">
        <v>0</v>
      </c>
      <c r="AA7315" s="38">
        <v>0</v>
      </c>
      <c r="AB7315" s="38">
        <v>2</v>
      </c>
      <c r="AC7315" s="38">
        <v>4.2</v>
      </c>
      <c r="AD7315" s="38">
        <v>4.0000000000000009</v>
      </c>
    </row>
    <row r="7316" spans="1:30" x14ac:dyDescent="0.25">
      <c r="A7316" s="22">
        <v>45667</v>
      </c>
      <c r="B7316" s="38">
        <v>0</v>
      </c>
      <c r="C7316" s="38">
        <v>0</v>
      </c>
      <c r="D7316" s="38">
        <v>0</v>
      </c>
      <c r="E7316" s="38">
        <v>0</v>
      </c>
      <c r="F7316" s="38">
        <v>0</v>
      </c>
      <c r="G7316" s="38">
        <v>0</v>
      </c>
      <c r="H7316" s="38">
        <v>0</v>
      </c>
      <c r="I7316" s="38">
        <v>0</v>
      </c>
      <c r="J7316" s="38">
        <v>0</v>
      </c>
      <c r="K7316" s="38">
        <v>0</v>
      </c>
      <c r="L7316" s="38">
        <v>0</v>
      </c>
      <c r="M7316" s="38">
        <v>0</v>
      </c>
      <c r="N7316" s="38">
        <v>0</v>
      </c>
      <c r="P7316" s="38">
        <v>0</v>
      </c>
      <c r="Q7316" s="38">
        <v>0</v>
      </c>
      <c r="R7316" s="38">
        <v>2.2000000000000002</v>
      </c>
      <c r="U7316" s="38">
        <v>0</v>
      </c>
      <c r="V7316" s="38">
        <v>0</v>
      </c>
      <c r="W7316" s="38">
        <v>0</v>
      </c>
      <c r="X7316" s="38">
        <v>0</v>
      </c>
      <c r="Y7316" s="38">
        <v>0</v>
      </c>
      <c r="Z7316" s="38">
        <v>0</v>
      </c>
      <c r="AA7316" s="38">
        <v>0</v>
      </c>
      <c r="AB7316" s="38">
        <v>0</v>
      </c>
      <c r="AC7316" s="38">
        <v>0</v>
      </c>
      <c r="AD7316" s="38">
        <v>0</v>
      </c>
    </row>
    <row r="7317" spans="1:30" x14ac:dyDescent="0.25">
      <c r="A7317" s="22">
        <v>45668</v>
      </c>
      <c r="B7317" s="38">
        <v>0</v>
      </c>
      <c r="C7317" s="38">
        <v>4.2</v>
      </c>
      <c r="D7317" s="38">
        <v>8.1999999999999993</v>
      </c>
      <c r="E7317" s="38">
        <v>0</v>
      </c>
      <c r="F7317" s="38">
        <v>0</v>
      </c>
      <c r="G7317" s="38">
        <v>3.9</v>
      </c>
      <c r="H7317" s="38">
        <v>0</v>
      </c>
      <c r="I7317" s="38">
        <v>0.1</v>
      </c>
      <c r="J7317" s="38">
        <v>4.4000000000000004</v>
      </c>
      <c r="K7317" s="38">
        <v>0</v>
      </c>
      <c r="L7317" s="38">
        <v>0.50800000000000001</v>
      </c>
      <c r="M7317" s="38">
        <v>0.3</v>
      </c>
      <c r="N7317" s="38">
        <v>1.8</v>
      </c>
      <c r="P7317" s="38">
        <v>2</v>
      </c>
      <c r="Q7317" s="38">
        <v>4.5</v>
      </c>
      <c r="R7317" s="38">
        <v>0</v>
      </c>
      <c r="U7317" s="38">
        <v>7</v>
      </c>
      <c r="V7317" s="38">
        <v>1.2</v>
      </c>
      <c r="W7317" s="38">
        <v>1.5</v>
      </c>
      <c r="X7317" s="38">
        <v>0</v>
      </c>
      <c r="Y7317" s="38">
        <v>0</v>
      </c>
      <c r="Z7317" s="38">
        <v>0</v>
      </c>
      <c r="AA7317" s="38">
        <v>1</v>
      </c>
      <c r="AB7317" s="38">
        <v>0</v>
      </c>
      <c r="AC7317" s="38">
        <v>0</v>
      </c>
      <c r="AD7317" s="38">
        <v>0</v>
      </c>
    </row>
    <row r="7318" spans="1:30" x14ac:dyDescent="0.25">
      <c r="A7318" s="22">
        <v>45669</v>
      </c>
      <c r="B7318" s="38">
        <v>0</v>
      </c>
      <c r="C7318" s="38">
        <v>1.6</v>
      </c>
      <c r="D7318" s="38">
        <v>0</v>
      </c>
      <c r="E7318" s="38">
        <v>0</v>
      </c>
      <c r="F7318" s="38">
        <v>0</v>
      </c>
      <c r="G7318" s="38">
        <v>0</v>
      </c>
      <c r="H7318" s="38">
        <v>2</v>
      </c>
      <c r="I7318" s="38">
        <v>0.2</v>
      </c>
      <c r="J7318" s="38">
        <v>3</v>
      </c>
      <c r="K7318" s="38">
        <v>4.8</v>
      </c>
      <c r="L7318" s="38">
        <v>0</v>
      </c>
      <c r="M7318" s="38">
        <v>0</v>
      </c>
      <c r="N7318" s="38">
        <v>2.5999999999999996</v>
      </c>
      <c r="P7318" s="38">
        <v>0</v>
      </c>
      <c r="Q7318" s="38">
        <v>0.2</v>
      </c>
      <c r="R7318" s="38">
        <v>0</v>
      </c>
      <c r="U7318" s="38">
        <v>0</v>
      </c>
      <c r="V7318" s="38">
        <v>0</v>
      </c>
      <c r="W7318" s="38">
        <v>0</v>
      </c>
      <c r="X7318" s="38">
        <v>3</v>
      </c>
      <c r="Y7318" s="38">
        <v>0</v>
      </c>
      <c r="Z7318" s="38">
        <v>0</v>
      </c>
      <c r="AA7318" s="38">
        <v>0</v>
      </c>
      <c r="AB7318" s="38">
        <v>0</v>
      </c>
      <c r="AC7318" s="38">
        <v>0.4</v>
      </c>
      <c r="AD7318" s="38">
        <v>0</v>
      </c>
    </row>
    <row r="7319" spans="1:30" x14ac:dyDescent="0.25">
      <c r="A7319" s="22">
        <v>45670</v>
      </c>
      <c r="B7319" s="38">
        <v>5</v>
      </c>
      <c r="C7319" s="38">
        <v>0</v>
      </c>
      <c r="D7319" s="38">
        <v>1</v>
      </c>
      <c r="E7319" s="38">
        <v>10</v>
      </c>
      <c r="F7319" s="38">
        <v>0</v>
      </c>
      <c r="G7319" s="38">
        <v>0</v>
      </c>
      <c r="H7319" s="38">
        <v>0</v>
      </c>
      <c r="I7319" s="38">
        <v>0</v>
      </c>
      <c r="J7319" s="38">
        <v>0</v>
      </c>
      <c r="K7319" s="38">
        <v>0</v>
      </c>
      <c r="L7319" s="38">
        <v>0.7619999999999999</v>
      </c>
      <c r="M7319" s="38">
        <v>0</v>
      </c>
      <c r="N7319" s="38">
        <v>0</v>
      </c>
      <c r="P7319" s="38">
        <v>2</v>
      </c>
      <c r="Q7319" s="38">
        <v>0</v>
      </c>
      <c r="R7319" s="38">
        <v>0</v>
      </c>
      <c r="U7319" s="38">
        <v>0</v>
      </c>
      <c r="V7319" s="38">
        <v>0</v>
      </c>
      <c r="W7319" s="38">
        <v>0</v>
      </c>
      <c r="X7319" s="38">
        <v>0</v>
      </c>
      <c r="Y7319" s="38">
        <v>0</v>
      </c>
      <c r="Z7319" s="38">
        <v>0</v>
      </c>
      <c r="AA7319" s="38">
        <v>0</v>
      </c>
      <c r="AB7319" s="38">
        <v>3</v>
      </c>
      <c r="AC7319" s="38">
        <v>0</v>
      </c>
      <c r="AD7319" s="38">
        <v>0</v>
      </c>
    </row>
    <row r="7320" spans="1:30" x14ac:dyDescent="0.25">
      <c r="A7320" s="22">
        <v>45671</v>
      </c>
      <c r="B7320" s="38">
        <v>0</v>
      </c>
      <c r="C7320" s="38">
        <v>0.4</v>
      </c>
      <c r="D7320" s="38">
        <v>0</v>
      </c>
      <c r="E7320" s="38">
        <v>0</v>
      </c>
      <c r="F7320" s="38">
        <v>0</v>
      </c>
      <c r="G7320" s="38">
        <v>0</v>
      </c>
      <c r="H7320" s="38">
        <v>0</v>
      </c>
      <c r="I7320" s="38">
        <v>0</v>
      </c>
      <c r="J7320" s="38">
        <v>0</v>
      </c>
      <c r="K7320" s="38">
        <v>0</v>
      </c>
      <c r="L7320" s="38">
        <v>0</v>
      </c>
      <c r="M7320" s="38">
        <v>0</v>
      </c>
      <c r="N7320" s="38">
        <v>0</v>
      </c>
      <c r="P7320" s="38">
        <v>0</v>
      </c>
      <c r="Q7320" s="38">
        <v>0</v>
      </c>
      <c r="R7320" s="38">
        <v>0</v>
      </c>
      <c r="U7320" s="38">
        <v>0</v>
      </c>
      <c r="V7320" s="38">
        <v>0</v>
      </c>
      <c r="W7320" s="38">
        <v>0</v>
      </c>
      <c r="X7320" s="38">
        <v>0</v>
      </c>
      <c r="Y7320" s="38">
        <v>0</v>
      </c>
      <c r="Z7320" s="38">
        <v>0</v>
      </c>
      <c r="AA7320" s="38">
        <v>0</v>
      </c>
      <c r="AB7320" s="38">
        <v>0</v>
      </c>
      <c r="AC7320" s="38">
        <v>0</v>
      </c>
      <c r="AD7320" s="38">
        <v>0</v>
      </c>
    </row>
    <row r="7321" spans="1:30" x14ac:dyDescent="0.25">
      <c r="A7321" s="22">
        <v>45672</v>
      </c>
      <c r="B7321" s="38">
        <v>19</v>
      </c>
      <c r="C7321" s="38">
        <v>6.2</v>
      </c>
      <c r="D7321" s="38">
        <v>8.1999999999999993</v>
      </c>
      <c r="E7321" s="38">
        <v>8</v>
      </c>
      <c r="F7321" s="38">
        <v>11.1</v>
      </c>
      <c r="G7321" s="38">
        <v>13.5</v>
      </c>
      <c r="H7321" s="38">
        <v>13</v>
      </c>
      <c r="I7321" s="38">
        <v>8.8000000000000007</v>
      </c>
      <c r="J7321" s="38">
        <v>6.4</v>
      </c>
      <c r="K7321" s="38">
        <v>6.8</v>
      </c>
      <c r="L7321" s="38">
        <v>11.43</v>
      </c>
      <c r="M7321" s="38">
        <v>1</v>
      </c>
      <c r="N7321" s="38">
        <v>9.7999999999999972</v>
      </c>
      <c r="P7321" s="38">
        <v>14</v>
      </c>
      <c r="Q7321" s="38">
        <v>9.6999999999999993</v>
      </c>
      <c r="R7321" s="38">
        <v>10.199999999999999</v>
      </c>
      <c r="U7321" s="38">
        <v>10</v>
      </c>
      <c r="V7321" s="38">
        <v>0</v>
      </c>
      <c r="W7321" s="38">
        <v>0</v>
      </c>
      <c r="X7321" s="38">
        <v>10</v>
      </c>
      <c r="Y7321" s="38">
        <v>9</v>
      </c>
      <c r="Z7321" s="38">
        <v>8</v>
      </c>
      <c r="AA7321" s="38">
        <v>22</v>
      </c>
      <c r="AB7321" s="38">
        <v>3</v>
      </c>
      <c r="AC7321" s="38">
        <v>3.2000000000000006</v>
      </c>
      <c r="AD7321" s="38">
        <v>3.600000000000001</v>
      </c>
    </row>
    <row r="7322" spans="1:30" x14ac:dyDescent="0.25">
      <c r="A7322" s="22">
        <v>45673</v>
      </c>
      <c r="B7322" s="38">
        <v>1</v>
      </c>
      <c r="C7322" s="38">
        <v>1.6</v>
      </c>
      <c r="D7322" s="38">
        <v>1.2</v>
      </c>
      <c r="E7322" s="38">
        <v>0</v>
      </c>
      <c r="F7322" s="38">
        <v>0.4</v>
      </c>
      <c r="G7322" s="38">
        <v>1.5</v>
      </c>
      <c r="H7322" s="38">
        <v>0.9</v>
      </c>
      <c r="I7322" s="38">
        <v>1</v>
      </c>
      <c r="J7322" s="38">
        <v>1</v>
      </c>
      <c r="K7322" s="38">
        <v>1.2</v>
      </c>
      <c r="L7322" s="38">
        <v>0.50800000000000001</v>
      </c>
      <c r="M7322" s="38">
        <v>0</v>
      </c>
      <c r="N7322" s="38">
        <v>11.6</v>
      </c>
      <c r="P7322" s="38">
        <v>0</v>
      </c>
      <c r="Q7322" s="38">
        <v>0</v>
      </c>
      <c r="R7322" s="38">
        <v>1.1000000000000001</v>
      </c>
      <c r="U7322" s="38">
        <v>0</v>
      </c>
      <c r="V7322" s="38">
        <v>0</v>
      </c>
      <c r="W7322" s="38">
        <v>0</v>
      </c>
      <c r="X7322" s="38">
        <v>2</v>
      </c>
      <c r="Y7322" s="38">
        <v>0</v>
      </c>
      <c r="Z7322" s="38">
        <v>2</v>
      </c>
      <c r="AA7322" s="38">
        <v>0</v>
      </c>
      <c r="AB7322" s="38">
        <v>3</v>
      </c>
      <c r="AC7322" s="38">
        <v>2</v>
      </c>
      <c r="AD7322" s="38">
        <v>1.4000000000000001</v>
      </c>
    </row>
    <row r="7323" spans="1:30" x14ac:dyDescent="0.25">
      <c r="A7323" s="22">
        <v>45674</v>
      </c>
      <c r="B7323" s="38">
        <v>7.5</v>
      </c>
      <c r="C7323" s="38">
        <v>6.4</v>
      </c>
      <c r="D7323" s="38">
        <v>8.6</v>
      </c>
      <c r="E7323" s="38">
        <v>18</v>
      </c>
      <c r="F7323" s="38">
        <v>4</v>
      </c>
      <c r="G7323" s="38">
        <v>1.3</v>
      </c>
      <c r="H7323" s="38">
        <v>7.4</v>
      </c>
      <c r="I7323" s="38">
        <v>8.6</v>
      </c>
      <c r="J7323" s="38">
        <v>20.2</v>
      </c>
      <c r="K7323" s="38">
        <v>22.2</v>
      </c>
      <c r="L7323" s="38">
        <v>3.556</v>
      </c>
      <c r="M7323" s="38">
        <v>0.4</v>
      </c>
      <c r="N7323" s="38">
        <v>12.399999999999997</v>
      </c>
      <c r="P7323" s="38">
        <v>4</v>
      </c>
      <c r="Q7323" s="38">
        <v>9.6</v>
      </c>
      <c r="R7323" s="38">
        <v>8</v>
      </c>
      <c r="U7323" s="38">
        <v>14</v>
      </c>
      <c r="V7323" s="38">
        <v>3.5</v>
      </c>
      <c r="W7323" s="38">
        <v>11</v>
      </c>
      <c r="X7323" s="38">
        <v>9</v>
      </c>
      <c r="Y7323" s="38">
        <v>6</v>
      </c>
      <c r="Z7323" s="38">
        <v>10</v>
      </c>
      <c r="AA7323" s="38">
        <v>31</v>
      </c>
      <c r="AB7323" s="38">
        <v>4</v>
      </c>
      <c r="AC7323" s="38">
        <v>3.8</v>
      </c>
      <c r="AD7323" s="38">
        <v>2.8000000000000007</v>
      </c>
    </row>
    <row r="7324" spans="1:30" x14ac:dyDescent="0.25">
      <c r="A7324" s="22">
        <v>45675</v>
      </c>
      <c r="B7324" s="38">
        <v>4</v>
      </c>
      <c r="C7324" s="38">
        <v>3.2</v>
      </c>
      <c r="D7324" s="38">
        <v>5.4</v>
      </c>
      <c r="E7324" s="38">
        <v>0</v>
      </c>
      <c r="F7324" s="38">
        <v>6.2</v>
      </c>
      <c r="G7324" s="38">
        <v>9.5</v>
      </c>
      <c r="H7324" s="38">
        <v>13</v>
      </c>
      <c r="I7324" s="38">
        <v>13.5</v>
      </c>
      <c r="J7324" s="38">
        <v>10.199999999999999</v>
      </c>
      <c r="K7324" s="38">
        <v>10.8</v>
      </c>
      <c r="L7324" s="38">
        <v>0.50800000000000001</v>
      </c>
      <c r="M7324" s="38">
        <v>1.2</v>
      </c>
      <c r="N7324" s="38">
        <v>7.4</v>
      </c>
      <c r="P7324" s="38">
        <v>0</v>
      </c>
      <c r="Q7324" s="38">
        <v>1.5</v>
      </c>
      <c r="R7324" s="38">
        <v>0</v>
      </c>
      <c r="U7324" s="38">
        <v>4</v>
      </c>
      <c r="V7324" s="38">
        <v>4.0999999999999996</v>
      </c>
      <c r="W7324" s="38">
        <v>12</v>
      </c>
      <c r="X7324" s="38">
        <v>6</v>
      </c>
      <c r="Y7324" s="38">
        <v>6.8</v>
      </c>
      <c r="Z7324" s="38">
        <v>6</v>
      </c>
      <c r="AA7324" s="38">
        <v>6</v>
      </c>
      <c r="AB7324" s="38">
        <v>0</v>
      </c>
      <c r="AC7324" s="38">
        <v>3.2000000000000006</v>
      </c>
      <c r="AD7324" s="38">
        <v>2.1999999999999997</v>
      </c>
    </row>
    <row r="7325" spans="1:30" x14ac:dyDescent="0.25">
      <c r="A7325" s="22">
        <v>45676</v>
      </c>
      <c r="B7325" s="38">
        <v>9</v>
      </c>
      <c r="C7325" s="38">
        <v>14.2</v>
      </c>
      <c r="D7325" s="38">
        <v>3</v>
      </c>
      <c r="E7325" s="38">
        <v>0</v>
      </c>
      <c r="F7325" s="38">
        <v>1.2</v>
      </c>
      <c r="G7325" s="38">
        <v>4.8</v>
      </c>
      <c r="H7325" s="38">
        <v>2.4</v>
      </c>
      <c r="I7325" s="38">
        <v>4.5</v>
      </c>
      <c r="J7325" s="38">
        <v>9</v>
      </c>
      <c r="K7325" s="38">
        <v>6.2</v>
      </c>
      <c r="L7325" s="38">
        <v>7.1120000000000001</v>
      </c>
      <c r="M7325" s="38">
        <v>36</v>
      </c>
      <c r="N7325" s="38">
        <v>14.6</v>
      </c>
      <c r="P7325" s="38">
        <v>15</v>
      </c>
      <c r="Q7325" s="38">
        <v>5</v>
      </c>
      <c r="R7325" s="38">
        <v>6.2</v>
      </c>
      <c r="U7325" s="38">
        <v>14</v>
      </c>
      <c r="V7325" s="38">
        <v>2.5</v>
      </c>
      <c r="W7325" s="38">
        <v>9</v>
      </c>
      <c r="X7325" s="38">
        <v>8</v>
      </c>
      <c r="Y7325" s="38">
        <v>4</v>
      </c>
      <c r="Z7325" s="38">
        <v>4</v>
      </c>
      <c r="AA7325" s="38">
        <v>8</v>
      </c>
      <c r="AB7325" s="38">
        <v>0</v>
      </c>
      <c r="AC7325" s="38">
        <v>6.4</v>
      </c>
      <c r="AD7325" s="38">
        <v>3.600000000000001</v>
      </c>
    </row>
    <row r="7326" spans="1:30" x14ac:dyDescent="0.25">
      <c r="A7326" s="22">
        <v>45677</v>
      </c>
      <c r="B7326" s="38">
        <v>34.5</v>
      </c>
      <c r="C7326" s="38">
        <v>10.4</v>
      </c>
      <c r="D7326" s="38">
        <v>29</v>
      </c>
      <c r="E7326" s="38">
        <v>0</v>
      </c>
      <c r="F7326" s="38">
        <v>4</v>
      </c>
      <c r="G7326" s="38">
        <v>9.5</v>
      </c>
      <c r="H7326" s="38">
        <v>4.5999999999999996</v>
      </c>
      <c r="I7326" s="38">
        <v>4.2</v>
      </c>
      <c r="J7326" s="38">
        <v>8.3000000000000007</v>
      </c>
      <c r="K7326" s="38">
        <v>18.3</v>
      </c>
      <c r="L7326" s="38">
        <v>0.50800000000000001</v>
      </c>
      <c r="M7326" s="38">
        <v>5.6</v>
      </c>
      <c r="N7326" s="38">
        <v>3.2</v>
      </c>
      <c r="P7326" s="38">
        <v>8</v>
      </c>
      <c r="Q7326" s="38">
        <v>8</v>
      </c>
      <c r="R7326" s="38">
        <v>4</v>
      </c>
      <c r="U7326" s="38">
        <v>12</v>
      </c>
      <c r="V7326" s="38">
        <v>1.5</v>
      </c>
      <c r="W7326" s="38">
        <v>6.2</v>
      </c>
      <c r="X7326" s="38">
        <v>13</v>
      </c>
      <c r="Y7326" s="38">
        <v>2.5</v>
      </c>
      <c r="Z7326" s="38">
        <v>2</v>
      </c>
      <c r="AA7326" s="38">
        <v>39</v>
      </c>
      <c r="AB7326" s="38">
        <v>7</v>
      </c>
      <c r="AC7326" s="38">
        <v>10</v>
      </c>
      <c r="AD7326" s="38">
        <v>8.0000000000000018</v>
      </c>
    </row>
    <row r="7327" spans="1:30" x14ac:dyDescent="0.25">
      <c r="A7327" s="22">
        <v>45678</v>
      </c>
      <c r="B7327" s="38">
        <v>10</v>
      </c>
      <c r="C7327" s="38">
        <v>9.4</v>
      </c>
      <c r="D7327" s="38">
        <v>12.1</v>
      </c>
      <c r="E7327" s="38">
        <v>8</v>
      </c>
      <c r="F7327" s="38">
        <v>6.1</v>
      </c>
      <c r="G7327" s="38">
        <v>12.5</v>
      </c>
      <c r="H7327" s="38">
        <v>6.7</v>
      </c>
      <c r="I7327" s="38">
        <v>6</v>
      </c>
      <c r="J7327" s="38">
        <v>21</v>
      </c>
      <c r="K7327" s="38">
        <v>19.399999999999999</v>
      </c>
      <c r="L7327" s="38">
        <v>4.0640000000000001</v>
      </c>
      <c r="M7327" s="38">
        <v>7.6</v>
      </c>
      <c r="N7327" s="38">
        <v>29.399999999999995</v>
      </c>
      <c r="P7327" s="38">
        <v>6</v>
      </c>
      <c r="Q7327" s="38">
        <v>4.7</v>
      </c>
      <c r="R7327" s="38">
        <v>4.9000000000000004</v>
      </c>
      <c r="U7327" s="38">
        <v>8</v>
      </c>
      <c r="V7327" s="38">
        <v>2.2000000000000002</v>
      </c>
      <c r="W7327" s="38">
        <v>9.1999999999999993</v>
      </c>
      <c r="X7327" s="38">
        <v>5</v>
      </c>
      <c r="Y7327" s="38">
        <v>5.8</v>
      </c>
      <c r="Z7327" s="38">
        <v>6</v>
      </c>
      <c r="AA7327" s="38">
        <v>6</v>
      </c>
      <c r="AB7327" s="38">
        <v>3</v>
      </c>
      <c r="AC7327" s="38">
        <v>9.1999999999999993</v>
      </c>
      <c r="AD7327" s="38">
        <v>8.6000000000000014</v>
      </c>
    </row>
    <row r="7328" spans="1:30" x14ac:dyDescent="0.25">
      <c r="A7328" s="22">
        <v>45679</v>
      </c>
      <c r="B7328" s="38">
        <v>10</v>
      </c>
      <c r="C7328" s="38">
        <v>20.2</v>
      </c>
      <c r="D7328" s="38">
        <v>21.2</v>
      </c>
      <c r="E7328" s="38">
        <v>9</v>
      </c>
      <c r="F7328" s="38">
        <v>6.2</v>
      </c>
      <c r="G7328" s="38">
        <v>10</v>
      </c>
      <c r="H7328" s="38">
        <v>4.2</v>
      </c>
      <c r="I7328" s="38">
        <v>5.5</v>
      </c>
      <c r="J7328" s="38">
        <v>12.2</v>
      </c>
      <c r="K7328" s="38">
        <v>18.600000000000001</v>
      </c>
      <c r="L7328" s="38">
        <v>1.016</v>
      </c>
      <c r="M7328" s="38">
        <v>6.8</v>
      </c>
      <c r="N7328" s="38">
        <v>5.8000000000000007</v>
      </c>
      <c r="P7328" s="38">
        <v>8</v>
      </c>
      <c r="Q7328" s="38">
        <v>8</v>
      </c>
      <c r="R7328" s="38">
        <v>5.0999999999999996</v>
      </c>
      <c r="U7328" s="38">
        <v>13</v>
      </c>
      <c r="V7328" s="38">
        <v>4.2</v>
      </c>
      <c r="W7328" s="38">
        <v>13.2</v>
      </c>
      <c r="X7328" s="38">
        <v>10</v>
      </c>
      <c r="Y7328" s="38">
        <v>4</v>
      </c>
      <c r="Z7328" s="38">
        <v>5</v>
      </c>
      <c r="AA7328" s="38">
        <v>30</v>
      </c>
      <c r="AB7328" s="38">
        <v>4</v>
      </c>
      <c r="AC7328" s="38">
        <v>1.2</v>
      </c>
      <c r="AD7328" s="38">
        <v>2</v>
      </c>
    </row>
    <row r="7329" spans="1:30" x14ac:dyDescent="0.25">
      <c r="A7329" s="22">
        <v>45680</v>
      </c>
      <c r="B7329" s="38">
        <v>3</v>
      </c>
      <c r="C7329" s="38">
        <v>0.8</v>
      </c>
      <c r="D7329" s="38">
        <v>1.6</v>
      </c>
      <c r="E7329" s="38">
        <v>0</v>
      </c>
      <c r="F7329" s="38">
        <v>0</v>
      </c>
      <c r="G7329" s="38">
        <v>0</v>
      </c>
      <c r="H7329" s="38">
        <v>0</v>
      </c>
      <c r="I7329" s="38">
        <v>1.2</v>
      </c>
      <c r="J7329" s="38">
        <v>0</v>
      </c>
      <c r="K7329" s="38">
        <v>3.2</v>
      </c>
      <c r="L7329" s="38">
        <v>17.525999999999996</v>
      </c>
      <c r="M7329" s="38">
        <v>0</v>
      </c>
      <c r="N7329" s="38">
        <v>1</v>
      </c>
      <c r="P7329" s="38">
        <v>0</v>
      </c>
      <c r="Q7329" s="38">
        <v>0</v>
      </c>
      <c r="R7329" s="38">
        <v>1</v>
      </c>
      <c r="U7329" s="38">
        <v>14</v>
      </c>
      <c r="V7329" s="38">
        <v>0</v>
      </c>
      <c r="W7329" s="38">
        <v>0</v>
      </c>
      <c r="X7329" s="38">
        <v>0</v>
      </c>
      <c r="Y7329" s="38">
        <v>0</v>
      </c>
      <c r="Z7329" s="38">
        <v>0</v>
      </c>
      <c r="AA7329" s="38">
        <v>0</v>
      </c>
      <c r="AB7329" s="38">
        <v>0</v>
      </c>
      <c r="AC7329" s="38">
        <v>0</v>
      </c>
      <c r="AD7329" s="38">
        <v>0</v>
      </c>
    </row>
    <row r="7330" spans="1:30" x14ac:dyDescent="0.25">
      <c r="A7330" s="22">
        <v>45681</v>
      </c>
      <c r="B7330" s="38">
        <v>3</v>
      </c>
      <c r="C7330" s="38">
        <v>4.4000000000000004</v>
      </c>
      <c r="D7330" s="38">
        <v>7</v>
      </c>
      <c r="E7330" s="38">
        <v>0</v>
      </c>
      <c r="F7330" s="38">
        <v>11</v>
      </c>
      <c r="G7330" s="38">
        <v>9.6999999999999993</v>
      </c>
      <c r="H7330" s="38">
        <v>11</v>
      </c>
      <c r="I7330" s="38">
        <v>0</v>
      </c>
      <c r="J7330" s="38">
        <v>6.1</v>
      </c>
      <c r="K7330" s="38">
        <v>8.4</v>
      </c>
      <c r="L7330" s="38">
        <v>4.3180000000000005</v>
      </c>
      <c r="M7330" s="38">
        <v>10</v>
      </c>
      <c r="N7330" s="38">
        <v>12.799999999999999</v>
      </c>
      <c r="P7330" s="38">
        <v>4</v>
      </c>
      <c r="Q7330" s="38">
        <v>6</v>
      </c>
      <c r="R7330" s="38">
        <v>2.1</v>
      </c>
      <c r="U7330" s="38">
        <v>10</v>
      </c>
      <c r="V7330" s="38">
        <v>1.1000000000000001</v>
      </c>
      <c r="W7330" s="38">
        <v>8</v>
      </c>
      <c r="X7330" s="38">
        <v>3</v>
      </c>
      <c r="Y7330" s="38">
        <v>0</v>
      </c>
      <c r="Z7330" s="38">
        <v>6</v>
      </c>
      <c r="AA7330" s="38">
        <v>10</v>
      </c>
      <c r="AB7330" s="38">
        <v>8</v>
      </c>
      <c r="AC7330" s="38">
        <v>7.4000000000000012</v>
      </c>
      <c r="AD7330" s="38">
        <v>8.3999999999999986</v>
      </c>
    </row>
    <row r="7331" spans="1:30" x14ac:dyDescent="0.25">
      <c r="A7331" s="22">
        <v>45682</v>
      </c>
      <c r="B7331" s="38">
        <v>23</v>
      </c>
      <c r="C7331" s="38">
        <v>16.2</v>
      </c>
      <c r="D7331" s="38">
        <v>17.399999999999999</v>
      </c>
      <c r="E7331" s="38">
        <v>0</v>
      </c>
      <c r="F7331" s="38">
        <v>3</v>
      </c>
      <c r="G7331" s="38">
        <v>12.5</v>
      </c>
      <c r="H7331" s="38">
        <v>4</v>
      </c>
      <c r="I7331" s="38">
        <v>18.600000000000001</v>
      </c>
      <c r="J7331" s="38">
        <v>20.399999999999999</v>
      </c>
      <c r="K7331" s="38">
        <v>13.9</v>
      </c>
      <c r="L7331" s="38">
        <v>17.525999999999996</v>
      </c>
      <c r="M7331" s="38">
        <v>5</v>
      </c>
      <c r="N7331" s="38">
        <v>23.799999999999997</v>
      </c>
      <c r="P7331" s="38">
        <v>8</v>
      </c>
      <c r="Q7331" s="38">
        <v>17.8</v>
      </c>
      <c r="R7331" s="38">
        <v>20.100000000000001</v>
      </c>
      <c r="U7331" s="38">
        <v>14</v>
      </c>
      <c r="V7331" s="38">
        <v>4.2</v>
      </c>
      <c r="W7331" s="38">
        <v>10.199999999999999</v>
      </c>
      <c r="X7331" s="38">
        <v>14</v>
      </c>
      <c r="Y7331" s="38">
        <v>6.8</v>
      </c>
      <c r="Z7331" s="38">
        <v>6</v>
      </c>
      <c r="AA7331" s="38">
        <v>27</v>
      </c>
      <c r="AB7331" s="38">
        <v>0</v>
      </c>
      <c r="AC7331" s="38">
        <v>4.5999999999999996</v>
      </c>
      <c r="AD7331" s="38">
        <v>5.0000000000000009</v>
      </c>
    </row>
    <row r="7332" spans="1:30" x14ac:dyDescent="0.25">
      <c r="A7332" s="22">
        <v>45683</v>
      </c>
      <c r="B7332" s="38">
        <v>8</v>
      </c>
      <c r="C7332" s="38">
        <v>13.6</v>
      </c>
      <c r="D7332" s="38">
        <v>22</v>
      </c>
      <c r="E7332" s="38">
        <v>0</v>
      </c>
      <c r="F7332" s="38">
        <v>2</v>
      </c>
      <c r="G7332" s="38">
        <v>5.5</v>
      </c>
      <c r="H7332" s="38">
        <v>3</v>
      </c>
      <c r="I7332" s="38">
        <v>7</v>
      </c>
      <c r="J7332" s="38">
        <v>18.2</v>
      </c>
      <c r="K7332" s="38">
        <v>16.2</v>
      </c>
      <c r="L7332" s="38">
        <v>0</v>
      </c>
      <c r="M7332" s="38">
        <v>4.5999999999999996</v>
      </c>
      <c r="N7332" s="38">
        <v>6.8000000000000016</v>
      </c>
      <c r="P7332" s="38">
        <v>3</v>
      </c>
      <c r="Q7332" s="38">
        <v>8</v>
      </c>
      <c r="R7332" s="38">
        <v>5.9</v>
      </c>
      <c r="U7332" s="38">
        <v>16</v>
      </c>
      <c r="V7332" s="38">
        <v>1.2</v>
      </c>
      <c r="W7332" s="38">
        <v>8.1999999999999993</v>
      </c>
      <c r="X7332" s="38">
        <v>9</v>
      </c>
      <c r="Y7332" s="38">
        <v>2</v>
      </c>
      <c r="Z7332" s="38">
        <v>2.5</v>
      </c>
      <c r="AA7332" s="38">
        <v>14</v>
      </c>
      <c r="AB7332" s="38">
        <v>0</v>
      </c>
      <c r="AC7332" s="38">
        <v>7.8000000000000007</v>
      </c>
      <c r="AD7332" s="38">
        <v>5.4000000000000012</v>
      </c>
    </row>
    <row r="7333" spans="1:30" x14ac:dyDescent="0.25">
      <c r="A7333" s="22">
        <v>45684</v>
      </c>
      <c r="B7333" s="38">
        <v>13</v>
      </c>
      <c r="C7333" s="38">
        <v>2.8</v>
      </c>
      <c r="D7333" s="38">
        <v>1</v>
      </c>
      <c r="E7333" s="38">
        <v>0</v>
      </c>
      <c r="F7333" s="38">
        <v>0</v>
      </c>
      <c r="G7333" s="38">
        <v>2</v>
      </c>
      <c r="H7333" s="38">
        <v>0</v>
      </c>
      <c r="I7333" s="38">
        <v>1.5</v>
      </c>
      <c r="J7333" s="38">
        <v>0</v>
      </c>
      <c r="K7333" s="38">
        <v>1.2</v>
      </c>
      <c r="L7333" s="38">
        <v>0.50800000000000001</v>
      </c>
      <c r="M7333" s="38">
        <v>2.4</v>
      </c>
      <c r="N7333" s="38">
        <v>12.4</v>
      </c>
      <c r="P7333" s="38">
        <v>0</v>
      </c>
      <c r="Q7333" s="38">
        <v>3.6</v>
      </c>
      <c r="R7333" s="38">
        <v>0</v>
      </c>
      <c r="U7333" s="38">
        <v>12</v>
      </c>
      <c r="V7333" s="38">
        <v>0</v>
      </c>
      <c r="W7333" s="38">
        <v>0</v>
      </c>
      <c r="X7333" s="38">
        <v>0</v>
      </c>
      <c r="Y7333" s="38">
        <v>2</v>
      </c>
      <c r="Z7333" s="38">
        <v>4</v>
      </c>
      <c r="AA7333" s="38">
        <v>18</v>
      </c>
      <c r="AB7333" s="38">
        <v>0</v>
      </c>
      <c r="AC7333" s="38">
        <v>6.8000000000000007</v>
      </c>
      <c r="AD7333" s="38">
        <v>4.4000000000000012</v>
      </c>
    </row>
    <row r="7334" spans="1:30" x14ac:dyDescent="0.25">
      <c r="A7334" s="22">
        <v>45685</v>
      </c>
      <c r="B7334" s="38">
        <v>9.5</v>
      </c>
      <c r="C7334" s="38">
        <v>8.8000000000000007</v>
      </c>
      <c r="D7334" s="38">
        <v>11.4</v>
      </c>
      <c r="E7334" s="38">
        <v>0</v>
      </c>
      <c r="F7334" s="38">
        <v>5.2</v>
      </c>
      <c r="G7334" s="38">
        <v>9.5</v>
      </c>
      <c r="H7334" s="38">
        <v>9.4</v>
      </c>
      <c r="I7334" s="38">
        <v>7.8</v>
      </c>
      <c r="J7334" s="38">
        <v>10.199999999999999</v>
      </c>
      <c r="K7334" s="38">
        <v>11.2</v>
      </c>
      <c r="L7334" s="38">
        <v>3.556</v>
      </c>
      <c r="M7334" s="38">
        <v>0.8</v>
      </c>
      <c r="N7334" s="38">
        <v>16.000000000000004</v>
      </c>
      <c r="P7334" s="38">
        <v>4</v>
      </c>
      <c r="Q7334" s="38">
        <v>6</v>
      </c>
      <c r="R7334" s="38">
        <v>3.2</v>
      </c>
      <c r="U7334" s="38">
        <v>6</v>
      </c>
      <c r="V7334" s="38">
        <v>3</v>
      </c>
      <c r="W7334" s="38">
        <v>7.2</v>
      </c>
      <c r="X7334" s="38">
        <v>12</v>
      </c>
      <c r="Y7334" s="38">
        <v>6</v>
      </c>
      <c r="Z7334" s="38">
        <v>6.8</v>
      </c>
      <c r="AA7334" s="38">
        <v>2</v>
      </c>
      <c r="AB7334" s="38">
        <v>0</v>
      </c>
      <c r="AC7334" s="38">
        <v>6.6</v>
      </c>
      <c r="AD7334" s="38">
        <v>16.999999999999996</v>
      </c>
    </row>
    <row r="7335" spans="1:30" x14ac:dyDescent="0.25">
      <c r="A7335" s="22">
        <v>45686</v>
      </c>
      <c r="B7335" s="38">
        <v>35</v>
      </c>
      <c r="C7335" s="38">
        <v>14.2</v>
      </c>
      <c r="D7335" s="38">
        <v>21.8</v>
      </c>
      <c r="E7335" s="38">
        <v>0</v>
      </c>
      <c r="F7335" s="38">
        <v>15.2</v>
      </c>
      <c r="G7335" s="38">
        <v>24</v>
      </c>
      <c r="H7335" s="38">
        <v>20.2</v>
      </c>
      <c r="I7335" s="38">
        <v>15</v>
      </c>
      <c r="J7335" s="38">
        <v>20.399999999999999</v>
      </c>
      <c r="K7335" s="38">
        <v>23.5</v>
      </c>
      <c r="L7335" s="38">
        <v>28.194000000000003</v>
      </c>
      <c r="M7335" s="38">
        <v>12.4</v>
      </c>
      <c r="N7335" s="38">
        <v>18.399999999999999</v>
      </c>
      <c r="P7335" s="38">
        <v>30</v>
      </c>
      <c r="Q7335" s="38">
        <v>15</v>
      </c>
      <c r="R7335" s="38">
        <v>13.1</v>
      </c>
      <c r="U7335" s="38">
        <v>16</v>
      </c>
      <c r="V7335" s="38">
        <v>5.5</v>
      </c>
      <c r="W7335" s="38">
        <v>16</v>
      </c>
      <c r="X7335" s="38">
        <v>14</v>
      </c>
      <c r="Y7335" s="38">
        <v>12.8</v>
      </c>
      <c r="Z7335" s="38">
        <v>14.6</v>
      </c>
      <c r="AA7335" s="38">
        <v>14</v>
      </c>
      <c r="AB7335" s="38">
        <v>12</v>
      </c>
      <c r="AC7335" s="38">
        <v>19.200000000000003</v>
      </c>
      <c r="AD7335" s="38">
        <v>13.4</v>
      </c>
    </row>
    <row r="7336" spans="1:30" x14ac:dyDescent="0.25">
      <c r="A7336" s="22">
        <v>45687</v>
      </c>
      <c r="B7336" s="38">
        <v>14</v>
      </c>
      <c r="C7336" s="38">
        <v>9.1999999999999993</v>
      </c>
      <c r="D7336" s="38">
        <v>3.4</v>
      </c>
      <c r="E7336" s="38">
        <v>12</v>
      </c>
      <c r="F7336" s="38">
        <v>2</v>
      </c>
      <c r="G7336" s="38">
        <v>6</v>
      </c>
      <c r="H7336" s="38">
        <v>5.2</v>
      </c>
      <c r="I7336" s="38">
        <v>7.3</v>
      </c>
      <c r="J7336" s="38">
        <v>3.6</v>
      </c>
      <c r="K7336" s="38">
        <v>1.2</v>
      </c>
      <c r="L7336" s="38">
        <v>7.1120000000000001</v>
      </c>
      <c r="M7336" s="38">
        <v>2</v>
      </c>
      <c r="N7336" s="38">
        <v>0</v>
      </c>
      <c r="P7336" s="38">
        <v>22</v>
      </c>
      <c r="Q7336" s="38">
        <v>5</v>
      </c>
      <c r="R7336" s="38">
        <v>7</v>
      </c>
      <c r="U7336" s="38">
        <v>4</v>
      </c>
      <c r="V7336" s="38">
        <v>2.2000000000000002</v>
      </c>
      <c r="W7336" s="38">
        <v>4.0999999999999996</v>
      </c>
      <c r="X7336" s="38">
        <v>2</v>
      </c>
      <c r="Y7336" s="38">
        <v>2</v>
      </c>
      <c r="Z7336" s="38">
        <v>2.5</v>
      </c>
      <c r="AA7336" s="38">
        <v>2</v>
      </c>
      <c r="AB7336" s="38">
        <v>3</v>
      </c>
      <c r="AC7336" s="38">
        <v>0.2</v>
      </c>
      <c r="AD7336" s="38">
        <v>1.5999999999999999</v>
      </c>
    </row>
    <row r="7337" spans="1:30" x14ac:dyDescent="0.25">
      <c r="A7337" s="22">
        <v>45688</v>
      </c>
      <c r="B7337" s="38">
        <v>0</v>
      </c>
      <c r="C7337" s="38">
        <v>0</v>
      </c>
      <c r="D7337" s="38">
        <v>0</v>
      </c>
      <c r="E7337" s="38">
        <v>0</v>
      </c>
      <c r="F7337" s="38">
        <v>0</v>
      </c>
      <c r="G7337" s="38">
        <v>1</v>
      </c>
      <c r="H7337" s="38">
        <v>0</v>
      </c>
      <c r="I7337" s="38">
        <v>0.2</v>
      </c>
      <c r="J7337" s="38">
        <v>0</v>
      </c>
      <c r="K7337" s="38">
        <v>0</v>
      </c>
      <c r="L7337" s="38">
        <v>0</v>
      </c>
      <c r="M7337" s="38">
        <v>0</v>
      </c>
      <c r="N7337" s="38">
        <v>0.8</v>
      </c>
      <c r="P7337" s="38">
        <v>0</v>
      </c>
      <c r="Q7337" s="38">
        <v>0</v>
      </c>
      <c r="R7337" s="38">
        <v>0</v>
      </c>
      <c r="U7337" s="38">
        <v>0</v>
      </c>
      <c r="V7337" s="38">
        <v>0</v>
      </c>
      <c r="W7337" s="38">
        <v>0</v>
      </c>
      <c r="X7337" s="38">
        <v>0</v>
      </c>
      <c r="Y7337" s="38">
        <v>0</v>
      </c>
      <c r="Z7337" s="38">
        <v>2.4</v>
      </c>
      <c r="AA7337" s="38">
        <v>0</v>
      </c>
      <c r="AB7337" s="38">
        <v>0</v>
      </c>
      <c r="AC7337" s="38">
        <v>15.799999999999997</v>
      </c>
      <c r="AD7337" s="38">
        <v>23.599999999999998</v>
      </c>
    </row>
    <row r="7338" spans="1:30" x14ac:dyDescent="0.25">
      <c r="A7338" s="22">
        <v>45689</v>
      </c>
      <c r="B7338" s="38">
        <v>0</v>
      </c>
      <c r="C7338" s="38">
        <v>0.4</v>
      </c>
      <c r="D7338" s="38">
        <v>10.199999999999999</v>
      </c>
      <c r="E7338" s="38">
        <v>0</v>
      </c>
      <c r="F7338" s="38">
        <v>0</v>
      </c>
      <c r="G7338" s="38">
        <v>1</v>
      </c>
      <c r="H7338" s="38">
        <v>0</v>
      </c>
      <c r="I7338" s="38">
        <v>1.8</v>
      </c>
      <c r="J7338" s="38">
        <v>1.1000000000000001</v>
      </c>
      <c r="K7338" s="38">
        <v>1.5</v>
      </c>
      <c r="L7338" s="38">
        <v>0</v>
      </c>
      <c r="M7338" s="38">
        <v>0</v>
      </c>
      <c r="N7338" s="38">
        <v>9.1999999999999993</v>
      </c>
      <c r="P7338" s="38">
        <v>2</v>
      </c>
      <c r="Q7338" s="38">
        <v>0</v>
      </c>
      <c r="R7338" s="38">
        <v>0</v>
      </c>
      <c r="U7338" s="38">
        <v>7</v>
      </c>
      <c r="V7338" s="38">
        <v>0</v>
      </c>
      <c r="W7338" s="38">
        <v>0</v>
      </c>
      <c r="X7338" s="38">
        <v>0</v>
      </c>
      <c r="Y7338" s="38">
        <v>0</v>
      </c>
      <c r="Z7338" s="38">
        <v>0</v>
      </c>
      <c r="AA7338" s="38">
        <v>0</v>
      </c>
      <c r="AB7338" s="38">
        <v>0</v>
      </c>
      <c r="AC7338" s="38">
        <v>2.4000000000000004</v>
      </c>
      <c r="AD7338" s="38">
        <v>3</v>
      </c>
    </row>
    <row r="7339" spans="1:30" x14ac:dyDescent="0.25">
      <c r="A7339" s="22">
        <v>45690</v>
      </c>
      <c r="B7339" s="38">
        <v>16</v>
      </c>
      <c r="C7339" s="38">
        <v>30.2</v>
      </c>
      <c r="D7339" s="38">
        <v>14.1</v>
      </c>
      <c r="E7339" s="38">
        <v>0</v>
      </c>
      <c r="F7339" s="38">
        <v>13.2</v>
      </c>
      <c r="G7339" s="38">
        <v>8.1</v>
      </c>
      <c r="H7339" s="38">
        <v>12.4</v>
      </c>
      <c r="I7339" s="38">
        <v>3.1</v>
      </c>
      <c r="J7339" s="38">
        <v>8</v>
      </c>
      <c r="K7339" s="38">
        <v>11.6</v>
      </c>
      <c r="L7339" s="38">
        <v>11.43</v>
      </c>
      <c r="M7339" s="38">
        <v>14.8</v>
      </c>
      <c r="N7339" s="38">
        <v>11.4</v>
      </c>
      <c r="P7339" s="38">
        <v>14</v>
      </c>
      <c r="Q7339" s="38">
        <v>14</v>
      </c>
      <c r="R7339" s="38">
        <v>15.9</v>
      </c>
      <c r="U7339" s="38">
        <v>2</v>
      </c>
      <c r="V7339" s="38">
        <v>1.5</v>
      </c>
      <c r="W7339" s="38">
        <v>4</v>
      </c>
      <c r="X7339" s="38">
        <v>10.3</v>
      </c>
      <c r="Y7339" s="38">
        <v>12</v>
      </c>
      <c r="Z7339" s="38">
        <v>14</v>
      </c>
      <c r="AA7339" s="38">
        <v>2</v>
      </c>
      <c r="AB7339" s="38">
        <v>2</v>
      </c>
      <c r="AC7339" s="38">
        <v>10.6</v>
      </c>
      <c r="AD7339" s="38">
        <v>14.199999999999996</v>
      </c>
    </row>
    <row r="7340" spans="1:30" x14ac:dyDescent="0.25">
      <c r="A7340" s="22">
        <v>45691</v>
      </c>
      <c r="B7340" s="38">
        <v>10</v>
      </c>
      <c r="C7340" s="38">
        <v>9</v>
      </c>
      <c r="D7340" s="38">
        <v>9</v>
      </c>
      <c r="E7340" s="38">
        <v>0</v>
      </c>
      <c r="F7340" s="38">
        <v>5.3</v>
      </c>
      <c r="G7340" s="38">
        <v>13</v>
      </c>
      <c r="H7340" s="38">
        <v>4</v>
      </c>
      <c r="I7340" s="38">
        <v>13.4</v>
      </c>
      <c r="J7340" s="38">
        <v>10.199999999999999</v>
      </c>
      <c r="K7340" s="38">
        <v>14.4</v>
      </c>
      <c r="L7340" s="38">
        <v>6.35</v>
      </c>
      <c r="M7340" s="38">
        <v>5.8</v>
      </c>
      <c r="N7340" s="38">
        <v>19</v>
      </c>
      <c r="P7340" s="38">
        <v>6</v>
      </c>
      <c r="Q7340" s="38">
        <v>3.8</v>
      </c>
      <c r="R7340" s="38">
        <v>2.5</v>
      </c>
      <c r="U7340" s="38">
        <v>13</v>
      </c>
      <c r="V7340" s="38">
        <v>4</v>
      </c>
      <c r="W7340" s="38">
        <v>19</v>
      </c>
      <c r="X7340" s="38">
        <v>5</v>
      </c>
      <c r="Y7340" s="38">
        <v>0</v>
      </c>
      <c r="Z7340" s="38">
        <v>0</v>
      </c>
      <c r="AA7340" s="38">
        <v>0</v>
      </c>
      <c r="AB7340" s="38">
        <v>2</v>
      </c>
      <c r="AC7340" s="38">
        <v>7.0000000000000018</v>
      </c>
      <c r="AD7340" s="38">
        <v>5.6000000000000014</v>
      </c>
    </row>
    <row r="7341" spans="1:30" x14ac:dyDescent="0.25">
      <c r="A7341" s="22">
        <v>45692</v>
      </c>
      <c r="B7341" s="38">
        <v>0</v>
      </c>
      <c r="C7341" s="38">
        <v>8.1999999999999993</v>
      </c>
      <c r="D7341" s="38">
        <v>0</v>
      </c>
      <c r="E7341" s="38">
        <v>0</v>
      </c>
      <c r="F7341" s="38">
        <v>0</v>
      </c>
      <c r="G7341" s="38">
        <v>0</v>
      </c>
      <c r="H7341" s="38">
        <v>0</v>
      </c>
      <c r="I7341" s="38">
        <v>0.5</v>
      </c>
      <c r="J7341" s="38">
        <v>0</v>
      </c>
      <c r="K7341" s="38">
        <v>0</v>
      </c>
      <c r="L7341" s="38">
        <v>1.27</v>
      </c>
      <c r="M7341" s="38">
        <v>0</v>
      </c>
      <c r="N7341" s="38">
        <v>0</v>
      </c>
      <c r="P7341" s="38">
        <v>0</v>
      </c>
      <c r="Q7341" s="38">
        <v>0</v>
      </c>
      <c r="R7341" s="38">
        <v>0</v>
      </c>
      <c r="U7341" s="38">
        <v>0</v>
      </c>
      <c r="V7341" s="38">
        <v>0</v>
      </c>
      <c r="W7341" s="38">
        <v>0</v>
      </c>
      <c r="X7341" s="38">
        <v>0</v>
      </c>
      <c r="Y7341" s="38">
        <v>0</v>
      </c>
      <c r="Z7341" s="38">
        <v>0</v>
      </c>
      <c r="AA7341" s="38">
        <v>36</v>
      </c>
      <c r="AB7341" s="38">
        <v>0</v>
      </c>
      <c r="AC7341" s="38">
        <v>0</v>
      </c>
      <c r="AD7341" s="38">
        <v>0</v>
      </c>
    </row>
    <row r="7342" spans="1:30" x14ac:dyDescent="0.25">
      <c r="A7342" s="22">
        <v>45693</v>
      </c>
      <c r="B7342" s="38">
        <v>0</v>
      </c>
      <c r="C7342" s="38">
        <v>2</v>
      </c>
      <c r="D7342" s="38">
        <v>1.2</v>
      </c>
      <c r="E7342" s="38">
        <v>0</v>
      </c>
      <c r="F7342" s="38">
        <v>0</v>
      </c>
      <c r="G7342" s="38">
        <v>0</v>
      </c>
      <c r="H7342" s="38">
        <v>0</v>
      </c>
      <c r="I7342" s="38">
        <v>0</v>
      </c>
      <c r="J7342" s="38">
        <v>0</v>
      </c>
      <c r="K7342" s="38">
        <v>0</v>
      </c>
      <c r="L7342" s="38">
        <v>0</v>
      </c>
      <c r="M7342" s="38">
        <v>1</v>
      </c>
      <c r="N7342" s="38">
        <v>0</v>
      </c>
      <c r="P7342" s="38">
        <v>0</v>
      </c>
      <c r="Q7342" s="38">
        <v>0</v>
      </c>
      <c r="R7342" s="38">
        <v>0</v>
      </c>
      <c r="U7342" s="38">
        <v>0</v>
      </c>
      <c r="V7342" s="38">
        <v>0</v>
      </c>
      <c r="W7342" s="38">
        <v>0</v>
      </c>
      <c r="X7342" s="38">
        <v>3</v>
      </c>
      <c r="Y7342" s="38">
        <v>0</v>
      </c>
      <c r="Z7342" s="38">
        <v>0</v>
      </c>
      <c r="AA7342" s="38">
        <v>3</v>
      </c>
      <c r="AB7342" s="38">
        <v>0</v>
      </c>
      <c r="AC7342" s="38">
        <v>0</v>
      </c>
      <c r="AD7342" s="38">
        <v>0</v>
      </c>
    </row>
    <row r="7343" spans="1:30" x14ac:dyDescent="0.25">
      <c r="A7343" s="22">
        <v>45694</v>
      </c>
      <c r="B7343" s="38">
        <v>0</v>
      </c>
      <c r="C7343" s="38">
        <v>0</v>
      </c>
      <c r="D7343" s="38">
        <v>0.6</v>
      </c>
      <c r="E7343" s="38">
        <v>0</v>
      </c>
      <c r="F7343" s="38">
        <v>0</v>
      </c>
      <c r="G7343" s="38">
        <v>2.8</v>
      </c>
      <c r="H7343" s="38">
        <v>0</v>
      </c>
      <c r="I7343" s="38">
        <v>0.2</v>
      </c>
      <c r="J7343" s="38">
        <v>1</v>
      </c>
      <c r="K7343" s="38">
        <v>0</v>
      </c>
      <c r="L7343" s="38">
        <v>0</v>
      </c>
      <c r="M7343" s="38">
        <v>0</v>
      </c>
      <c r="N7343" s="38">
        <v>4.8000000000000007</v>
      </c>
      <c r="P7343" s="38">
        <v>0</v>
      </c>
      <c r="Q7343" s="38">
        <v>0</v>
      </c>
      <c r="R7343" s="38">
        <v>0</v>
      </c>
      <c r="U7343" s="38">
        <v>4</v>
      </c>
      <c r="V7343" s="38">
        <v>0</v>
      </c>
      <c r="W7343" s="38">
        <v>0</v>
      </c>
      <c r="X7343" s="38">
        <v>4</v>
      </c>
      <c r="Y7343" s="38">
        <v>0</v>
      </c>
      <c r="Z7343" s="38">
        <v>2</v>
      </c>
      <c r="AA7343" s="38">
        <v>0</v>
      </c>
      <c r="AB7343" s="38">
        <v>0</v>
      </c>
      <c r="AC7343" s="38">
        <v>1.2</v>
      </c>
      <c r="AD7343" s="38">
        <v>2</v>
      </c>
    </row>
    <row r="7344" spans="1:30" x14ac:dyDescent="0.25">
      <c r="A7344" s="22">
        <v>45695</v>
      </c>
      <c r="B7344" s="38">
        <v>14</v>
      </c>
      <c r="C7344" s="38">
        <v>13</v>
      </c>
      <c r="D7344" s="38">
        <v>14.6</v>
      </c>
      <c r="E7344" s="38">
        <v>0</v>
      </c>
      <c r="F7344" s="38">
        <v>1.2</v>
      </c>
      <c r="G7344" s="38">
        <v>6</v>
      </c>
      <c r="H7344" s="38">
        <v>1.2</v>
      </c>
      <c r="I7344" s="38">
        <v>3</v>
      </c>
      <c r="J7344" s="38">
        <v>5</v>
      </c>
      <c r="K7344" s="38">
        <v>10</v>
      </c>
      <c r="L7344" s="38">
        <v>11.43</v>
      </c>
      <c r="M7344" s="38">
        <v>6.2</v>
      </c>
      <c r="N7344" s="38">
        <v>8.7999999999999989</v>
      </c>
      <c r="P7344" s="38">
        <v>12</v>
      </c>
      <c r="Q7344" s="38">
        <v>5.0999999999999996</v>
      </c>
      <c r="R7344" s="38">
        <v>4.0999999999999996</v>
      </c>
      <c r="U7344" s="38">
        <v>11</v>
      </c>
      <c r="V7344" s="38">
        <v>2</v>
      </c>
      <c r="W7344" s="38">
        <v>10.1</v>
      </c>
      <c r="X7344" s="38">
        <v>0</v>
      </c>
      <c r="Y7344" s="38">
        <v>4</v>
      </c>
      <c r="Z7344" s="38">
        <v>4.5</v>
      </c>
      <c r="AA7344" s="38">
        <v>4</v>
      </c>
      <c r="AB7344" s="38">
        <v>2</v>
      </c>
      <c r="AC7344" s="38">
        <v>15.2</v>
      </c>
      <c r="AD7344" s="38">
        <v>16.599999999999994</v>
      </c>
    </row>
    <row r="7345" spans="1:30" x14ac:dyDescent="0.25">
      <c r="A7345" s="22">
        <v>45696</v>
      </c>
      <c r="B7345" s="38">
        <v>15</v>
      </c>
      <c r="C7345" s="38">
        <v>0</v>
      </c>
      <c r="D7345" s="38">
        <v>3.2</v>
      </c>
      <c r="E7345" s="38">
        <v>0</v>
      </c>
      <c r="F7345" s="38">
        <v>4.2</v>
      </c>
      <c r="G7345" s="38">
        <v>10</v>
      </c>
      <c r="H7345" s="38">
        <v>6.5</v>
      </c>
      <c r="I7345" s="38">
        <v>11.6</v>
      </c>
      <c r="J7345" s="38">
        <v>12.4</v>
      </c>
      <c r="K7345" s="38">
        <v>1.5</v>
      </c>
      <c r="L7345" s="38">
        <v>4.8259999999999996</v>
      </c>
      <c r="M7345" s="38">
        <v>4</v>
      </c>
      <c r="N7345" s="38">
        <v>1.4000000000000001</v>
      </c>
      <c r="P7345" s="38">
        <v>1</v>
      </c>
      <c r="Q7345" s="38">
        <v>2.4</v>
      </c>
      <c r="R7345" s="38">
        <v>3.2</v>
      </c>
      <c r="U7345" s="38">
        <v>5</v>
      </c>
      <c r="V7345" s="38">
        <v>7</v>
      </c>
      <c r="W7345" s="38">
        <v>23.3</v>
      </c>
      <c r="X7345" s="38">
        <v>2</v>
      </c>
      <c r="Y7345" s="38">
        <v>6</v>
      </c>
      <c r="Z7345" s="38">
        <v>4</v>
      </c>
      <c r="AA7345" s="38">
        <v>2</v>
      </c>
      <c r="AB7345" s="38">
        <v>26</v>
      </c>
      <c r="AC7345" s="38">
        <v>0</v>
      </c>
      <c r="AD7345" s="38">
        <v>0</v>
      </c>
    </row>
    <row r="7346" spans="1:30" x14ac:dyDescent="0.25">
      <c r="A7346" s="22">
        <v>45697</v>
      </c>
      <c r="B7346" s="38">
        <v>5</v>
      </c>
      <c r="C7346" s="38">
        <v>17</v>
      </c>
      <c r="D7346" s="38">
        <v>8</v>
      </c>
      <c r="E7346" s="38">
        <v>5</v>
      </c>
      <c r="F7346" s="38">
        <v>6</v>
      </c>
      <c r="G7346" s="38">
        <v>15</v>
      </c>
      <c r="H7346" s="38">
        <v>7.6</v>
      </c>
      <c r="I7346" s="38">
        <v>4.3</v>
      </c>
      <c r="J7346" s="38">
        <v>0</v>
      </c>
      <c r="K7346" s="38">
        <v>1.5</v>
      </c>
      <c r="L7346" s="38">
        <v>2.794</v>
      </c>
      <c r="M7346" s="38">
        <v>4.5999999999999996</v>
      </c>
      <c r="N7346" s="38">
        <v>4.8000000000000007</v>
      </c>
      <c r="P7346" s="38">
        <v>3</v>
      </c>
      <c r="Q7346" s="38">
        <v>1.2</v>
      </c>
      <c r="R7346" s="38">
        <v>2.1</v>
      </c>
      <c r="U7346" s="38">
        <v>9</v>
      </c>
      <c r="V7346" s="38">
        <v>6.2</v>
      </c>
      <c r="W7346" s="38">
        <v>6.2</v>
      </c>
      <c r="X7346" s="38">
        <v>4</v>
      </c>
      <c r="Y7346" s="38">
        <v>6</v>
      </c>
      <c r="Z7346" s="38">
        <v>10</v>
      </c>
      <c r="AA7346" s="38">
        <v>6</v>
      </c>
      <c r="AB7346" s="38">
        <v>12</v>
      </c>
      <c r="AC7346" s="38">
        <v>5.2000000000000011</v>
      </c>
      <c r="AD7346" s="38">
        <v>8.6000000000000014</v>
      </c>
    </row>
    <row r="7347" spans="1:30" x14ac:dyDescent="0.25">
      <c r="A7347" s="22">
        <v>45698</v>
      </c>
      <c r="B7347" s="38">
        <v>13</v>
      </c>
      <c r="C7347" s="38">
        <v>10.4</v>
      </c>
      <c r="D7347" s="38">
        <v>8.1</v>
      </c>
      <c r="E7347" s="38">
        <v>0</v>
      </c>
      <c r="F7347" s="38">
        <v>0.2</v>
      </c>
      <c r="G7347" s="38">
        <v>4</v>
      </c>
      <c r="H7347" s="38">
        <v>0</v>
      </c>
      <c r="I7347" s="38">
        <v>4.0999999999999996</v>
      </c>
      <c r="J7347" s="38">
        <v>6.5</v>
      </c>
      <c r="K7347" s="38">
        <v>12.3</v>
      </c>
      <c r="L7347" s="38">
        <v>2.2859999999999996</v>
      </c>
      <c r="M7347" s="38">
        <v>0.3</v>
      </c>
      <c r="N7347" s="38">
        <v>16.999999999999996</v>
      </c>
      <c r="P7347" s="38">
        <v>4</v>
      </c>
      <c r="Q7347" s="38">
        <v>6.6</v>
      </c>
      <c r="R7347" s="38">
        <v>5.2</v>
      </c>
      <c r="U7347" s="38">
        <v>15</v>
      </c>
      <c r="V7347" s="38">
        <v>1.2</v>
      </c>
      <c r="W7347" s="38">
        <v>4</v>
      </c>
      <c r="X7347" s="38">
        <v>13</v>
      </c>
      <c r="Y7347" s="38">
        <v>2.8</v>
      </c>
      <c r="Z7347" s="38">
        <v>4</v>
      </c>
      <c r="AA7347" s="38">
        <v>8</v>
      </c>
      <c r="AB7347" s="38">
        <v>2</v>
      </c>
      <c r="AC7347" s="38">
        <v>6.8000000000000034</v>
      </c>
      <c r="AD7347" s="38">
        <v>6.8000000000000007</v>
      </c>
    </row>
    <row r="7348" spans="1:30" x14ac:dyDescent="0.25">
      <c r="A7348" s="22">
        <v>45699</v>
      </c>
      <c r="B7348" s="38">
        <v>3</v>
      </c>
      <c r="C7348" s="38">
        <v>6.2</v>
      </c>
      <c r="D7348" s="38">
        <v>3</v>
      </c>
      <c r="E7348" s="38">
        <v>3</v>
      </c>
      <c r="F7348" s="38">
        <v>3</v>
      </c>
      <c r="G7348" s="38">
        <v>3</v>
      </c>
      <c r="H7348" s="38">
        <v>2</v>
      </c>
      <c r="I7348" s="38">
        <v>3</v>
      </c>
      <c r="J7348" s="38">
        <v>1.9</v>
      </c>
      <c r="K7348" s="38">
        <v>2.2000000000000002</v>
      </c>
      <c r="L7348" s="38">
        <v>7.3659999999999988</v>
      </c>
      <c r="M7348" s="38">
        <v>2.8</v>
      </c>
      <c r="N7348" s="38">
        <v>1.5999999999999999</v>
      </c>
      <c r="P7348" s="38">
        <v>4</v>
      </c>
      <c r="Q7348" s="38">
        <v>2.4</v>
      </c>
      <c r="R7348" s="38">
        <v>2</v>
      </c>
      <c r="U7348" s="38">
        <v>3</v>
      </c>
      <c r="V7348" s="38">
        <v>0</v>
      </c>
      <c r="W7348" s="38">
        <v>5.2</v>
      </c>
      <c r="X7348" s="38">
        <v>2</v>
      </c>
      <c r="Y7348" s="38">
        <v>2</v>
      </c>
      <c r="Z7348" s="38">
        <v>3.4</v>
      </c>
      <c r="AA7348" s="38">
        <v>4</v>
      </c>
      <c r="AB7348" s="38">
        <v>0</v>
      </c>
      <c r="AC7348" s="38">
        <v>1.7999999999999998</v>
      </c>
      <c r="AD7348" s="38">
        <v>1.2</v>
      </c>
    </row>
    <row r="7349" spans="1:30" x14ac:dyDescent="0.25">
      <c r="A7349" s="22">
        <v>45700</v>
      </c>
      <c r="B7349" s="38">
        <v>3</v>
      </c>
      <c r="C7349" s="38">
        <v>0</v>
      </c>
      <c r="D7349" s="38">
        <v>4.2</v>
      </c>
      <c r="E7349" s="38">
        <v>0</v>
      </c>
      <c r="F7349" s="38">
        <v>0</v>
      </c>
      <c r="G7349" s="38">
        <v>0</v>
      </c>
      <c r="H7349" s="38">
        <v>0</v>
      </c>
      <c r="I7349" s="38">
        <v>1.1000000000000001</v>
      </c>
      <c r="J7349" s="38">
        <v>1.2</v>
      </c>
      <c r="K7349" s="38">
        <v>2.8</v>
      </c>
      <c r="L7349" s="38">
        <v>2.032</v>
      </c>
      <c r="M7349" s="38">
        <v>0</v>
      </c>
      <c r="N7349" s="38">
        <v>3.4000000000000008</v>
      </c>
      <c r="P7349" s="38">
        <v>2</v>
      </c>
      <c r="Q7349" s="38">
        <v>0.6</v>
      </c>
      <c r="R7349" s="38">
        <v>0</v>
      </c>
      <c r="U7349" s="38">
        <v>2</v>
      </c>
      <c r="V7349" s="38">
        <v>1.5</v>
      </c>
      <c r="W7349" s="38">
        <v>0</v>
      </c>
      <c r="X7349" s="38">
        <v>2</v>
      </c>
      <c r="Y7349" s="38">
        <v>0</v>
      </c>
      <c r="Z7349" s="38">
        <v>0</v>
      </c>
      <c r="AA7349" s="38">
        <v>0</v>
      </c>
      <c r="AB7349" s="38">
        <v>0</v>
      </c>
      <c r="AC7349" s="38">
        <v>1.2</v>
      </c>
      <c r="AD7349" s="38">
        <v>3.600000000000001</v>
      </c>
    </row>
    <row r="7350" spans="1:30" x14ac:dyDescent="0.25">
      <c r="A7350" s="22">
        <v>45701</v>
      </c>
      <c r="B7350" s="38">
        <v>4</v>
      </c>
      <c r="C7350" s="38">
        <v>0</v>
      </c>
      <c r="D7350" s="38">
        <v>4.2</v>
      </c>
      <c r="E7350" s="38">
        <v>3</v>
      </c>
      <c r="F7350" s="38">
        <v>0</v>
      </c>
      <c r="G7350" s="38">
        <v>4</v>
      </c>
      <c r="H7350" s="38">
        <v>2.4</v>
      </c>
      <c r="I7350" s="38">
        <v>4</v>
      </c>
      <c r="J7350" s="38">
        <v>4.4000000000000004</v>
      </c>
      <c r="K7350" s="38">
        <v>1.6</v>
      </c>
      <c r="L7350" s="38">
        <v>4.8259999999999996</v>
      </c>
      <c r="M7350" s="38">
        <v>4.0999999999999996</v>
      </c>
      <c r="N7350" s="38">
        <v>1.9999999999999998</v>
      </c>
      <c r="P7350" s="38">
        <v>2</v>
      </c>
      <c r="Q7350" s="38">
        <v>0.7</v>
      </c>
      <c r="R7350" s="38">
        <v>0</v>
      </c>
      <c r="U7350" s="38">
        <v>0</v>
      </c>
      <c r="V7350" s="38">
        <v>4.2</v>
      </c>
      <c r="W7350" s="38">
        <v>4.4000000000000004</v>
      </c>
      <c r="X7350" s="38">
        <v>4</v>
      </c>
      <c r="Y7350" s="38">
        <v>2</v>
      </c>
      <c r="Z7350" s="38">
        <v>2</v>
      </c>
      <c r="AA7350" s="38">
        <v>0</v>
      </c>
      <c r="AB7350" s="38">
        <v>0</v>
      </c>
      <c r="AC7350" s="38">
        <v>0.60000000000000009</v>
      </c>
      <c r="AD7350" s="38">
        <v>0.8</v>
      </c>
    </row>
    <row r="7351" spans="1:30" x14ac:dyDescent="0.25">
      <c r="A7351" s="22">
        <v>45702</v>
      </c>
      <c r="B7351" s="38">
        <v>2</v>
      </c>
      <c r="C7351" s="38">
        <v>12</v>
      </c>
      <c r="D7351" s="38">
        <v>2.2000000000000002</v>
      </c>
      <c r="E7351" s="38">
        <v>0</v>
      </c>
      <c r="F7351" s="38">
        <v>2.2000000000000002</v>
      </c>
      <c r="G7351" s="38">
        <v>5</v>
      </c>
      <c r="H7351" s="38">
        <v>1.8</v>
      </c>
      <c r="I7351" s="38">
        <v>2.9</v>
      </c>
      <c r="J7351" s="38">
        <v>0</v>
      </c>
      <c r="K7351" s="38">
        <v>3.6</v>
      </c>
      <c r="L7351" s="38">
        <v>0.50800000000000001</v>
      </c>
      <c r="M7351" s="38">
        <v>2.8</v>
      </c>
      <c r="N7351" s="38">
        <v>1</v>
      </c>
      <c r="P7351" s="38">
        <v>2</v>
      </c>
      <c r="Q7351" s="38">
        <v>2.4</v>
      </c>
      <c r="R7351" s="38">
        <v>2</v>
      </c>
      <c r="U7351" s="38">
        <v>4</v>
      </c>
      <c r="V7351" s="38">
        <v>0</v>
      </c>
      <c r="W7351" s="38">
        <v>5.2</v>
      </c>
      <c r="Y7351" s="38">
        <v>0</v>
      </c>
      <c r="Z7351" s="38">
        <v>0</v>
      </c>
      <c r="AA7351" s="38">
        <v>0</v>
      </c>
      <c r="AB7351" s="38">
        <v>0</v>
      </c>
      <c r="AC7351" s="38">
        <v>0.2</v>
      </c>
      <c r="AD7351" s="38">
        <v>4.6000000000000005</v>
      </c>
    </row>
    <row r="7352" spans="1:30" x14ac:dyDescent="0.25">
      <c r="A7352" s="22">
        <v>45703</v>
      </c>
      <c r="B7352" s="38">
        <v>10</v>
      </c>
      <c r="C7352" s="38">
        <v>8.1999999999999993</v>
      </c>
      <c r="D7352" s="38">
        <v>15.6</v>
      </c>
      <c r="E7352" s="38">
        <v>0</v>
      </c>
      <c r="F7352" s="38">
        <v>10.199999999999999</v>
      </c>
      <c r="G7352" s="38">
        <v>11.5</v>
      </c>
      <c r="H7352" s="38">
        <v>12.8</v>
      </c>
      <c r="I7352" s="38">
        <v>10.199999999999999</v>
      </c>
      <c r="J7352" s="38">
        <v>6.2</v>
      </c>
      <c r="K7352" s="38">
        <v>6.7</v>
      </c>
      <c r="L7352" s="38">
        <v>1.016</v>
      </c>
      <c r="M7352" s="38">
        <v>4.8</v>
      </c>
      <c r="N7352" s="38">
        <v>12.399999999999999</v>
      </c>
      <c r="P7352" s="38">
        <v>14</v>
      </c>
      <c r="Q7352" s="38">
        <v>5.9</v>
      </c>
      <c r="R7352" s="38">
        <v>0</v>
      </c>
      <c r="U7352" s="38">
        <v>10</v>
      </c>
      <c r="V7352" s="38">
        <v>3</v>
      </c>
      <c r="W7352" s="38">
        <v>14</v>
      </c>
      <c r="X7352" s="38">
        <v>8</v>
      </c>
      <c r="Y7352" s="38">
        <v>4</v>
      </c>
      <c r="Z7352" s="38">
        <v>4.2</v>
      </c>
      <c r="AA7352" s="38">
        <v>5</v>
      </c>
      <c r="AB7352" s="38">
        <v>0</v>
      </c>
      <c r="AC7352" s="38">
        <v>0.4</v>
      </c>
      <c r="AD7352" s="38">
        <v>8.4</v>
      </c>
    </row>
    <row r="7353" spans="1:30" x14ac:dyDescent="0.25">
      <c r="A7353" s="22">
        <v>45704</v>
      </c>
      <c r="B7353" s="38">
        <v>26</v>
      </c>
      <c r="C7353" s="38">
        <v>26</v>
      </c>
      <c r="D7353" s="38">
        <v>2</v>
      </c>
      <c r="E7353" s="38">
        <v>0</v>
      </c>
      <c r="F7353" s="38">
        <v>3.1</v>
      </c>
      <c r="G7353" s="38">
        <v>4.5</v>
      </c>
      <c r="H7353" s="38">
        <v>7</v>
      </c>
      <c r="I7353" s="38">
        <v>15.2</v>
      </c>
      <c r="J7353" s="38">
        <v>9.8000000000000007</v>
      </c>
      <c r="K7353" s="38">
        <v>7</v>
      </c>
      <c r="L7353" s="38">
        <v>5.3339999999999996</v>
      </c>
      <c r="M7353" s="38">
        <v>11</v>
      </c>
      <c r="N7353" s="38">
        <v>14.399999999999999</v>
      </c>
      <c r="P7353" s="38">
        <v>16</v>
      </c>
      <c r="Q7353" s="38">
        <v>7</v>
      </c>
      <c r="R7353" s="38">
        <v>0</v>
      </c>
      <c r="U7353" s="38">
        <v>11</v>
      </c>
      <c r="V7353" s="38">
        <v>3.2</v>
      </c>
      <c r="W7353" s="38">
        <v>8.5</v>
      </c>
      <c r="X7353" s="38">
        <v>2.4</v>
      </c>
      <c r="Y7353" s="38">
        <v>4</v>
      </c>
      <c r="Z7353" s="38">
        <v>4</v>
      </c>
      <c r="AA7353" s="38">
        <v>18</v>
      </c>
      <c r="AB7353" s="38">
        <v>2</v>
      </c>
      <c r="AC7353" s="38">
        <v>11.2</v>
      </c>
      <c r="AD7353" s="38">
        <v>10.199999999999998</v>
      </c>
    </row>
    <row r="7354" spans="1:30" x14ac:dyDescent="0.25">
      <c r="A7354" s="22">
        <v>45705</v>
      </c>
      <c r="B7354" s="38">
        <v>15</v>
      </c>
      <c r="C7354" s="38">
        <v>22</v>
      </c>
      <c r="D7354" s="38">
        <v>36.4</v>
      </c>
      <c r="E7354" s="38">
        <v>0</v>
      </c>
      <c r="F7354" s="38">
        <v>6.3</v>
      </c>
      <c r="G7354" s="38">
        <v>24.5</v>
      </c>
      <c r="H7354" s="38">
        <v>9</v>
      </c>
      <c r="I7354" s="38">
        <v>15</v>
      </c>
      <c r="J7354" s="38">
        <v>17</v>
      </c>
      <c r="K7354" s="38">
        <v>18.600000000000001</v>
      </c>
      <c r="L7354" s="38">
        <v>9.1439999999999984</v>
      </c>
      <c r="M7354" s="38">
        <v>14</v>
      </c>
      <c r="N7354" s="38">
        <v>2.2000000000000002</v>
      </c>
      <c r="P7354" s="38">
        <v>12</v>
      </c>
      <c r="Q7354" s="38">
        <v>8.9</v>
      </c>
      <c r="R7354" s="38">
        <v>4.2</v>
      </c>
      <c r="U7354" s="38">
        <v>38</v>
      </c>
      <c r="V7354" s="38">
        <v>7.2</v>
      </c>
      <c r="W7354" s="38">
        <v>19</v>
      </c>
      <c r="X7354" s="38">
        <v>12</v>
      </c>
      <c r="Y7354" s="38">
        <v>4</v>
      </c>
      <c r="Z7354" s="38">
        <v>8.1999999999999993</v>
      </c>
      <c r="AA7354" s="38">
        <v>7</v>
      </c>
      <c r="AB7354" s="38">
        <v>24</v>
      </c>
      <c r="AC7354" s="38">
        <v>3.2</v>
      </c>
      <c r="AD7354" s="38">
        <v>3.8000000000000007</v>
      </c>
    </row>
    <row r="7355" spans="1:30" x14ac:dyDescent="0.25">
      <c r="A7355" s="22">
        <v>45706</v>
      </c>
      <c r="B7355" s="38">
        <v>0</v>
      </c>
      <c r="C7355" s="38">
        <v>0</v>
      </c>
      <c r="D7355" s="38">
        <v>0</v>
      </c>
      <c r="E7355" s="38">
        <v>0</v>
      </c>
      <c r="F7355" s="38">
        <v>0</v>
      </c>
      <c r="G7355" s="38">
        <v>0</v>
      </c>
      <c r="H7355" s="38">
        <v>0</v>
      </c>
      <c r="I7355" s="38">
        <v>0.9</v>
      </c>
      <c r="J7355" s="38">
        <v>1</v>
      </c>
      <c r="K7355" s="38">
        <v>0</v>
      </c>
      <c r="L7355" s="38">
        <v>0.7619999999999999</v>
      </c>
      <c r="M7355" s="38">
        <v>0</v>
      </c>
      <c r="N7355" s="38">
        <v>0</v>
      </c>
      <c r="P7355" s="38">
        <v>0</v>
      </c>
      <c r="Q7355" s="38">
        <v>0</v>
      </c>
      <c r="R7355" s="38">
        <v>0</v>
      </c>
      <c r="U7355" s="38">
        <v>0</v>
      </c>
      <c r="V7355" s="38">
        <v>0</v>
      </c>
      <c r="W7355" s="38">
        <v>0</v>
      </c>
      <c r="X7355" s="38">
        <v>0</v>
      </c>
      <c r="Y7355" s="38">
        <v>0</v>
      </c>
      <c r="Z7355" s="38">
        <v>0</v>
      </c>
      <c r="AA7355" s="38">
        <v>0</v>
      </c>
      <c r="AB7355" s="38">
        <v>1</v>
      </c>
      <c r="AC7355" s="38">
        <v>0</v>
      </c>
      <c r="AD7355" s="38">
        <v>0</v>
      </c>
    </row>
    <row r="7356" spans="1:30" x14ac:dyDescent="0.25">
      <c r="A7356" s="22">
        <v>45707</v>
      </c>
      <c r="B7356" s="38">
        <v>0</v>
      </c>
      <c r="C7356" s="38">
        <v>0</v>
      </c>
      <c r="D7356" s="38">
        <v>2.4</v>
      </c>
      <c r="E7356" s="38">
        <v>0</v>
      </c>
      <c r="F7356" s="38">
        <v>0</v>
      </c>
      <c r="G7356" s="38">
        <v>2.5</v>
      </c>
      <c r="H7356" s="38">
        <v>0</v>
      </c>
      <c r="I7356" s="38">
        <v>1.2</v>
      </c>
      <c r="J7356" s="38">
        <v>2.4</v>
      </c>
      <c r="K7356" s="38">
        <v>1.2</v>
      </c>
      <c r="L7356" s="38">
        <v>0</v>
      </c>
      <c r="M7356" s="38">
        <v>1.6</v>
      </c>
      <c r="N7356" s="38">
        <v>0.2</v>
      </c>
      <c r="P7356" s="38">
        <v>0</v>
      </c>
      <c r="Q7356" s="38">
        <v>1</v>
      </c>
      <c r="R7356" s="38">
        <v>1.2</v>
      </c>
      <c r="U7356" s="38">
        <v>0</v>
      </c>
      <c r="V7356" s="38">
        <v>3</v>
      </c>
      <c r="W7356" s="38">
        <v>9.1</v>
      </c>
      <c r="X7356" s="38">
        <v>0</v>
      </c>
      <c r="Y7356" s="38">
        <v>0</v>
      </c>
      <c r="Z7356" s="38">
        <v>0</v>
      </c>
      <c r="AA7356" s="38">
        <v>0</v>
      </c>
      <c r="AB7356" s="38">
        <v>0</v>
      </c>
      <c r="AC7356" s="38">
        <v>0.2</v>
      </c>
      <c r="AD7356" s="38">
        <v>0.60000000000000009</v>
      </c>
    </row>
    <row r="7357" spans="1:30" x14ac:dyDescent="0.25">
      <c r="A7357" s="22">
        <v>45708</v>
      </c>
      <c r="B7357" s="38">
        <v>6</v>
      </c>
      <c r="C7357" s="38">
        <v>0</v>
      </c>
      <c r="D7357" s="38">
        <v>0.4</v>
      </c>
      <c r="E7357" s="38">
        <v>0</v>
      </c>
      <c r="F7357" s="38">
        <v>0</v>
      </c>
      <c r="G7357" s="38">
        <v>0</v>
      </c>
      <c r="H7357" s="38">
        <v>0</v>
      </c>
      <c r="I7357" s="38">
        <v>0.1</v>
      </c>
      <c r="J7357" s="38">
        <v>1</v>
      </c>
      <c r="K7357" s="38">
        <v>0</v>
      </c>
      <c r="L7357" s="38">
        <v>9.1439999999999984</v>
      </c>
      <c r="M7357" s="38">
        <v>0</v>
      </c>
      <c r="N7357" s="38">
        <v>0</v>
      </c>
      <c r="P7357" s="38">
        <v>0</v>
      </c>
      <c r="Q7357" s="38">
        <v>0</v>
      </c>
      <c r="R7357" s="38">
        <v>0</v>
      </c>
      <c r="U7357" s="38">
        <v>0</v>
      </c>
      <c r="V7357" s="38">
        <v>0</v>
      </c>
      <c r="W7357" s="38">
        <v>0</v>
      </c>
      <c r="X7357" s="38">
        <v>0</v>
      </c>
      <c r="Y7357" s="38">
        <v>0</v>
      </c>
      <c r="Z7357" s="38">
        <v>0</v>
      </c>
      <c r="AA7357" s="38">
        <v>0</v>
      </c>
      <c r="AB7357" s="38">
        <v>0</v>
      </c>
      <c r="AC7357" s="38">
        <v>0.2</v>
      </c>
      <c r="AD7357" s="38">
        <v>0</v>
      </c>
    </row>
    <row r="7358" spans="1:30" x14ac:dyDescent="0.25">
      <c r="A7358" s="22">
        <v>45709</v>
      </c>
      <c r="B7358" s="38">
        <v>0</v>
      </c>
      <c r="C7358" s="38">
        <v>4.2</v>
      </c>
      <c r="D7358" s="38">
        <v>4.2</v>
      </c>
      <c r="E7358" s="38">
        <v>0</v>
      </c>
      <c r="F7358" s="38">
        <v>0</v>
      </c>
      <c r="G7358" s="38">
        <v>0</v>
      </c>
      <c r="H7358" s="38">
        <v>0</v>
      </c>
      <c r="I7358" s="38">
        <v>0.8</v>
      </c>
      <c r="J7358" s="38">
        <v>0</v>
      </c>
      <c r="K7358" s="38">
        <v>2.8</v>
      </c>
      <c r="L7358" s="38">
        <v>0.7619999999999999</v>
      </c>
      <c r="M7358" s="38">
        <v>0</v>
      </c>
      <c r="N7358" s="38">
        <v>1.6</v>
      </c>
      <c r="P7358" s="38">
        <v>0</v>
      </c>
      <c r="Q7358" s="38">
        <v>2</v>
      </c>
      <c r="R7358" s="38">
        <v>1</v>
      </c>
      <c r="U7358" s="38">
        <v>4</v>
      </c>
      <c r="V7358" s="38">
        <v>0</v>
      </c>
      <c r="W7358" s="38">
        <v>0</v>
      </c>
      <c r="X7358" s="38">
        <v>0</v>
      </c>
      <c r="Y7358" s="38">
        <v>0</v>
      </c>
      <c r="Z7358" s="38">
        <v>0</v>
      </c>
      <c r="AA7358" s="38">
        <v>2</v>
      </c>
      <c r="AB7358" s="38">
        <v>0</v>
      </c>
      <c r="AC7358" s="38">
        <v>0.2</v>
      </c>
      <c r="AD7358" s="38">
        <v>0</v>
      </c>
    </row>
    <row r="7359" spans="1:30" x14ac:dyDescent="0.25">
      <c r="A7359" s="22">
        <v>45710</v>
      </c>
      <c r="B7359" s="38">
        <v>0</v>
      </c>
      <c r="C7359" s="38">
        <v>0</v>
      </c>
      <c r="D7359" s="38">
        <v>0</v>
      </c>
      <c r="E7359" s="38">
        <v>0</v>
      </c>
      <c r="F7359" s="38">
        <v>0</v>
      </c>
      <c r="G7359" s="38">
        <v>0</v>
      </c>
      <c r="H7359" s="38">
        <v>0</v>
      </c>
      <c r="I7359" s="38">
        <v>0.1</v>
      </c>
      <c r="J7359" s="38">
        <v>0</v>
      </c>
      <c r="K7359" s="38">
        <v>0</v>
      </c>
      <c r="L7359" s="38">
        <v>0</v>
      </c>
      <c r="M7359" s="38">
        <v>0</v>
      </c>
      <c r="N7359" s="38">
        <v>0</v>
      </c>
      <c r="P7359" s="38">
        <v>0</v>
      </c>
      <c r="Q7359" s="38">
        <v>0</v>
      </c>
      <c r="R7359" s="38">
        <v>0</v>
      </c>
      <c r="U7359" s="38">
        <v>0</v>
      </c>
      <c r="V7359" s="38">
        <v>0</v>
      </c>
      <c r="W7359" s="38">
        <v>0</v>
      </c>
      <c r="X7359" s="38">
        <v>0</v>
      </c>
      <c r="Y7359" s="38">
        <v>0</v>
      </c>
      <c r="Z7359" s="38">
        <v>0</v>
      </c>
      <c r="AA7359" s="38">
        <v>0</v>
      </c>
      <c r="AB7359" s="38">
        <v>0</v>
      </c>
      <c r="AC7359" s="38">
        <v>0</v>
      </c>
      <c r="AD7359" s="38">
        <v>0</v>
      </c>
    </row>
    <row r="7360" spans="1:30" x14ac:dyDescent="0.25">
      <c r="A7360" s="22">
        <v>45711</v>
      </c>
      <c r="B7360" s="38">
        <v>0</v>
      </c>
      <c r="C7360" s="38">
        <v>0</v>
      </c>
      <c r="D7360" s="38">
        <v>0</v>
      </c>
      <c r="E7360" s="38">
        <v>0</v>
      </c>
      <c r="F7360" s="38">
        <v>0</v>
      </c>
      <c r="G7360" s="38">
        <v>0</v>
      </c>
      <c r="H7360" s="38">
        <v>0</v>
      </c>
      <c r="I7360" s="38">
        <v>0</v>
      </c>
      <c r="J7360" s="38">
        <v>0</v>
      </c>
      <c r="K7360" s="38">
        <v>0</v>
      </c>
      <c r="L7360" s="38">
        <v>0</v>
      </c>
      <c r="M7360" s="38">
        <v>0</v>
      </c>
      <c r="N7360" s="38">
        <v>1.5999999999999999</v>
      </c>
      <c r="P7360" s="38">
        <v>0</v>
      </c>
      <c r="Q7360" s="38">
        <v>0</v>
      </c>
      <c r="R7360" s="38">
        <v>0</v>
      </c>
      <c r="U7360" s="38">
        <v>0</v>
      </c>
      <c r="V7360" s="38">
        <v>0</v>
      </c>
      <c r="W7360" s="38">
        <v>0</v>
      </c>
      <c r="X7360" s="38">
        <v>0</v>
      </c>
      <c r="Y7360" s="38">
        <v>0</v>
      </c>
      <c r="Z7360" s="38">
        <v>0</v>
      </c>
      <c r="AA7360" s="38">
        <v>0</v>
      </c>
      <c r="AB7360" s="38">
        <v>0</v>
      </c>
      <c r="AC7360" s="38">
        <v>0.2</v>
      </c>
      <c r="AD7360" s="38">
        <v>0</v>
      </c>
    </row>
    <row r="7361" spans="1:30" x14ac:dyDescent="0.25">
      <c r="A7361" s="22">
        <v>45712</v>
      </c>
      <c r="B7361" s="38">
        <v>102</v>
      </c>
      <c r="C7361" s="38">
        <v>108</v>
      </c>
      <c r="D7361" s="38">
        <v>105</v>
      </c>
      <c r="E7361" s="38">
        <v>13</v>
      </c>
      <c r="F7361" s="38">
        <v>3</v>
      </c>
      <c r="G7361" s="38">
        <v>10</v>
      </c>
      <c r="H7361" s="38">
        <v>2</v>
      </c>
      <c r="I7361" s="38">
        <v>3.9</v>
      </c>
      <c r="J7361" s="38">
        <v>23.2</v>
      </c>
      <c r="K7361" s="38">
        <v>45</v>
      </c>
      <c r="L7361" s="38">
        <v>14.985999999999999</v>
      </c>
      <c r="M7361" s="38">
        <v>4</v>
      </c>
      <c r="N7361" s="38">
        <v>48.6</v>
      </c>
      <c r="P7361" s="38">
        <v>30</v>
      </c>
      <c r="Q7361" s="38">
        <v>5</v>
      </c>
      <c r="R7361" s="38">
        <v>7.9</v>
      </c>
      <c r="U7361" s="38">
        <v>40</v>
      </c>
      <c r="V7361" s="38">
        <v>1.5</v>
      </c>
      <c r="W7361" s="38">
        <v>4</v>
      </c>
      <c r="X7361" s="38">
        <v>2</v>
      </c>
      <c r="Y7361" s="38">
        <v>17.2</v>
      </c>
      <c r="Z7361" s="38">
        <v>12.4</v>
      </c>
      <c r="AA7361" s="38">
        <v>9</v>
      </c>
      <c r="AB7361" s="38">
        <v>52</v>
      </c>
      <c r="AC7361" s="38">
        <v>0.2</v>
      </c>
      <c r="AD7361" s="38">
        <v>2.6000000000000005</v>
      </c>
    </row>
    <row r="7362" spans="1:30" x14ac:dyDescent="0.25">
      <c r="A7362" s="22">
        <v>45713</v>
      </c>
      <c r="B7362" s="38">
        <v>16</v>
      </c>
      <c r="C7362" s="38">
        <v>6.4</v>
      </c>
      <c r="D7362" s="38">
        <v>8</v>
      </c>
      <c r="E7362" s="38">
        <v>8</v>
      </c>
      <c r="F7362" s="38">
        <v>0</v>
      </c>
      <c r="G7362" s="38">
        <v>0</v>
      </c>
      <c r="H7362" s="38">
        <v>0</v>
      </c>
      <c r="I7362" s="38">
        <v>0</v>
      </c>
      <c r="J7362" s="38">
        <v>0.2</v>
      </c>
      <c r="K7362" s="38">
        <v>1</v>
      </c>
      <c r="L7362" s="38">
        <v>3.302</v>
      </c>
      <c r="M7362" s="38">
        <v>0</v>
      </c>
      <c r="N7362" s="38">
        <v>3.4000000000000004</v>
      </c>
      <c r="P7362" s="38">
        <v>6</v>
      </c>
      <c r="Q7362" s="38">
        <v>16</v>
      </c>
      <c r="R7362" s="38">
        <v>0</v>
      </c>
      <c r="U7362" s="38">
        <v>10</v>
      </c>
      <c r="V7362" s="38">
        <v>0</v>
      </c>
      <c r="W7362" s="38">
        <v>0</v>
      </c>
      <c r="X7362" s="38">
        <v>5</v>
      </c>
      <c r="Y7362" s="38">
        <v>0</v>
      </c>
      <c r="Z7362" s="38">
        <v>0</v>
      </c>
      <c r="AA7362" s="38">
        <v>7</v>
      </c>
      <c r="AB7362" s="38">
        <v>120</v>
      </c>
      <c r="AC7362" s="38">
        <v>0</v>
      </c>
      <c r="AD7362" s="38">
        <v>0</v>
      </c>
    </row>
    <row r="7363" spans="1:30" x14ac:dyDescent="0.25">
      <c r="A7363" s="22">
        <v>45714</v>
      </c>
      <c r="B7363" s="38">
        <v>0</v>
      </c>
      <c r="C7363" s="38">
        <v>0</v>
      </c>
      <c r="D7363" s="38">
        <v>0</v>
      </c>
      <c r="E7363" s="38">
        <v>0</v>
      </c>
      <c r="F7363" s="38">
        <v>0</v>
      </c>
      <c r="G7363" s="38">
        <v>0</v>
      </c>
      <c r="H7363" s="38">
        <v>0</v>
      </c>
      <c r="I7363" s="38">
        <v>0.1</v>
      </c>
      <c r="J7363" s="38">
        <v>0</v>
      </c>
      <c r="K7363" s="38">
        <v>0</v>
      </c>
      <c r="L7363" s="38">
        <v>1.27</v>
      </c>
      <c r="M7363" s="38">
        <v>0</v>
      </c>
      <c r="N7363" s="38">
        <v>0</v>
      </c>
      <c r="P7363" s="38">
        <v>2</v>
      </c>
      <c r="Q7363" s="38">
        <v>0</v>
      </c>
      <c r="R7363" s="38">
        <v>0</v>
      </c>
      <c r="U7363" s="38">
        <v>0</v>
      </c>
      <c r="V7363" s="38">
        <v>0</v>
      </c>
      <c r="W7363" s="38">
        <v>0</v>
      </c>
      <c r="X7363" s="38">
        <v>0.3</v>
      </c>
      <c r="Y7363" s="38">
        <v>0</v>
      </c>
      <c r="Z7363" s="38">
        <v>0</v>
      </c>
      <c r="AA7363" s="38">
        <v>0</v>
      </c>
      <c r="AB7363" s="38">
        <v>0</v>
      </c>
      <c r="AC7363" s="38">
        <v>0.2</v>
      </c>
      <c r="AD7363" s="38">
        <v>0</v>
      </c>
    </row>
    <row r="7364" spans="1:30" x14ac:dyDescent="0.25">
      <c r="A7364" s="22">
        <v>45715</v>
      </c>
      <c r="B7364" s="38">
        <v>0</v>
      </c>
      <c r="C7364" s="38">
        <v>0</v>
      </c>
      <c r="D7364" s="38">
        <v>2.8</v>
      </c>
      <c r="E7364" s="38">
        <v>0</v>
      </c>
      <c r="F7364" s="38">
        <v>0</v>
      </c>
      <c r="G7364" s="38">
        <v>0</v>
      </c>
      <c r="H7364" s="38">
        <v>0</v>
      </c>
      <c r="I7364" s="38">
        <v>0.2</v>
      </c>
      <c r="J7364" s="38">
        <v>0.1</v>
      </c>
      <c r="K7364" s="38">
        <v>0</v>
      </c>
      <c r="L7364" s="38">
        <v>1.016</v>
      </c>
      <c r="M7364" s="38">
        <v>0.1</v>
      </c>
      <c r="N7364" s="38">
        <v>0</v>
      </c>
      <c r="P7364" s="38">
        <v>0</v>
      </c>
      <c r="Q7364" s="38">
        <v>0.2</v>
      </c>
      <c r="R7364" s="38">
        <v>0</v>
      </c>
      <c r="U7364" s="38">
        <v>4</v>
      </c>
      <c r="V7364" s="38">
        <v>0</v>
      </c>
      <c r="W7364" s="38">
        <v>0</v>
      </c>
      <c r="X7364" s="38">
        <v>0.4</v>
      </c>
      <c r="Y7364" s="38">
        <v>0</v>
      </c>
      <c r="Z7364" s="38">
        <v>0</v>
      </c>
      <c r="AA7364" s="38">
        <v>0</v>
      </c>
      <c r="AB7364" s="38">
        <v>0</v>
      </c>
      <c r="AC7364" s="38">
        <v>0.2</v>
      </c>
      <c r="AD7364" s="38">
        <v>0</v>
      </c>
    </row>
    <row r="7365" spans="1:30" x14ac:dyDescent="0.25">
      <c r="A7365" s="22">
        <v>45716</v>
      </c>
      <c r="B7365" s="38">
        <v>3</v>
      </c>
      <c r="C7365" s="38">
        <v>4.4000000000000004</v>
      </c>
      <c r="D7365" s="38">
        <v>2</v>
      </c>
      <c r="E7365" s="38">
        <v>0</v>
      </c>
      <c r="F7365" s="38">
        <v>0</v>
      </c>
      <c r="G7365" s="38">
        <v>0</v>
      </c>
      <c r="H7365" s="38">
        <v>0</v>
      </c>
      <c r="I7365" s="38">
        <v>2.1</v>
      </c>
      <c r="J7365" s="38">
        <v>0.1</v>
      </c>
      <c r="K7365" s="38">
        <v>0</v>
      </c>
      <c r="L7365" s="38">
        <v>1.016</v>
      </c>
      <c r="M7365" s="38">
        <v>0.2</v>
      </c>
      <c r="N7365" s="38">
        <v>3.6</v>
      </c>
      <c r="P7365" s="38">
        <v>0</v>
      </c>
      <c r="Q7365" s="38">
        <v>4.5</v>
      </c>
      <c r="R7365" s="38">
        <v>2.1</v>
      </c>
      <c r="U7365" s="38">
        <v>2</v>
      </c>
      <c r="V7365" s="38">
        <v>0</v>
      </c>
      <c r="W7365" s="38">
        <v>0</v>
      </c>
      <c r="X7365" s="38">
        <v>0</v>
      </c>
      <c r="Y7365" s="38">
        <v>0</v>
      </c>
      <c r="Z7365" s="38">
        <v>0</v>
      </c>
      <c r="AA7365" s="38">
        <v>0</v>
      </c>
      <c r="AB7365" s="38">
        <v>4</v>
      </c>
      <c r="AC7365" s="38">
        <v>0.2</v>
      </c>
      <c r="AD7365" s="38">
        <v>0.4</v>
      </c>
    </row>
    <row r="7366" spans="1:30" x14ac:dyDescent="0.25">
      <c r="A7366" s="22">
        <v>45717</v>
      </c>
      <c r="B7366" s="38">
        <v>0</v>
      </c>
      <c r="C7366" s="38">
        <v>3.2</v>
      </c>
      <c r="D7366" s="38">
        <v>12.8</v>
      </c>
      <c r="E7366" s="38">
        <v>0</v>
      </c>
      <c r="F7366" s="38">
        <v>10</v>
      </c>
      <c r="G7366" s="38">
        <v>17</v>
      </c>
      <c r="H7366" s="38">
        <v>7.8</v>
      </c>
      <c r="I7366" s="38">
        <v>9.1999999999999993</v>
      </c>
      <c r="J7366" s="38">
        <v>10.4</v>
      </c>
      <c r="K7366" s="38">
        <v>10</v>
      </c>
      <c r="L7366" s="38">
        <v>7.3659999999999988</v>
      </c>
      <c r="M7366" s="38">
        <v>10</v>
      </c>
      <c r="N7366" s="38">
        <v>13.6</v>
      </c>
      <c r="P7366" s="38">
        <v>4</v>
      </c>
      <c r="Q7366" s="38">
        <v>3.2</v>
      </c>
      <c r="R7366" s="38">
        <v>4.0999999999999996</v>
      </c>
      <c r="U7366" s="38">
        <v>12</v>
      </c>
      <c r="V7366" s="38">
        <v>2</v>
      </c>
      <c r="W7366" s="38">
        <v>6.5</v>
      </c>
      <c r="X7366" s="38">
        <v>4</v>
      </c>
      <c r="Y7366" s="38">
        <v>8.8000000000000007</v>
      </c>
      <c r="Z7366" s="38">
        <v>10</v>
      </c>
      <c r="AA7366" s="38">
        <v>14</v>
      </c>
      <c r="AB7366" s="38">
        <v>0</v>
      </c>
      <c r="AC7366" s="38">
        <v>3.8000000000000007</v>
      </c>
      <c r="AD7366" s="38">
        <v>4.4000000000000012</v>
      </c>
    </row>
    <row r="7367" spans="1:30" x14ac:dyDescent="0.25">
      <c r="A7367" s="22">
        <v>45718</v>
      </c>
      <c r="B7367" s="38">
        <v>10</v>
      </c>
      <c r="C7367" s="38">
        <v>2</v>
      </c>
      <c r="D7367" s="38">
        <v>3.2</v>
      </c>
      <c r="E7367" s="38">
        <v>0</v>
      </c>
      <c r="F7367" s="38">
        <v>0</v>
      </c>
      <c r="G7367" s="38">
        <v>0</v>
      </c>
      <c r="H7367" s="38">
        <v>1.2</v>
      </c>
      <c r="I7367" s="38">
        <v>4.9000000000000004</v>
      </c>
      <c r="J7367" s="38">
        <v>3.8</v>
      </c>
      <c r="K7367" s="38">
        <v>2</v>
      </c>
      <c r="L7367" s="38">
        <v>0</v>
      </c>
      <c r="M7367" s="38">
        <v>4.5999999999999996</v>
      </c>
      <c r="N7367" s="38">
        <v>1.5999999999999999</v>
      </c>
      <c r="P7367" s="38">
        <v>2</v>
      </c>
      <c r="Q7367" s="38">
        <v>1.2</v>
      </c>
      <c r="R7367" s="38">
        <v>4.5</v>
      </c>
      <c r="U7367" s="38">
        <v>0</v>
      </c>
      <c r="V7367" s="38">
        <v>1.2</v>
      </c>
      <c r="W7367" s="38">
        <v>9</v>
      </c>
      <c r="X7367" s="38">
        <v>0</v>
      </c>
      <c r="Y7367" s="38">
        <v>0</v>
      </c>
      <c r="Z7367" s="38">
        <v>0</v>
      </c>
      <c r="AA7367" s="38">
        <v>0</v>
      </c>
      <c r="AB7367" s="38">
        <v>0</v>
      </c>
      <c r="AC7367" s="38">
        <v>0</v>
      </c>
      <c r="AD7367" s="38">
        <v>0</v>
      </c>
    </row>
    <row r="7368" spans="1:30" x14ac:dyDescent="0.25">
      <c r="A7368" s="22">
        <v>45719</v>
      </c>
      <c r="B7368" s="38">
        <v>6</v>
      </c>
      <c r="C7368" s="38">
        <v>0</v>
      </c>
      <c r="D7368" s="38">
        <v>2.4</v>
      </c>
      <c r="E7368" s="38">
        <v>0</v>
      </c>
      <c r="F7368" s="38">
        <v>0</v>
      </c>
      <c r="G7368" s="38">
        <v>0</v>
      </c>
      <c r="H7368" s="38">
        <v>0</v>
      </c>
      <c r="I7368" s="38">
        <v>0.7</v>
      </c>
      <c r="J7368" s="38">
        <v>5</v>
      </c>
      <c r="K7368" s="38">
        <v>5.8</v>
      </c>
      <c r="L7368" s="38">
        <v>2.2859999999999996</v>
      </c>
      <c r="M7368" s="38">
        <v>0</v>
      </c>
      <c r="N7368" s="38">
        <v>5.6000000000000014</v>
      </c>
      <c r="P7368" s="38">
        <v>2</v>
      </c>
      <c r="Q7368" s="38">
        <v>0.4</v>
      </c>
      <c r="R7368" s="38">
        <v>2</v>
      </c>
      <c r="U7368" s="38">
        <v>2</v>
      </c>
      <c r="V7368" s="38">
        <v>0</v>
      </c>
      <c r="W7368" s="38">
        <v>0</v>
      </c>
      <c r="X7368" s="38">
        <v>0</v>
      </c>
      <c r="Y7368" s="38">
        <v>5.2</v>
      </c>
      <c r="Z7368" s="38">
        <v>4</v>
      </c>
      <c r="AA7368" s="38">
        <v>0</v>
      </c>
      <c r="AB7368" s="38">
        <v>0</v>
      </c>
      <c r="AC7368" s="38">
        <v>0.2</v>
      </c>
      <c r="AD7368" s="38">
        <v>0.8</v>
      </c>
    </row>
    <row r="7369" spans="1:30" x14ac:dyDescent="0.25">
      <c r="A7369" s="22">
        <v>45720</v>
      </c>
      <c r="B7369" s="38">
        <v>0</v>
      </c>
      <c r="C7369" s="38">
        <v>0</v>
      </c>
      <c r="D7369" s="38">
        <v>0</v>
      </c>
      <c r="E7369" s="38">
        <v>0</v>
      </c>
      <c r="F7369" s="38">
        <v>0</v>
      </c>
      <c r="G7369" s="38">
        <v>0</v>
      </c>
      <c r="H7369" s="38">
        <v>0.2</v>
      </c>
      <c r="I7369" s="38">
        <v>0</v>
      </c>
      <c r="J7369" s="38">
        <v>1.2</v>
      </c>
      <c r="K7369" s="38">
        <v>6</v>
      </c>
      <c r="L7369" s="38">
        <v>0.50800000000000001</v>
      </c>
      <c r="M7369" s="38">
        <v>0</v>
      </c>
      <c r="N7369" s="38">
        <v>0.8</v>
      </c>
      <c r="P7369" s="38">
        <v>0</v>
      </c>
      <c r="Q7369" s="38">
        <v>0</v>
      </c>
      <c r="R7369" s="38">
        <v>0</v>
      </c>
      <c r="U7369" s="38">
        <v>0</v>
      </c>
      <c r="V7369" s="38">
        <v>0</v>
      </c>
      <c r="W7369" s="38">
        <v>0</v>
      </c>
      <c r="X7369" s="38">
        <v>0</v>
      </c>
      <c r="Y7369" s="38">
        <v>2</v>
      </c>
      <c r="Z7369" s="38">
        <v>2.6</v>
      </c>
      <c r="AA7369" s="38">
        <v>0</v>
      </c>
      <c r="AB7369" s="38">
        <v>0</v>
      </c>
      <c r="AC7369" s="38">
        <v>0.2</v>
      </c>
      <c r="AD7369" s="38">
        <v>0</v>
      </c>
    </row>
    <row r="7370" spans="1:30" x14ac:dyDescent="0.25">
      <c r="A7370" s="22">
        <v>45721</v>
      </c>
      <c r="B7370" s="38">
        <v>0</v>
      </c>
      <c r="C7370" s="38">
        <v>0</v>
      </c>
      <c r="D7370" s="38">
        <v>2</v>
      </c>
      <c r="E7370" s="38">
        <v>0</v>
      </c>
      <c r="F7370" s="38">
        <v>0</v>
      </c>
      <c r="G7370" s="38">
        <v>0</v>
      </c>
      <c r="H7370" s="38">
        <v>0</v>
      </c>
      <c r="I7370" s="38">
        <v>0.1</v>
      </c>
      <c r="J7370" s="38">
        <v>1</v>
      </c>
      <c r="K7370" s="38">
        <v>0</v>
      </c>
      <c r="L7370" s="38">
        <v>0</v>
      </c>
      <c r="M7370" s="38">
        <v>0</v>
      </c>
      <c r="N7370" s="38">
        <v>0</v>
      </c>
      <c r="P7370" s="38">
        <v>0</v>
      </c>
      <c r="Q7370" s="38">
        <v>0</v>
      </c>
      <c r="R7370" s="38">
        <v>0</v>
      </c>
      <c r="U7370" s="38">
        <v>0</v>
      </c>
      <c r="V7370" s="38">
        <v>0</v>
      </c>
      <c r="W7370" s="38">
        <v>0</v>
      </c>
      <c r="X7370" s="38">
        <v>1</v>
      </c>
      <c r="Y7370" s="38">
        <v>0</v>
      </c>
      <c r="Z7370" s="38">
        <v>0</v>
      </c>
      <c r="AA7370" s="38">
        <v>0</v>
      </c>
      <c r="AB7370" s="38">
        <v>0</v>
      </c>
      <c r="AC7370" s="38">
        <v>0.2</v>
      </c>
      <c r="AD7370" s="38">
        <v>0.4</v>
      </c>
    </row>
    <row r="7371" spans="1:30" x14ac:dyDescent="0.25">
      <c r="A7371" s="22">
        <v>45722</v>
      </c>
      <c r="B7371" s="38">
        <v>0</v>
      </c>
      <c r="C7371" s="38">
        <v>0</v>
      </c>
      <c r="D7371" s="38">
        <v>0</v>
      </c>
      <c r="E7371" s="38">
        <v>0</v>
      </c>
      <c r="F7371" s="38">
        <v>0</v>
      </c>
      <c r="G7371" s="38">
        <v>0</v>
      </c>
      <c r="H7371" s="38">
        <v>0</v>
      </c>
      <c r="I7371" s="38">
        <v>0</v>
      </c>
      <c r="J7371" s="38">
        <v>0</v>
      </c>
      <c r="K7371" s="38">
        <v>0</v>
      </c>
      <c r="L7371" s="38">
        <v>0</v>
      </c>
      <c r="M7371" s="38">
        <v>0</v>
      </c>
      <c r="N7371" s="38">
        <v>0</v>
      </c>
      <c r="P7371" s="38">
        <v>0</v>
      </c>
      <c r="Q7371" s="38">
        <v>0</v>
      </c>
      <c r="R7371" s="38">
        <v>0</v>
      </c>
      <c r="U7371" s="38">
        <v>0</v>
      </c>
      <c r="V7371" s="38">
        <v>0</v>
      </c>
      <c r="W7371" s="38">
        <v>0</v>
      </c>
      <c r="X7371" s="38">
        <v>0</v>
      </c>
      <c r="Y7371" s="38">
        <v>0</v>
      </c>
      <c r="Z7371" s="38">
        <v>0</v>
      </c>
      <c r="AA7371" s="38">
        <v>0</v>
      </c>
      <c r="AB7371" s="38">
        <v>0</v>
      </c>
      <c r="AC7371" s="38">
        <v>0.2</v>
      </c>
      <c r="AD7371" s="38">
        <v>0</v>
      </c>
    </row>
    <row r="7372" spans="1:30" x14ac:dyDescent="0.25">
      <c r="A7372" s="22">
        <v>45723</v>
      </c>
      <c r="B7372" s="38">
        <v>0</v>
      </c>
      <c r="C7372" s="38">
        <v>0</v>
      </c>
      <c r="D7372" s="38">
        <v>0.2</v>
      </c>
      <c r="E7372" s="38">
        <v>0</v>
      </c>
      <c r="F7372" s="38">
        <v>0</v>
      </c>
      <c r="G7372" s="38">
        <v>0</v>
      </c>
      <c r="H7372" s="38">
        <v>0</v>
      </c>
      <c r="I7372" s="38">
        <v>0</v>
      </c>
      <c r="J7372" s="38">
        <v>0</v>
      </c>
      <c r="K7372" s="38">
        <v>0</v>
      </c>
      <c r="L7372" s="38">
        <v>0</v>
      </c>
      <c r="M7372" s="38">
        <v>0</v>
      </c>
      <c r="N7372" s="38">
        <v>0</v>
      </c>
      <c r="P7372" s="38">
        <v>0</v>
      </c>
      <c r="Q7372" s="38">
        <v>0.7</v>
      </c>
      <c r="R7372" s="38">
        <v>0</v>
      </c>
      <c r="U7372" s="38">
        <v>0</v>
      </c>
      <c r="V7372" s="38">
        <v>0</v>
      </c>
      <c r="W7372" s="38">
        <v>0</v>
      </c>
      <c r="X7372" s="38">
        <v>0</v>
      </c>
      <c r="Y7372" s="38">
        <v>0</v>
      </c>
      <c r="Z7372" s="38">
        <v>0</v>
      </c>
      <c r="AA7372" s="38">
        <v>0</v>
      </c>
      <c r="AB7372" s="38">
        <v>0</v>
      </c>
      <c r="AC7372" s="38">
        <v>0</v>
      </c>
      <c r="AD7372" s="38">
        <v>0</v>
      </c>
    </row>
    <row r="7373" spans="1:30" x14ac:dyDescent="0.25">
      <c r="A7373" s="22">
        <v>45724</v>
      </c>
      <c r="B7373" s="38">
        <v>0</v>
      </c>
      <c r="C7373" s="38">
        <v>0</v>
      </c>
      <c r="D7373" s="38">
        <v>4.4000000000000004</v>
      </c>
      <c r="E7373" s="38">
        <v>0</v>
      </c>
      <c r="F7373" s="38">
        <v>0</v>
      </c>
      <c r="G7373" s="38">
        <v>0</v>
      </c>
      <c r="H7373" s="38">
        <v>0.3</v>
      </c>
      <c r="I7373" s="38">
        <v>4.5</v>
      </c>
      <c r="J7373" s="38">
        <v>4.2</v>
      </c>
      <c r="K7373" s="38">
        <v>3.9</v>
      </c>
      <c r="L7373" s="38">
        <v>0</v>
      </c>
      <c r="M7373" s="38">
        <v>0.2</v>
      </c>
      <c r="N7373" s="38">
        <v>6.4</v>
      </c>
      <c r="P7373" s="38">
        <v>4</v>
      </c>
      <c r="Q7373" s="38">
        <v>0</v>
      </c>
      <c r="R7373" s="38">
        <v>2</v>
      </c>
      <c r="U7373" s="38">
        <v>4</v>
      </c>
      <c r="V7373" s="38">
        <v>1.2</v>
      </c>
      <c r="W7373" s="38">
        <v>3</v>
      </c>
      <c r="X7373" s="38">
        <v>0</v>
      </c>
      <c r="Y7373" s="38">
        <v>0</v>
      </c>
      <c r="Z7373" s="38">
        <v>0</v>
      </c>
      <c r="AA7373" s="38">
        <v>2</v>
      </c>
      <c r="AB7373" s="38">
        <v>0</v>
      </c>
      <c r="AC7373" s="38">
        <v>0.2</v>
      </c>
      <c r="AD7373" s="38">
        <v>0.4</v>
      </c>
    </row>
    <row r="7374" spans="1:30" x14ac:dyDescent="0.25">
      <c r="A7374" s="22">
        <v>45725</v>
      </c>
      <c r="B7374" s="38">
        <v>5</v>
      </c>
      <c r="C7374" s="38">
        <v>2</v>
      </c>
      <c r="D7374" s="38">
        <v>0</v>
      </c>
      <c r="E7374" s="38">
        <v>0</v>
      </c>
      <c r="F7374" s="38">
        <v>0</v>
      </c>
      <c r="G7374" s="38">
        <v>8</v>
      </c>
      <c r="H7374" s="38">
        <v>0.2</v>
      </c>
      <c r="I7374" s="38">
        <v>0.8</v>
      </c>
      <c r="J7374" s="38">
        <v>3</v>
      </c>
      <c r="K7374" s="38">
        <v>8</v>
      </c>
      <c r="L7374" s="38">
        <v>0</v>
      </c>
      <c r="M7374" s="38">
        <v>3</v>
      </c>
      <c r="N7374" s="38">
        <v>5.6</v>
      </c>
      <c r="P7374" s="38">
        <v>0</v>
      </c>
      <c r="Q7374" s="38">
        <v>1.2</v>
      </c>
      <c r="R7374" s="38">
        <v>0</v>
      </c>
      <c r="U7374" s="38">
        <v>0</v>
      </c>
      <c r="V7374" s="38">
        <v>1.3</v>
      </c>
      <c r="W7374" s="38">
        <v>3.5</v>
      </c>
      <c r="X7374" s="38">
        <v>4</v>
      </c>
      <c r="Y7374" s="38">
        <v>2</v>
      </c>
      <c r="Z7374" s="38">
        <v>2</v>
      </c>
      <c r="AA7374" s="38">
        <v>0</v>
      </c>
      <c r="AB7374" s="38">
        <v>0</v>
      </c>
      <c r="AC7374" s="38">
        <v>0.2</v>
      </c>
      <c r="AD7374" s="38">
        <v>0.2</v>
      </c>
    </row>
    <row r="7375" spans="1:30" x14ac:dyDescent="0.25">
      <c r="A7375" s="22">
        <v>45726</v>
      </c>
      <c r="B7375" s="38">
        <v>0</v>
      </c>
      <c r="C7375" s="38">
        <v>0</v>
      </c>
      <c r="D7375" s="38">
        <v>2</v>
      </c>
      <c r="E7375" s="38">
        <v>4</v>
      </c>
      <c r="F7375" s="38">
        <v>0</v>
      </c>
      <c r="G7375" s="38">
        <v>4</v>
      </c>
      <c r="H7375" s="38">
        <v>0.2</v>
      </c>
      <c r="I7375" s="38">
        <v>0.9</v>
      </c>
      <c r="J7375" s="38">
        <v>4.0999999999999996</v>
      </c>
      <c r="K7375" s="38">
        <v>4</v>
      </c>
      <c r="L7375" s="38">
        <v>2.2859999999999996</v>
      </c>
      <c r="M7375" s="38">
        <v>1.7</v>
      </c>
      <c r="N7375" s="38">
        <v>7.4</v>
      </c>
      <c r="P7375" s="38">
        <v>2</v>
      </c>
      <c r="Q7375" s="38">
        <v>0.4</v>
      </c>
      <c r="R7375" s="38">
        <v>2.1</v>
      </c>
      <c r="U7375" s="38">
        <v>4</v>
      </c>
      <c r="V7375" s="38">
        <v>1.2</v>
      </c>
      <c r="W7375" s="38">
        <v>2</v>
      </c>
      <c r="X7375" s="38">
        <v>2</v>
      </c>
      <c r="Y7375" s="38">
        <v>4</v>
      </c>
      <c r="Z7375" s="38">
        <v>4.5</v>
      </c>
      <c r="AA7375" s="38">
        <v>2</v>
      </c>
      <c r="AB7375" s="38">
        <v>1</v>
      </c>
      <c r="AC7375" s="38">
        <v>0</v>
      </c>
      <c r="AD7375" s="38">
        <v>0.4</v>
      </c>
    </row>
    <row r="7376" spans="1:30" x14ac:dyDescent="0.25">
      <c r="A7376" s="22">
        <v>45727</v>
      </c>
      <c r="B7376" s="38">
        <v>1</v>
      </c>
      <c r="C7376" s="38">
        <v>0</v>
      </c>
      <c r="D7376" s="38">
        <v>6</v>
      </c>
      <c r="E7376" s="38">
        <v>0</v>
      </c>
      <c r="F7376" s="38">
        <v>1.3</v>
      </c>
      <c r="G7376" s="38">
        <v>6</v>
      </c>
      <c r="H7376" s="38">
        <v>0.2</v>
      </c>
      <c r="I7376" s="38">
        <v>6.2</v>
      </c>
      <c r="J7376" s="38">
        <v>6</v>
      </c>
      <c r="K7376" s="38">
        <v>8.4</v>
      </c>
      <c r="L7376" s="38">
        <v>1.016</v>
      </c>
      <c r="M7376" s="38">
        <v>4.4000000000000004</v>
      </c>
      <c r="N7376" s="38">
        <v>9.1999999999999993</v>
      </c>
      <c r="P7376" s="38">
        <v>1</v>
      </c>
      <c r="Q7376" s="38">
        <v>0</v>
      </c>
      <c r="R7376" s="38">
        <v>0</v>
      </c>
      <c r="U7376" s="38">
        <v>5</v>
      </c>
      <c r="V7376" s="38">
        <v>0</v>
      </c>
      <c r="W7376" s="38">
        <v>3.5</v>
      </c>
      <c r="X7376" s="38">
        <v>7</v>
      </c>
      <c r="Y7376" s="38">
        <v>2</v>
      </c>
      <c r="Z7376" s="38">
        <v>8.1999999999999993</v>
      </c>
      <c r="AA7376" s="38">
        <v>4</v>
      </c>
      <c r="AB7376" s="38">
        <v>1</v>
      </c>
      <c r="AC7376" s="38">
        <v>0.2</v>
      </c>
      <c r="AD7376" s="38">
        <v>0.2</v>
      </c>
    </row>
    <row r="7377" spans="1:30" x14ac:dyDescent="0.25">
      <c r="A7377" s="22">
        <v>45728</v>
      </c>
      <c r="B7377" s="38">
        <v>0</v>
      </c>
      <c r="C7377" s="38">
        <v>0</v>
      </c>
      <c r="D7377" s="38">
        <v>0</v>
      </c>
      <c r="E7377" s="38">
        <v>0</v>
      </c>
      <c r="F7377" s="38">
        <v>1.3</v>
      </c>
      <c r="G7377" s="38">
        <v>0</v>
      </c>
      <c r="H7377" s="38">
        <v>0</v>
      </c>
      <c r="I7377" s="38">
        <v>0.5</v>
      </c>
      <c r="J7377" s="38">
        <v>0</v>
      </c>
      <c r="K7377" s="38">
        <v>0</v>
      </c>
      <c r="L7377" s="38">
        <v>0</v>
      </c>
      <c r="M7377" s="38">
        <v>0</v>
      </c>
      <c r="N7377" s="38">
        <v>2.6000000000000005</v>
      </c>
      <c r="P7377" s="38">
        <v>0</v>
      </c>
      <c r="Q7377" s="38">
        <v>8.8000000000000007</v>
      </c>
      <c r="R7377" s="38">
        <v>0</v>
      </c>
      <c r="U7377" s="38">
        <v>0</v>
      </c>
      <c r="V7377" s="38">
        <v>0</v>
      </c>
      <c r="W7377" s="38">
        <v>0</v>
      </c>
      <c r="X7377" s="38">
        <v>2</v>
      </c>
      <c r="Y7377" s="38">
        <v>0</v>
      </c>
      <c r="Z7377" s="38">
        <v>0</v>
      </c>
      <c r="AA7377" s="38">
        <v>2</v>
      </c>
      <c r="AB7377" s="38">
        <v>1</v>
      </c>
      <c r="AC7377" s="38">
        <v>0.2</v>
      </c>
      <c r="AD7377" s="38">
        <v>0</v>
      </c>
    </row>
    <row r="7378" spans="1:30" x14ac:dyDescent="0.25">
      <c r="A7378" s="22">
        <v>45729</v>
      </c>
      <c r="B7378" s="38">
        <v>0</v>
      </c>
      <c r="C7378" s="38">
        <v>2</v>
      </c>
      <c r="D7378" s="38">
        <v>0</v>
      </c>
      <c r="E7378" s="38">
        <v>0</v>
      </c>
      <c r="F7378" s="38">
        <v>0</v>
      </c>
      <c r="G7378" s="38">
        <v>1</v>
      </c>
      <c r="H7378" s="38">
        <v>0</v>
      </c>
      <c r="I7378" s="38">
        <v>0</v>
      </c>
      <c r="J7378" s="38">
        <v>0.5</v>
      </c>
      <c r="K7378" s="38">
        <v>0</v>
      </c>
      <c r="L7378" s="38">
        <v>0</v>
      </c>
      <c r="M7378" s="38">
        <v>0</v>
      </c>
      <c r="N7378" s="38">
        <v>0</v>
      </c>
      <c r="P7378" s="38">
        <v>0</v>
      </c>
      <c r="Q7378" s="38">
        <v>0</v>
      </c>
      <c r="R7378" s="38">
        <v>6.1</v>
      </c>
      <c r="U7378" s="38">
        <v>0</v>
      </c>
      <c r="V7378" s="38">
        <v>0</v>
      </c>
      <c r="W7378" s="38">
        <v>0</v>
      </c>
      <c r="X7378" s="38">
        <v>0.4</v>
      </c>
      <c r="Y7378" s="38">
        <v>0</v>
      </c>
      <c r="Z7378" s="38">
        <v>0</v>
      </c>
      <c r="AA7378" s="38">
        <v>6</v>
      </c>
      <c r="AB7378" s="38">
        <v>0</v>
      </c>
      <c r="AC7378" s="38">
        <v>0.2</v>
      </c>
      <c r="AD7378" s="38">
        <v>0</v>
      </c>
    </row>
    <row r="7379" spans="1:30" x14ac:dyDescent="0.25">
      <c r="A7379" s="22">
        <v>45730</v>
      </c>
      <c r="B7379" s="38">
        <v>0</v>
      </c>
      <c r="C7379" s="38">
        <v>0</v>
      </c>
      <c r="D7379" s="38">
        <v>0</v>
      </c>
      <c r="E7379" s="38">
        <v>0</v>
      </c>
      <c r="F7379" s="38">
        <v>0</v>
      </c>
      <c r="G7379" s="38">
        <v>0.5</v>
      </c>
      <c r="H7379" s="38">
        <v>0</v>
      </c>
      <c r="I7379" s="38">
        <v>0</v>
      </c>
      <c r="J7379" s="38">
        <v>0</v>
      </c>
      <c r="K7379" s="38">
        <v>0</v>
      </c>
      <c r="L7379" s="38">
        <v>7.3659999999999988</v>
      </c>
      <c r="M7379" s="38">
        <v>0</v>
      </c>
      <c r="N7379" s="38">
        <v>5.4</v>
      </c>
      <c r="P7379" s="38">
        <v>0</v>
      </c>
      <c r="Q7379" s="38">
        <v>5.4</v>
      </c>
      <c r="R7379" s="38">
        <v>0</v>
      </c>
      <c r="U7379" s="38">
        <v>0</v>
      </c>
      <c r="V7379" s="38">
        <v>0</v>
      </c>
      <c r="W7379" s="38">
        <v>0</v>
      </c>
      <c r="X7379" s="38">
        <v>0</v>
      </c>
      <c r="Y7379" s="38">
        <v>2</v>
      </c>
      <c r="Z7379" s="38">
        <v>4</v>
      </c>
      <c r="AA7379" s="38">
        <v>0</v>
      </c>
      <c r="AB7379" s="38">
        <v>0</v>
      </c>
      <c r="AC7379" s="38">
        <v>0.2</v>
      </c>
      <c r="AD7379" s="38">
        <v>1.4</v>
      </c>
    </row>
    <row r="7380" spans="1:30" x14ac:dyDescent="0.25">
      <c r="A7380" s="22">
        <v>45731</v>
      </c>
      <c r="B7380" s="38">
        <v>0</v>
      </c>
      <c r="C7380" s="38">
        <v>0</v>
      </c>
      <c r="D7380" s="38">
        <v>3.2</v>
      </c>
      <c r="E7380" s="38">
        <v>0</v>
      </c>
      <c r="F7380" s="38">
        <v>10</v>
      </c>
      <c r="G7380" s="38">
        <v>5.5</v>
      </c>
      <c r="H7380" s="38">
        <v>8.8000000000000007</v>
      </c>
      <c r="I7380" s="38">
        <v>4.0999999999999996</v>
      </c>
      <c r="J7380" s="38">
        <v>4.2</v>
      </c>
      <c r="K7380" s="38">
        <v>8</v>
      </c>
      <c r="L7380" s="38">
        <v>0.7619999999999999</v>
      </c>
      <c r="M7380" s="38">
        <v>8.1999999999999993</v>
      </c>
      <c r="N7380" s="38">
        <v>8.0000000000000018</v>
      </c>
      <c r="P7380" s="38">
        <v>4</v>
      </c>
      <c r="Q7380" s="38">
        <v>1.5</v>
      </c>
      <c r="R7380" s="38">
        <v>8.6</v>
      </c>
      <c r="U7380" s="38">
        <v>12</v>
      </c>
      <c r="V7380" s="38">
        <v>1</v>
      </c>
      <c r="W7380" s="38">
        <v>1.2</v>
      </c>
      <c r="X7380" s="38">
        <v>6</v>
      </c>
      <c r="Y7380" s="38">
        <v>8.8000000000000007</v>
      </c>
      <c r="Z7380" s="38">
        <v>12</v>
      </c>
      <c r="AA7380" s="38">
        <v>16</v>
      </c>
      <c r="AB7380" s="38">
        <v>13</v>
      </c>
      <c r="AC7380" s="38">
        <v>2.8000000000000007</v>
      </c>
      <c r="AD7380" s="38">
        <v>12.399999999999993</v>
      </c>
    </row>
    <row r="7381" spans="1:30" x14ac:dyDescent="0.25">
      <c r="A7381" s="22">
        <v>45732</v>
      </c>
      <c r="B7381" s="38">
        <v>5</v>
      </c>
      <c r="C7381" s="38">
        <v>0</v>
      </c>
      <c r="D7381" s="38">
        <v>0</v>
      </c>
      <c r="E7381" s="38">
        <v>10</v>
      </c>
      <c r="F7381" s="38">
        <v>7.2</v>
      </c>
      <c r="G7381" s="38">
        <v>0</v>
      </c>
      <c r="H7381" s="38">
        <v>9.1999999999999993</v>
      </c>
      <c r="I7381" s="38">
        <v>2.6</v>
      </c>
      <c r="J7381" s="38">
        <v>0</v>
      </c>
      <c r="K7381" s="38">
        <v>1.2</v>
      </c>
      <c r="L7381" s="38">
        <v>0</v>
      </c>
      <c r="M7381" s="38">
        <v>4.5999999999999996</v>
      </c>
      <c r="N7381" s="38">
        <v>0</v>
      </c>
      <c r="P7381" s="38">
        <v>0</v>
      </c>
      <c r="Q7381" s="38">
        <v>2.8</v>
      </c>
      <c r="R7381" s="38">
        <v>0</v>
      </c>
      <c r="U7381" s="38">
        <v>9</v>
      </c>
      <c r="V7381" s="38">
        <v>0</v>
      </c>
      <c r="W7381" s="38">
        <v>2</v>
      </c>
      <c r="X7381" s="38">
        <v>2.4</v>
      </c>
      <c r="Y7381" s="38">
        <v>2.5</v>
      </c>
      <c r="Z7381" s="38">
        <v>4</v>
      </c>
      <c r="AA7381" s="38">
        <v>8</v>
      </c>
      <c r="AB7381" s="38">
        <v>2</v>
      </c>
      <c r="AC7381" s="38">
        <v>0.2</v>
      </c>
      <c r="AD7381" s="38">
        <v>0</v>
      </c>
    </row>
    <row r="7382" spans="1:30" x14ac:dyDescent="0.25">
      <c r="A7382" s="22">
        <v>45733</v>
      </c>
      <c r="B7382" s="38">
        <v>0</v>
      </c>
      <c r="C7382" s="38">
        <v>0</v>
      </c>
      <c r="D7382" s="38">
        <v>0</v>
      </c>
      <c r="E7382" s="38">
        <v>0</v>
      </c>
      <c r="F7382" s="38">
        <v>0</v>
      </c>
      <c r="G7382" s="38">
        <v>0</v>
      </c>
      <c r="H7382" s="38">
        <v>0</v>
      </c>
      <c r="I7382" s="38">
        <v>0.1</v>
      </c>
      <c r="J7382" s="38">
        <v>0.2</v>
      </c>
      <c r="K7382" s="38">
        <v>0</v>
      </c>
      <c r="L7382" s="38">
        <v>0</v>
      </c>
      <c r="M7382" s="38">
        <v>0</v>
      </c>
      <c r="N7382" s="38">
        <v>2.4</v>
      </c>
      <c r="P7382" s="38">
        <v>0</v>
      </c>
      <c r="Q7382" s="38">
        <v>0</v>
      </c>
      <c r="R7382" s="38">
        <v>6</v>
      </c>
      <c r="U7382" s="38">
        <v>0</v>
      </c>
      <c r="V7382" s="38">
        <v>0</v>
      </c>
      <c r="W7382" s="38">
        <v>0</v>
      </c>
      <c r="X7382" s="38">
        <v>0</v>
      </c>
      <c r="Y7382" s="38">
        <v>0</v>
      </c>
      <c r="Z7382" s="38">
        <v>0</v>
      </c>
      <c r="AA7382" s="38">
        <v>0</v>
      </c>
      <c r="AB7382" s="38">
        <v>4</v>
      </c>
      <c r="AC7382" s="38">
        <v>0.2</v>
      </c>
      <c r="AD7382" s="38">
        <v>0</v>
      </c>
    </row>
    <row r="7383" spans="1:30" x14ac:dyDescent="0.25">
      <c r="A7383" s="22">
        <v>45734</v>
      </c>
      <c r="B7383" s="38">
        <v>0</v>
      </c>
      <c r="C7383" s="38">
        <v>0</v>
      </c>
      <c r="D7383" s="38">
        <v>0</v>
      </c>
      <c r="E7383" s="38">
        <v>0</v>
      </c>
      <c r="F7383" s="38">
        <v>0</v>
      </c>
      <c r="G7383" s="38">
        <v>0</v>
      </c>
      <c r="H7383" s="38">
        <v>0</v>
      </c>
      <c r="I7383" s="38">
        <v>0</v>
      </c>
      <c r="J7383" s="38">
        <v>0</v>
      </c>
      <c r="K7383" s="38">
        <v>0</v>
      </c>
      <c r="L7383" s="38">
        <v>0</v>
      </c>
      <c r="M7383" s="38">
        <v>0</v>
      </c>
      <c r="N7383" s="38">
        <v>0</v>
      </c>
      <c r="P7383" s="38">
        <v>0</v>
      </c>
      <c r="Q7383" s="38">
        <v>0</v>
      </c>
      <c r="R7383" s="38">
        <v>0</v>
      </c>
      <c r="U7383" s="38">
        <v>0</v>
      </c>
      <c r="V7383" s="38">
        <v>0</v>
      </c>
      <c r="W7383" s="38">
        <v>0</v>
      </c>
      <c r="X7383" s="38">
        <v>0</v>
      </c>
      <c r="Y7383" s="38">
        <v>0</v>
      </c>
      <c r="Z7383" s="38">
        <v>0</v>
      </c>
      <c r="AA7383" s="38">
        <v>0</v>
      </c>
      <c r="AB7383" s="38">
        <v>0</v>
      </c>
      <c r="AC7383" s="38">
        <v>0</v>
      </c>
      <c r="AD7383" s="38">
        <v>0</v>
      </c>
    </row>
    <row r="7384" spans="1:30" x14ac:dyDescent="0.25">
      <c r="A7384" s="22">
        <v>45735</v>
      </c>
      <c r="B7384" s="38">
        <v>0</v>
      </c>
      <c r="C7384" s="38">
        <v>0</v>
      </c>
      <c r="D7384" s="38">
        <v>2.4</v>
      </c>
      <c r="E7384" s="38">
        <v>0</v>
      </c>
      <c r="F7384" s="38">
        <v>0</v>
      </c>
      <c r="G7384" s="38">
        <v>0</v>
      </c>
      <c r="H7384" s="38">
        <v>0</v>
      </c>
      <c r="I7384" s="38">
        <v>0</v>
      </c>
      <c r="J7384" s="38">
        <v>0</v>
      </c>
      <c r="K7384" s="38">
        <v>0</v>
      </c>
      <c r="L7384" s="38">
        <v>0</v>
      </c>
      <c r="M7384" s="38">
        <v>0</v>
      </c>
      <c r="N7384" s="38">
        <v>0</v>
      </c>
      <c r="P7384" s="38">
        <v>0</v>
      </c>
      <c r="Q7384" s="38">
        <v>0</v>
      </c>
      <c r="R7384" s="38">
        <v>0</v>
      </c>
      <c r="U7384" s="38">
        <v>0</v>
      </c>
      <c r="V7384" s="38">
        <v>0</v>
      </c>
      <c r="W7384" s="38">
        <v>0</v>
      </c>
      <c r="X7384" s="38">
        <v>0</v>
      </c>
      <c r="Y7384" s="38">
        <v>0</v>
      </c>
      <c r="Z7384" s="38">
        <v>0</v>
      </c>
      <c r="AA7384" s="38">
        <v>0</v>
      </c>
      <c r="AB7384" s="38">
        <v>0</v>
      </c>
      <c r="AC7384" s="38">
        <v>0.2</v>
      </c>
      <c r="AD7384" s="38">
        <v>0</v>
      </c>
    </row>
    <row r="7385" spans="1:30" x14ac:dyDescent="0.25">
      <c r="A7385" s="22">
        <v>45736</v>
      </c>
      <c r="B7385" s="38">
        <v>0</v>
      </c>
      <c r="C7385" s="38">
        <v>0</v>
      </c>
      <c r="D7385" s="38">
        <v>0</v>
      </c>
      <c r="E7385" s="38">
        <v>0</v>
      </c>
      <c r="F7385" s="38">
        <v>0</v>
      </c>
      <c r="G7385" s="38">
        <v>0</v>
      </c>
      <c r="H7385" s="38">
        <v>0</v>
      </c>
      <c r="I7385" s="38">
        <v>0</v>
      </c>
      <c r="J7385" s="38">
        <v>0</v>
      </c>
      <c r="K7385" s="38">
        <v>0</v>
      </c>
      <c r="L7385" s="38">
        <v>0</v>
      </c>
      <c r="M7385" s="38">
        <v>0</v>
      </c>
      <c r="N7385" s="38">
        <v>0</v>
      </c>
      <c r="P7385" s="38">
        <v>0</v>
      </c>
      <c r="Q7385" s="38">
        <v>0</v>
      </c>
      <c r="R7385" s="38">
        <v>0</v>
      </c>
      <c r="U7385" s="38">
        <v>0</v>
      </c>
      <c r="V7385" s="38">
        <v>0</v>
      </c>
      <c r="W7385" s="38">
        <v>0</v>
      </c>
      <c r="X7385" s="38">
        <v>0</v>
      </c>
      <c r="Y7385" s="38">
        <v>0</v>
      </c>
      <c r="Z7385" s="38">
        <v>0</v>
      </c>
      <c r="AA7385" s="38">
        <v>0</v>
      </c>
      <c r="AB7385" s="38">
        <v>0</v>
      </c>
      <c r="AC7385" s="38">
        <v>0.2</v>
      </c>
      <c r="AD7385" s="38">
        <v>0</v>
      </c>
    </row>
    <row r="7386" spans="1:30" x14ac:dyDescent="0.25">
      <c r="A7386" s="22">
        <v>45737</v>
      </c>
      <c r="B7386" s="38">
        <v>0</v>
      </c>
      <c r="C7386" s="38">
        <v>0</v>
      </c>
      <c r="D7386" s="38">
        <v>0</v>
      </c>
      <c r="E7386" s="38">
        <v>0</v>
      </c>
      <c r="F7386" s="38">
        <v>0</v>
      </c>
      <c r="G7386" s="38">
        <v>0</v>
      </c>
      <c r="H7386" s="38">
        <v>0</v>
      </c>
      <c r="I7386" s="38">
        <v>0</v>
      </c>
      <c r="J7386" s="38">
        <v>0</v>
      </c>
      <c r="K7386" s="38">
        <v>0</v>
      </c>
      <c r="L7386" s="38">
        <v>0</v>
      </c>
      <c r="M7386" s="38">
        <v>0</v>
      </c>
      <c r="N7386" s="38">
        <v>0</v>
      </c>
      <c r="P7386" s="38">
        <v>0</v>
      </c>
      <c r="Q7386" s="38">
        <v>0</v>
      </c>
      <c r="R7386" s="38">
        <v>0</v>
      </c>
      <c r="U7386" s="38">
        <v>0</v>
      </c>
      <c r="V7386" s="38">
        <v>0</v>
      </c>
      <c r="W7386" s="38">
        <v>0</v>
      </c>
      <c r="X7386" s="38">
        <v>2.2999999999999998</v>
      </c>
      <c r="Y7386" s="38">
        <v>0</v>
      </c>
      <c r="Z7386" s="38">
        <v>0</v>
      </c>
      <c r="AA7386" s="38">
        <v>0</v>
      </c>
      <c r="AB7386" s="38">
        <v>0</v>
      </c>
      <c r="AC7386" s="38">
        <v>0.2</v>
      </c>
      <c r="AD7386" s="38">
        <v>0</v>
      </c>
    </row>
    <row r="7387" spans="1:30" x14ac:dyDescent="0.25">
      <c r="A7387" s="22">
        <v>45738</v>
      </c>
      <c r="B7387" s="38">
        <v>0</v>
      </c>
      <c r="C7387" s="38">
        <v>1.2</v>
      </c>
      <c r="D7387" s="38">
        <v>0.4</v>
      </c>
      <c r="E7387" s="38">
        <v>0</v>
      </c>
      <c r="F7387" s="38">
        <v>0</v>
      </c>
      <c r="G7387" s="38">
        <v>0</v>
      </c>
      <c r="H7387" s="38">
        <v>0</v>
      </c>
      <c r="I7387" s="38">
        <v>0</v>
      </c>
      <c r="J7387" s="38">
        <v>1.2</v>
      </c>
      <c r="K7387" s="38">
        <v>0</v>
      </c>
      <c r="L7387" s="38">
        <v>0</v>
      </c>
      <c r="M7387" s="38">
        <v>0</v>
      </c>
      <c r="N7387" s="38">
        <v>0.4</v>
      </c>
      <c r="P7387" s="38">
        <v>0</v>
      </c>
      <c r="Q7387" s="38">
        <v>2.8</v>
      </c>
      <c r="R7387" s="38">
        <v>6.1</v>
      </c>
      <c r="U7387" s="38">
        <v>0</v>
      </c>
      <c r="V7387" s="38">
        <v>0</v>
      </c>
      <c r="W7387" s="38">
        <v>0</v>
      </c>
      <c r="X7387" s="38">
        <v>4</v>
      </c>
      <c r="Y7387" s="38">
        <v>0</v>
      </c>
      <c r="Z7387" s="38">
        <v>0</v>
      </c>
      <c r="AA7387" s="38">
        <v>0</v>
      </c>
      <c r="AB7387" s="38">
        <v>0</v>
      </c>
      <c r="AC7387" s="38">
        <v>0.2</v>
      </c>
      <c r="AD7387" s="38">
        <v>0.2</v>
      </c>
    </row>
    <row r="7388" spans="1:30" x14ac:dyDescent="0.25">
      <c r="A7388" s="22">
        <v>45739</v>
      </c>
      <c r="B7388" s="38">
        <v>7</v>
      </c>
      <c r="C7388" s="38">
        <v>4</v>
      </c>
      <c r="D7388" s="38">
        <v>2</v>
      </c>
      <c r="E7388" s="38">
        <v>0</v>
      </c>
      <c r="F7388" s="38">
        <v>2</v>
      </c>
      <c r="G7388" s="38">
        <v>1.5</v>
      </c>
      <c r="H7388" s="38">
        <v>6.8</v>
      </c>
      <c r="I7388" s="38">
        <v>1.2</v>
      </c>
      <c r="J7388" s="38">
        <v>6.2</v>
      </c>
      <c r="K7388" s="38">
        <v>7</v>
      </c>
      <c r="L7388" s="38">
        <v>1.27</v>
      </c>
      <c r="M7388" s="38">
        <v>4</v>
      </c>
      <c r="N7388" s="38">
        <v>5.0000000000000018</v>
      </c>
      <c r="P7388" s="38">
        <v>4</v>
      </c>
      <c r="Q7388" s="38">
        <v>3.2</v>
      </c>
      <c r="R7388" s="38">
        <v>1.5</v>
      </c>
      <c r="U7388" s="38">
        <v>2</v>
      </c>
      <c r="V7388" s="38">
        <v>1.2</v>
      </c>
      <c r="W7388" s="38">
        <v>2</v>
      </c>
      <c r="X7388" s="38">
        <v>0</v>
      </c>
      <c r="Y7388" s="38">
        <v>2</v>
      </c>
      <c r="Z7388" s="38">
        <v>0</v>
      </c>
      <c r="AA7388" s="38">
        <v>2</v>
      </c>
      <c r="AB7388" s="38">
        <v>4</v>
      </c>
      <c r="AC7388" s="38">
        <v>0.2</v>
      </c>
      <c r="AD7388" s="38">
        <v>3.8000000000000003</v>
      </c>
    </row>
    <row r="7389" spans="1:30" x14ac:dyDescent="0.25">
      <c r="A7389" s="22">
        <v>45740</v>
      </c>
      <c r="B7389" s="38">
        <v>4</v>
      </c>
      <c r="C7389" s="38">
        <v>10.199999999999999</v>
      </c>
      <c r="D7389" s="38">
        <v>10.1</v>
      </c>
      <c r="E7389" s="38">
        <v>0</v>
      </c>
      <c r="F7389" s="38">
        <v>5</v>
      </c>
      <c r="G7389" s="38">
        <v>12</v>
      </c>
      <c r="H7389" s="38">
        <v>3</v>
      </c>
      <c r="I7389" s="38">
        <v>17</v>
      </c>
      <c r="J7389" s="38">
        <v>12.2</v>
      </c>
      <c r="K7389" s="38">
        <v>7.6</v>
      </c>
      <c r="L7389" s="38">
        <v>6.35</v>
      </c>
      <c r="M7389" s="38">
        <v>13.2</v>
      </c>
      <c r="N7389" s="38">
        <v>8</v>
      </c>
      <c r="P7389" s="38">
        <v>8</v>
      </c>
      <c r="Q7389" s="38">
        <v>0.3</v>
      </c>
      <c r="R7389" s="38">
        <v>6.1</v>
      </c>
      <c r="U7389" s="38">
        <v>4</v>
      </c>
      <c r="V7389" s="38">
        <v>3.2</v>
      </c>
      <c r="W7389" s="38">
        <v>0</v>
      </c>
      <c r="X7389" s="38">
        <v>0</v>
      </c>
      <c r="Y7389" s="38">
        <v>8</v>
      </c>
      <c r="Z7389" s="38">
        <v>8.1999999999999993</v>
      </c>
      <c r="AA7389" s="38">
        <v>0</v>
      </c>
      <c r="AB7389" s="38">
        <v>7</v>
      </c>
      <c r="AC7389" s="38">
        <v>19.999999999999993</v>
      </c>
      <c r="AD7389" s="38">
        <v>22.599999999999998</v>
      </c>
    </row>
    <row r="7390" spans="1:30" x14ac:dyDescent="0.25">
      <c r="A7390" s="22">
        <v>45741</v>
      </c>
      <c r="B7390" s="38">
        <v>3</v>
      </c>
      <c r="C7390" s="38">
        <v>5.6</v>
      </c>
      <c r="D7390" s="38">
        <v>6</v>
      </c>
      <c r="E7390" s="38">
        <v>11</v>
      </c>
      <c r="F7390" s="38">
        <v>2</v>
      </c>
      <c r="G7390" s="38">
        <v>3.5</v>
      </c>
      <c r="H7390" s="38">
        <v>0</v>
      </c>
      <c r="I7390" s="38">
        <v>2.6</v>
      </c>
      <c r="J7390" s="38">
        <v>2.8</v>
      </c>
      <c r="K7390" s="38">
        <v>4</v>
      </c>
      <c r="L7390" s="38">
        <v>1.016</v>
      </c>
      <c r="M7390" s="38">
        <v>3.6</v>
      </c>
      <c r="N7390" s="38">
        <v>11.600000000000001</v>
      </c>
      <c r="P7390" s="38">
        <v>2</v>
      </c>
      <c r="Q7390" s="38">
        <v>3.1</v>
      </c>
      <c r="R7390" s="38">
        <v>0</v>
      </c>
      <c r="U7390" s="38">
        <v>2</v>
      </c>
      <c r="V7390" s="38">
        <v>1.2</v>
      </c>
      <c r="W7390" s="38">
        <v>3.5</v>
      </c>
      <c r="X7390" s="38">
        <v>4.3</v>
      </c>
      <c r="Y7390" s="38">
        <v>2</v>
      </c>
      <c r="Z7390" s="38">
        <v>2</v>
      </c>
      <c r="AA7390" s="38">
        <v>2</v>
      </c>
      <c r="AB7390" s="38">
        <v>7</v>
      </c>
      <c r="AC7390" s="38">
        <v>1.9999999999999998</v>
      </c>
      <c r="AD7390" s="38">
        <v>2.4000000000000004</v>
      </c>
    </row>
    <row r="7391" spans="1:30" x14ac:dyDescent="0.25">
      <c r="A7391" s="22">
        <v>45742</v>
      </c>
      <c r="B7391" s="38">
        <v>7</v>
      </c>
      <c r="C7391" s="38">
        <v>9.6</v>
      </c>
      <c r="D7391" s="38">
        <v>10.8</v>
      </c>
      <c r="E7391" s="38">
        <v>0</v>
      </c>
      <c r="F7391" s="38">
        <v>3.4</v>
      </c>
      <c r="G7391" s="38">
        <v>9</v>
      </c>
      <c r="H7391" s="38">
        <v>0</v>
      </c>
      <c r="I7391" s="38">
        <v>7.8</v>
      </c>
      <c r="J7391" s="38">
        <v>10.199999999999999</v>
      </c>
      <c r="K7391" s="38">
        <v>7.6</v>
      </c>
      <c r="L7391" s="38">
        <v>7.8739999999999997</v>
      </c>
      <c r="M7391" s="38">
        <v>10.1</v>
      </c>
      <c r="N7391" s="38">
        <v>3.2</v>
      </c>
      <c r="P7391" s="38">
        <v>2</v>
      </c>
      <c r="Q7391" s="38">
        <v>5.2</v>
      </c>
      <c r="R7391" s="38">
        <v>0</v>
      </c>
      <c r="U7391" s="38">
        <v>0</v>
      </c>
      <c r="V7391" s="38">
        <v>3</v>
      </c>
      <c r="W7391" s="38">
        <v>8</v>
      </c>
      <c r="X7391" s="38">
        <v>2.2000000000000002</v>
      </c>
      <c r="Y7391" s="38">
        <v>3.8</v>
      </c>
      <c r="Z7391" s="38">
        <v>4</v>
      </c>
      <c r="AA7391" s="38">
        <v>10</v>
      </c>
      <c r="AB7391" s="38">
        <v>2</v>
      </c>
      <c r="AC7391" s="38">
        <v>0.2</v>
      </c>
      <c r="AD7391" s="38">
        <v>0</v>
      </c>
    </row>
    <row r="7392" spans="1:30" x14ac:dyDescent="0.25">
      <c r="A7392" s="22">
        <v>45743</v>
      </c>
      <c r="B7392" s="38">
        <v>15</v>
      </c>
      <c r="C7392" s="38">
        <v>5.6</v>
      </c>
      <c r="D7392" s="38">
        <v>8</v>
      </c>
      <c r="E7392" s="38">
        <v>4</v>
      </c>
      <c r="F7392" s="38">
        <v>10.3</v>
      </c>
      <c r="G7392" s="38">
        <v>8.5</v>
      </c>
      <c r="H7392" s="38">
        <v>1.4</v>
      </c>
      <c r="I7392" s="38">
        <v>4.5</v>
      </c>
      <c r="J7392" s="38">
        <v>13.8</v>
      </c>
      <c r="K7392" s="38">
        <v>11.2</v>
      </c>
      <c r="L7392" s="38">
        <v>4.3180000000000005</v>
      </c>
      <c r="M7392" s="38">
        <v>5</v>
      </c>
      <c r="N7392" s="38">
        <v>15.399999999999999</v>
      </c>
      <c r="P7392" s="38">
        <v>2</v>
      </c>
      <c r="Q7392" s="38">
        <v>0.3</v>
      </c>
      <c r="R7392" s="38">
        <v>11.1</v>
      </c>
      <c r="U7392" s="38">
        <v>8</v>
      </c>
      <c r="V7392" s="38">
        <v>0</v>
      </c>
      <c r="W7392" s="38">
        <v>0</v>
      </c>
      <c r="X7392" s="38">
        <v>0</v>
      </c>
      <c r="Y7392" s="38">
        <v>6.5</v>
      </c>
      <c r="Z7392" s="38">
        <v>3</v>
      </c>
      <c r="AA7392" s="38">
        <v>8</v>
      </c>
      <c r="AB7392" s="38">
        <v>12</v>
      </c>
      <c r="AC7392" s="38">
        <v>0.2</v>
      </c>
      <c r="AD7392" s="38">
        <v>8.8000000000000025</v>
      </c>
    </row>
    <row r="7393" spans="1:30" x14ac:dyDescent="0.25">
      <c r="A7393" s="22">
        <v>45744</v>
      </c>
      <c r="B7393" s="38">
        <v>0</v>
      </c>
      <c r="C7393" s="38">
        <v>6</v>
      </c>
      <c r="D7393" s="38">
        <v>8.1999999999999993</v>
      </c>
      <c r="E7393" s="38">
        <v>0</v>
      </c>
      <c r="F7393" s="38">
        <v>1.1000000000000001</v>
      </c>
      <c r="G7393" s="38">
        <v>5.2</v>
      </c>
      <c r="H7393" s="38">
        <v>8</v>
      </c>
      <c r="I7393" s="38">
        <v>2.1</v>
      </c>
      <c r="J7393" s="38">
        <v>18.399999999999999</v>
      </c>
      <c r="K7393" s="38">
        <v>24.2</v>
      </c>
      <c r="L7393" s="38">
        <v>0</v>
      </c>
      <c r="M7393" s="38">
        <v>4.0999999999999996</v>
      </c>
      <c r="N7393" s="38">
        <v>6.4000000000000012</v>
      </c>
      <c r="P7393" s="38">
        <v>0</v>
      </c>
      <c r="Q7393" s="38">
        <v>2.6</v>
      </c>
      <c r="R7393" s="38">
        <v>0</v>
      </c>
      <c r="U7393" s="38">
        <v>5</v>
      </c>
      <c r="V7393" s="38">
        <v>4</v>
      </c>
      <c r="W7393" s="38">
        <v>4.5</v>
      </c>
      <c r="X7393" s="38">
        <v>2.2000000000000002</v>
      </c>
      <c r="Y7393" s="38">
        <v>11</v>
      </c>
      <c r="Z7393" s="38">
        <v>2</v>
      </c>
      <c r="AA7393" s="38">
        <v>2</v>
      </c>
      <c r="AB7393" s="38">
        <v>2</v>
      </c>
      <c r="AC7393" s="38">
        <v>0.2</v>
      </c>
      <c r="AD7393" s="38">
        <v>6.8000000000000007</v>
      </c>
    </row>
    <row r="7394" spans="1:30" x14ac:dyDescent="0.25">
      <c r="A7394" s="22">
        <v>45745</v>
      </c>
      <c r="B7394" s="38">
        <v>0</v>
      </c>
      <c r="C7394" s="38">
        <v>0</v>
      </c>
      <c r="D7394" s="38">
        <v>2.8</v>
      </c>
      <c r="E7394" s="38">
        <v>0</v>
      </c>
      <c r="F7394" s="38">
        <v>1.6</v>
      </c>
      <c r="G7394" s="38">
        <v>1.9</v>
      </c>
      <c r="H7394" s="38">
        <v>0.8</v>
      </c>
      <c r="I7394" s="38">
        <v>1</v>
      </c>
      <c r="J7394" s="38">
        <v>1.2</v>
      </c>
      <c r="K7394" s="38">
        <v>0</v>
      </c>
      <c r="L7394" s="38">
        <v>12.446</v>
      </c>
      <c r="M7394" s="38">
        <v>1.2</v>
      </c>
      <c r="N7394" s="38">
        <v>4.4000000000000004</v>
      </c>
      <c r="P7394" s="38">
        <v>6</v>
      </c>
      <c r="Q7394" s="38">
        <v>2.2000000000000002</v>
      </c>
      <c r="R7394" s="38">
        <v>4.2</v>
      </c>
      <c r="U7394" s="38">
        <v>2</v>
      </c>
      <c r="V7394" s="38">
        <v>0</v>
      </c>
      <c r="W7394" s="38">
        <v>2</v>
      </c>
      <c r="X7394" s="38">
        <v>0</v>
      </c>
      <c r="Y7394" s="38">
        <v>7</v>
      </c>
      <c r="Z7394" s="38">
        <v>0</v>
      </c>
      <c r="AA7394" s="38">
        <v>2</v>
      </c>
      <c r="AB7394" s="38">
        <v>0</v>
      </c>
      <c r="AC7394" s="38">
        <v>0.4</v>
      </c>
      <c r="AD7394" s="38">
        <v>3.4</v>
      </c>
    </row>
    <row r="7395" spans="1:30" x14ac:dyDescent="0.25">
      <c r="A7395" s="22">
        <v>45746</v>
      </c>
      <c r="B7395" s="38">
        <v>9</v>
      </c>
      <c r="C7395" s="38">
        <v>6</v>
      </c>
      <c r="D7395" s="38">
        <v>3</v>
      </c>
      <c r="E7395" s="38">
        <v>12</v>
      </c>
      <c r="F7395" s="38">
        <v>1.1000000000000001</v>
      </c>
      <c r="G7395" s="38">
        <v>2.6</v>
      </c>
      <c r="H7395" s="38">
        <v>3.2</v>
      </c>
      <c r="I7395" s="38">
        <v>3.5</v>
      </c>
      <c r="J7395" s="38">
        <v>6</v>
      </c>
      <c r="K7395" s="38">
        <v>5.9</v>
      </c>
      <c r="L7395" s="38">
        <v>0</v>
      </c>
      <c r="M7395" s="38">
        <v>4</v>
      </c>
      <c r="N7395" s="38">
        <v>20.999999999999996</v>
      </c>
      <c r="P7395" s="38">
        <v>0</v>
      </c>
      <c r="Q7395" s="38">
        <v>7.3</v>
      </c>
      <c r="R7395" s="38">
        <v>2</v>
      </c>
      <c r="U7395" s="38">
        <v>8</v>
      </c>
      <c r="V7395" s="38">
        <v>5</v>
      </c>
      <c r="W7395" s="38">
        <v>1.2</v>
      </c>
      <c r="X7395" s="38">
        <v>4</v>
      </c>
      <c r="Y7395" s="38">
        <v>2.5</v>
      </c>
      <c r="Z7395" s="38">
        <v>4</v>
      </c>
      <c r="AA7395" s="38">
        <v>8</v>
      </c>
      <c r="AB7395" s="38">
        <v>12</v>
      </c>
      <c r="AC7395" s="38">
        <v>0.2</v>
      </c>
      <c r="AD7395" s="38">
        <v>6.2000000000000011</v>
      </c>
    </row>
    <row r="7396" spans="1:30" x14ac:dyDescent="0.25">
      <c r="A7396" s="22">
        <v>45747</v>
      </c>
      <c r="B7396" s="38">
        <v>7.5</v>
      </c>
      <c r="C7396" s="38">
        <v>15.6</v>
      </c>
      <c r="D7396" s="38">
        <v>20</v>
      </c>
      <c r="E7396" s="38">
        <v>0</v>
      </c>
      <c r="F7396" s="38">
        <v>13.1</v>
      </c>
      <c r="G7396" s="38">
        <v>26</v>
      </c>
      <c r="H7396" s="38">
        <v>15.2</v>
      </c>
      <c r="I7396" s="38">
        <v>17.399999999999999</v>
      </c>
      <c r="J7396" s="38">
        <v>13.8</v>
      </c>
      <c r="K7396" s="38">
        <v>10.5</v>
      </c>
      <c r="L7396" s="38">
        <v>2.2859999999999996</v>
      </c>
      <c r="M7396" s="38">
        <v>13.2</v>
      </c>
      <c r="N7396" s="38">
        <v>1</v>
      </c>
      <c r="P7396" s="38">
        <v>4</v>
      </c>
      <c r="Q7396" s="38">
        <v>0.4</v>
      </c>
      <c r="R7396" s="38">
        <v>7.1</v>
      </c>
      <c r="U7396" s="38">
        <v>20</v>
      </c>
      <c r="V7396" s="38">
        <v>7.2</v>
      </c>
      <c r="W7396" s="38">
        <v>22</v>
      </c>
      <c r="X7396" s="38">
        <v>9</v>
      </c>
      <c r="Y7396" s="38">
        <v>2</v>
      </c>
      <c r="Z7396" s="38">
        <v>2.4</v>
      </c>
      <c r="AA7396" s="38">
        <v>12</v>
      </c>
      <c r="AB7396" s="38">
        <v>3</v>
      </c>
      <c r="AC7396" s="38">
        <v>0.2</v>
      </c>
      <c r="AD7396" s="38">
        <v>0.4</v>
      </c>
    </row>
    <row r="7397" spans="1:30" x14ac:dyDescent="0.25">
      <c r="A7397" s="22">
        <v>45748</v>
      </c>
      <c r="B7397" s="38">
        <v>0</v>
      </c>
      <c r="C7397" s="38">
        <v>0</v>
      </c>
      <c r="D7397" s="38">
        <v>0.8</v>
      </c>
      <c r="E7397" s="38">
        <v>0</v>
      </c>
      <c r="F7397" s="38">
        <v>0.3</v>
      </c>
      <c r="G7397" s="38">
        <v>0</v>
      </c>
      <c r="H7397" s="38">
        <v>0</v>
      </c>
      <c r="I7397" s="38">
        <v>1.1000000000000001</v>
      </c>
      <c r="J7397" s="38">
        <v>1</v>
      </c>
      <c r="K7397" s="38">
        <v>1</v>
      </c>
      <c r="L7397" s="38">
        <v>0.7619999999999999</v>
      </c>
      <c r="M7397" s="38">
        <v>0</v>
      </c>
      <c r="N7397" s="38">
        <v>0.8</v>
      </c>
      <c r="P7397" s="38">
        <v>2</v>
      </c>
      <c r="Q7397" s="38">
        <v>0.5</v>
      </c>
      <c r="R7397" s="38">
        <v>0</v>
      </c>
      <c r="U7397" s="38">
        <v>0</v>
      </c>
      <c r="V7397" s="38">
        <v>0</v>
      </c>
      <c r="W7397" s="38">
        <v>0</v>
      </c>
      <c r="X7397" s="38">
        <v>0</v>
      </c>
      <c r="Y7397" s="38">
        <v>0</v>
      </c>
      <c r="Z7397" s="38">
        <v>0</v>
      </c>
      <c r="AA7397" s="38">
        <v>0</v>
      </c>
      <c r="AB7397" s="38">
        <v>3</v>
      </c>
      <c r="AC7397" s="38">
        <v>0.2</v>
      </c>
      <c r="AD7397" s="38">
        <v>0.4</v>
      </c>
    </row>
    <row r="7398" spans="1:30" x14ac:dyDescent="0.25">
      <c r="A7398" s="22">
        <v>45749</v>
      </c>
      <c r="B7398" s="38">
        <v>0</v>
      </c>
      <c r="C7398" s="38">
        <v>2.8</v>
      </c>
      <c r="D7398" s="38">
        <v>2</v>
      </c>
      <c r="E7398" s="38">
        <v>0</v>
      </c>
      <c r="F7398" s="38">
        <v>0</v>
      </c>
      <c r="G7398" s="38">
        <v>0</v>
      </c>
      <c r="H7398" s="38">
        <v>0</v>
      </c>
      <c r="I7398" s="38">
        <v>1.1000000000000001</v>
      </c>
      <c r="J7398" s="38">
        <v>4.4000000000000004</v>
      </c>
      <c r="K7398" s="38">
        <v>6.5</v>
      </c>
      <c r="L7398" s="38">
        <v>0</v>
      </c>
      <c r="M7398" s="38">
        <v>0.6</v>
      </c>
      <c r="N7398" s="38">
        <v>3</v>
      </c>
      <c r="P7398" s="38">
        <v>0</v>
      </c>
      <c r="Q7398" s="38">
        <v>0</v>
      </c>
      <c r="R7398" s="38">
        <v>0</v>
      </c>
      <c r="U7398" s="38">
        <v>0</v>
      </c>
      <c r="V7398" s="38">
        <v>2</v>
      </c>
      <c r="W7398" s="38">
        <v>0</v>
      </c>
      <c r="X7398" s="38">
        <v>0</v>
      </c>
      <c r="Y7398" s="38">
        <v>0</v>
      </c>
      <c r="Z7398" s="38">
        <v>0</v>
      </c>
      <c r="AA7398" s="38">
        <v>0</v>
      </c>
      <c r="AB7398" s="38">
        <v>2</v>
      </c>
      <c r="AC7398" s="38">
        <v>0.2</v>
      </c>
      <c r="AD7398" s="38">
        <v>0</v>
      </c>
    </row>
    <row r="7399" spans="1:30" x14ac:dyDescent="0.25">
      <c r="A7399" s="22">
        <v>45750</v>
      </c>
      <c r="B7399" s="38">
        <v>0</v>
      </c>
      <c r="C7399" s="38">
        <v>0</v>
      </c>
      <c r="D7399" s="38">
        <v>0</v>
      </c>
      <c r="E7399" s="38">
        <v>0</v>
      </c>
      <c r="F7399" s="38">
        <v>0</v>
      </c>
      <c r="G7399" s="38">
        <v>0</v>
      </c>
      <c r="H7399" s="38">
        <v>0</v>
      </c>
      <c r="I7399" s="38">
        <v>0</v>
      </c>
      <c r="J7399" s="38">
        <v>0</v>
      </c>
      <c r="K7399" s="38">
        <v>0</v>
      </c>
      <c r="L7399" s="38">
        <v>0</v>
      </c>
      <c r="M7399" s="38">
        <v>0.2</v>
      </c>
      <c r="N7399" s="38">
        <v>0</v>
      </c>
      <c r="P7399" s="38">
        <v>0</v>
      </c>
      <c r="Q7399" s="38">
        <v>0</v>
      </c>
      <c r="R7399" s="38">
        <v>0</v>
      </c>
      <c r="U7399" s="38">
        <v>0</v>
      </c>
      <c r="V7399" s="38">
        <v>0</v>
      </c>
      <c r="W7399" s="38">
        <v>0</v>
      </c>
      <c r="X7399" s="38">
        <v>0</v>
      </c>
      <c r="Y7399" s="38">
        <v>0</v>
      </c>
      <c r="Z7399" s="38">
        <v>0</v>
      </c>
      <c r="AA7399" s="38">
        <v>0</v>
      </c>
      <c r="AB7399" s="38">
        <v>0</v>
      </c>
      <c r="AC7399" s="38">
        <v>0.2</v>
      </c>
      <c r="AD7399" s="38">
        <v>0</v>
      </c>
    </row>
    <row r="7400" spans="1:30" x14ac:dyDescent="0.25">
      <c r="A7400" s="22">
        <v>45751</v>
      </c>
      <c r="B7400" s="38">
        <v>2</v>
      </c>
      <c r="C7400" s="38">
        <v>0</v>
      </c>
      <c r="D7400" s="38">
        <v>2</v>
      </c>
      <c r="E7400" s="38">
        <v>0</v>
      </c>
      <c r="F7400" s="38">
        <v>0</v>
      </c>
      <c r="G7400" s="38">
        <v>0</v>
      </c>
      <c r="H7400" s="38">
        <v>0</v>
      </c>
      <c r="I7400" s="38">
        <v>1.8</v>
      </c>
      <c r="J7400" s="38">
        <v>0</v>
      </c>
      <c r="K7400" s="38">
        <v>2.5</v>
      </c>
      <c r="L7400" s="38">
        <v>1.778</v>
      </c>
      <c r="M7400" s="38">
        <v>1.4</v>
      </c>
      <c r="N7400" s="38">
        <v>3.6</v>
      </c>
      <c r="P7400" s="38">
        <v>2</v>
      </c>
      <c r="Q7400" s="38">
        <v>10.4</v>
      </c>
      <c r="R7400" s="38">
        <v>1.2</v>
      </c>
      <c r="U7400" s="38">
        <v>0</v>
      </c>
      <c r="V7400" s="38">
        <v>2</v>
      </c>
      <c r="W7400" s="38">
        <v>0</v>
      </c>
      <c r="X7400" s="38">
        <v>1</v>
      </c>
      <c r="Y7400" s="38">
        <v>0</v>
      </c>
      <c r="Z7400" s="38">
        <v>0</v>
      </c>
      <c r="AA7400" s="38">
        <v>0</v>
      </c>
      <c r="AB7400" s="38">
        <v>0</v>
      </c>
      <c r="AC7400" s="38">
        <v>0.2</v>
      </c>
      <c r="AD7400" s="38">
        <v>1.2</v>
      </c>
    </row>
    <row r="7401" spans="1:30" x14ac:dyDescent="0.25">
      <c r="A7401" s="22">
        <v>45752</v>
      </c>
      <c r="B7401" s="38">
        <v>7</v>
      </c>
      <c r="C7401" s="38">
        <v>15.2</v>
      </c>
      <c r="D7401" s="38">
        <v>18.8</v>
      </c>
      <c r="E7401" s="38">
        <v>0</v>
      </c>
      <c r="F7401" s="38">
        <v>18.3</v>
      </c>
      <c r="G7401" s="38">
        <v>45.5</v>
      </c>
      <c r="H7401" s="38">
        <v>10.199999999999999</v>
      </c>
      <c r="I7401" s="38">
        <v>18.7</v>
      </c>
      <c r="J7401" s="38">
        <v>30.2</v>
      </c>
      <c r="K7401" s="38">
        <v>21.2</v>
      </c>
      <c r="L7401" s="38">
        <v>3.302</v>
      </c>
      <c r="M7401" s="38">
        <v>24.4</v>
      </c>
      <c r="N7401" s="38">
        <v>24.999999999999996</v>
      </c>
      <c r="P7401" s="38">
        <v>4</v>
      </c>
      <c r="Q7401" s="38">
        <v>0</v>
      </c>
      <c r="R7401" s="38">
        <v>4.2</v>
      </c>
      <c r="U7401" s="38">
        <v>20</v>
      </c>
      <c r="V7401" s="38">
        <v>12</v>
      </c>
      <c r="W7401" s="38">
        <v>26</v>
      </c>
      <c r="X7401" s="38">
        <v>9</v>
      </c>
      <c r="Y7401" s="38">
        <v>14.8</v>
      </c>
      <c r="Z7401" s="38">
        <v>0</v>
      </c>
      <c r="AA7401" s="38">
        <v>15</v>
      </c>
      <c r="AB7401" s="38">
        <v>7</v>
      </c>
      <c r="AC7401" s="38">
        <v>30.799999999999994</v>
      </c>
      <c r="AD7401" s="38">
        <v>30.799999999999983</v>
      </c>
    </row>
    <row r="7402" spans="1:30" x14ac:dyDescent="0.25">
      <c r="A7402" s="22">
        <v>45753</v>
      </c>
      <c r="B7402" s="38">
        <v>0</v>
      </c>
      <c r="C7402" s="38">
        <v>0</v>
      </c>
      <c r="D7402" s="38">
        <v>0</v>
      </c>
      <c r="E7402" s="38">
        <v>0</v>
      </c>
      <c r="F7402" s="38">
        <v>0</v>
      </c>
      <c r="G7402" s="38">
        <v>0</v>
      </c>
      <c r="H7402" s="38">
        <v>0</v>
      </c>
      <c r="I7402" s="38">
        <v>1.4</v>
      </c>
      <c r="J7402" s="38">
        <v>1</v>
      </c>
      <c r="K7402" s="38">
        <v>0</v>
      </c>
      <c r="L7402" s="38">
        <v>0</v>
      </c>
      <c r="M7402" s="38">
        <v>0.2</v>
      </c>
      <c r="N7402" s="38">
        <v>3</v>
      </c>
      <c r="P7402" s="38">
        <v>0</v>
      </c>
      <c r="Q7402" s="38">
        <v>0.2</v>
      </c>
      <c r="R7402" s="38">
        <v>0</v>
      </c>
      <c r="U7402" s="38">
        <v>0</v>
      </c>
      <c r="V7402" s="38">
        <v>0</v>
      </c>
      <c r="W7402" s="38">
        <v>0</v>
      </c>
      <c r="X7402" s="38">
        <v>0</v>
      </c>
      <c r="Y7402" s="38">
        <v>0</v>
      </c>
      <c r="Z7402" s="38">
        <v>0</v>
      </c>
      <c r="AA7402" s="38">
        <v>0</v>
      </c>
      <c r="AB7402" s="38">
        <v>1</v>
      </c>
      <c r="AC7402" s="38">
        <v>0.2</v>
      </c>
      <c r="AD7402" s="38">
        <v>0</v>
      </c>
    </row>
    <row r="7403" spans="1:30" x14ac:dyDescent="0.25">
      <c r="A7403" s="22">
        <v>45754</v>
      </c>
      <c r="B7403" s="38">
        <v>5</v>
      </c>
      <c r="C7403" s="38">
        <v>0</v>
      </c>
      <c r="D7403" s="38">
        <v>0</v>
      </c>
      <c r="E7403" s="38">
        <v>12</v>
      </c>
      <c r="F7403" s="38">
        <v>0</v>
      </c>
      <c r="G7403" s="38">
        <v>0</v>
      </c>
      <c r="H7403" s="38">
        <v>0</v>
      </c>
      <c r="I7403" s="38">
        <v>0</v>
      </c>
      <c r="J7403" s="38">
        <v>1</v>
      </c>
      <c r="K7403" s="38">
        <v>1.9</v>
      </c>
      <c r="L7403" s="38">
        <v>0.7619999999999999</v>
      </c>
      <c r="M7403" s="38">
        <v>0</v>
      </c>
      <c r="N7403" s="38">
        <v>0</v>
      </c>
      <c r="P7403" s="38">
        <v>0</v>
      </c>
      <c r="Q7403" s="38">
        <v>16</v>
      </c>
      <c r="R7403" s="38">
        <v>0</v>
      </c>
      <c r="U7403" s="38">
        <v>0</v>
      </c>
      <c r="V7403" s="38">
        <v>0</v>
      </c>
      <c r="W7403" s="38">
        <v>0</v>
      </c>
      <c r="X7403" s="38">
        <v>0</v>
      </c>
      <c r="Y7403" s="38">
        <v>0</v>
      </c>
      <c r="Z7403" s="38">
        <v>0</v>
      </c>
      <c r="AA7403" s="38">
        <v>0</v>
      </c>
      <c r="AB7403" s="38">
        <v>2</v>
      </c>
      <c r="AC7403" s="38">
        <v>0.2</v>
      </c>
      <c r="AD7403" s="38">
        <v>1.2000000000000002</v>
      </c>
    </row>
    <row r="7404" spans="1:30" x14ac:dyDescent="0.25">
      <c r="A7404" s="22">
        <v>45755</v>
      </c>
      <c r="B7404" s="38">
        <v>15</v>
      </c>
      <c r="C7404" s="38">
        <v>15.2</v>
      </c>
      <c r="D7404" s="38">
        <v>23.2</v>
      </c>
      <c r="E7404" s="38">
        <v>5</v>
      </c>
      <c r="F7404" s="38">
        <v>44.3</v>
      </c>
      <c r="G7404" s="38">
        <v>53</v>
      </c>
      <c r="H7404" s="38">
        <v>31.6</v>
      </c>
      <c r="I7404" s="38">
        <v>27</v>
      </c>
      <c r="J7404" s="38">
        <v>45.8</v>
      </c>
      <c r="K7404" s="38">
        <v>42</v>
      </c>
      <c r="L7404" s="38">
        <v>14.985999999999999</v>
      </c>
      <c r="M7404" s="38">
        <v>34.4</v>
      </c>
      <c r="N7404" s="38">
        <v>61.599999999999994</v>
      </c>
      <c r="P7404" s="38">
        <v>32</v>
      </c>
      <c r="Q7404" s="38">
        <v>14.8</v>
      </c>
      <c r="R7404" s="38">
        <v>11.2</v>
      </c>
      <c r="U7404" s="38">
        <v>12</v>
      </c>
      <c r="V7404" s="38">
        <v>40.200000000000003</v>
      </c>
      <c r="W7404" s="38">
        <v>50.1</v>
      </c>
      <c r="X7404" s="38">
        <v>22.2</v>
      </c>
      <c r="Y7404" s="38">
        <v>48</v>
      </c>
      <c r="Z7404" s="38">
        <v>46</v>
      </c>
      <c r="AA7404" s="38">
        <v>10</v>
      </c>
      <c r="AB7404" s="38">
        <v>8</v>
      </c>
      <c r="AC7404" s="38">
        <v>35.600000000000016</v>
      </c>
      <c r="AD7404" s="38">
        <v>36.600000000000016</v>
      </c>
    </row>
    <row r="7405" spans="1:30" x14ac:dyDescent="0.25">
      <c r="A7405" s="22">
        <v>45756</v>
      </c>
      <c r="B7405" s="38">
        <v>3</v>
      </c>
      <c r="C7405" s="38">
        <v>14.2</v>
      </c>
      <c r="D7405" s="38">
        <v>8.6</v>
      </c>
      <c r="E7405" s="38">
        <v>22</v>
      </c>
      <c r="F7405" s="38">
        <v>8.1</v>
      </c>
      <c r="G7405" s="38">
        <v>17.5</v>
      </c>
      <c r="H7405" s="38">
        <v>10.4</v>
      </c>
      <c r="I7405" s="38">
        <v>17.399999999999999</v>
      </c>
      <c r="J7405" s="38">
        <v>11</v>
      </c>
      <c r="K7405" s="38">
        <v>13.2</v>
      </c>
      <c r="L7405" s="38">
        <v>10.921999999999999</v>
      </c>
      <c r="M7405" s="38">
        <v>30.2</v>
      </c>
      <c r="N7405" s="38">
        <v>1.2000000000000002</v>
      </c>
      <c r="P7405" s="38">
        <v>10</v>
      </c>
      <c r="Q7405" s="38">
        <v>0</v>
      </c>
      <c r="R7405" s="38">
        <v>14.2</v>
      </c>
      <c r="U7405" s="38">
        <v>52</v>
      </c>
      <c r="V7405" s="38">
        <v>10.7</v>
      </c>
      <c r="W7405" s="38">
        <v>0</v>
      </c>
      <c r="X7405" s="38">
        <v>26</v>
      </c>
      <c r="Y7405" s="38">
        <v>8</v>
      </c>
      <c r="Z7405" s="38">
        <v>10</v>
      </c>
      <c r="AA7405" s="38">
        <v>88</v>
      </c>
      <c r="AB7405" s="38">
        <v>30</v>
      </c>
      <c r="AC7405" s="38">
        <v>0.4</v>
      </c>
      <c r="AD7405" s="38">
        <v>0.60000000000000009</v>
      </c>
    </row>
    <row r="7406" spans="1:30" x14ac:dyDescent="0.25">
      <c r="A7406" s="22">
        <v>45757</v>
      </c>
      <c r="B7406" s="38">
        <v>0</v>
      </c>
      <c r="C7406" s="38">
        <v>0</v>
      </c>
      <c r="D7406" s="38">
        <v>1</v>
      </c>
      <c r="E7406" s="38">
        <v>0</v>
      </c>
      <c r="F7406" s="38">
        <v>0</v>
      </c>
      <c r="G7406" s="38">
        <v>0</v>
      </c>
      <c r="H7406" s="38">
        <v>0</v>
      </c>
      <c r="I7406" s="38">
        <v>0.2</v>
      </c>
      <c r="J7406" s="38">
        <v>1</v>
      </c>
      <c r="K7406" s="38">
        <v>1.5</v>
      </c>
      <c r="L7406" s="38">
        <v>0</v>
      </c>
      <c r="M7406" s="38">
        <v>0.2</v>
      </c>
      <c r="N7406" s="38">
        <v>0.2</v>
      </c>
      <c r="P7406" s="38">
        <v>0</v>
      </c>
      <c r="Q7406" s="38">
        <v>0.4</v>
      </c>
      <c r="R7406" s="38">
        <v>0</v>
      </c>
      <c r="U7406" s="38">
        <v>0</v>
      </c>
      <c r="V7406" s="38">
        <v>0</v>
      </c>
      <c r="W7406" s="38">
        <v>0</v>
      </c>
      <c r="X7406" s="38">
        <v>0</v>
      </c>
      <c r="Y7406" s="38">
        <v>0</v>
      </c>
      <c r="Z7406" s="38">
        <v>10</v>
      </c>
      <c r="AA7406" s="38">
        <v>2</v>
      </c>
      <c r="AB7406" s="38">
        <v>0</v>
      </c>
      <c r="AC7406" s="38">
        <v>0.2</v>
      </c>
      <c r="AD7406" s="38">
        <v>0</v>
      </c>
    </row>
    <row r="7407" spans="1:30" x14ac:dyDescent="0.25">
      <c r="A7407" s="22">
        <v>45758</v>
      </c>
      <c r="B7407" s="38">
        <v>0</v>
      </c>
      <c r="C7407" s="38">
        <v>0</v>
      </c>
      <c r="D7407" s="38">
        <v>0</v>
      </c>
      <c r="E7407" s="38">
        <v>4</v>
      </c>
      <c r="F7407" s="38">
        <v>0</v>
      </c>
      <c r="G7407" s="38">
        <v>0</v>
      </c>
      <c r="H7407" s="38">
        <v>0</v>
      </c>
      <c r="I7407" s="38">
        <v>2.9</v>
      </c>
      <c r="J7407" s="38">
        <v>0.2</v>
      </c>
      <c r="K7407" s="38">
        <v>0</v>
      </c>
      <c r="L7407" s="38">
        <v>2.794</v>
      </c>
      <c r="M7407" s="38">
        <v>0.2</v>
      </c>
      <c r="N7407" s="38">
        <v>0.60000000000000009</v>
      </c>
      <c r="P7407" s="38">
        <v>4</v>
      </c>
      <c r="Q7407" s="38">
        <v>0</v>
      </c>
      <c r="R7407" s="38">
        <v>0</v>
      </c>
      <c r="U7407" s="38">
        <v>0</v>
      </c>
      <c r="V7407" s="38">
        <v>0</v>
      </c>
      <c r="W7407" s="38">
        <v>0</v>
      </c>
      <c r="X7407" s="38">
        <v>3</v>
      </c>
      <c r="Y7407" s="38">
        <v>0</v>
      </c>
      <c r="Z7407" s="38">
        <v>0</v>
      </c>
      <c r="AA7407" s="38">
        <v>0</v>
      </c>
      <c r="AB7407" s="38">
        <v>0</v>
      </c>
      <c r="AC7407" s="38">
        <v>0.2</v>
      </c>
      <c r="AD7407" s="38">
        <v>0.60000000000000009</v>
      </c>
    </row>
    <row r="7408" spans="1:30" x14ac:dyDescent="0.25">
      <c r="A7408" s="22">
        <v>45759</v>
      </c>
      <c r="B7408" s="38">
        <v>0</v>
      </c>
      <c r="C7408" s="38">
        <v>0.4</v>
      </c>
      <c r="D7408" s="38">
        <v>0.6</v>
      </c>
      <c r="E7408" s="38">
        <v>0</v>
      </c>
      <c r="F7408" s="38">
        <v>0</v>
      </c>
      <c r="G7408" s="38">
        <v>0.9</v>
      </c>
      <c r="H7408" s="38">
        <v>0</v>
      </c>
      <c r="I7408" s="38">
        <v>1.4</v>
      </c>
      <c r="J7408" s="38">
        <v>1.2</v>
      </c>
      <c r="K7408" s="38">
        <v>0</v>
      </c>
      <c r="L7408" s="38">
        <v>0.7619999999999999</v>
      </c>
      <c r="M7408" s="38">
        <v>0.8</v>
      </c>
      <c r="N7408" s="38">
        <v>0</v>
      </c>
      <c r="P7408" s="38">
        <v>2</v>
      </c>
      <c r="Q7408" s="38">
        <v>2.2000000000000002</v>
      </c>
      <c r="R7408" s="38">
        <v>0</v>
      </c>
      <c r="U7408" s="38">
        <v>7</v>
      </c>
      <c r="V7408" s="38">
        <v>0</v>
      </c>
      <c r="W7408" s="38">
        <v>0</v>
      </c>
      <c r="X7408" s="38">
        <v>2</v>
      </c>
      <c r="Y7408" s="38">
        <v>0</v>
      </c>
      <c r="Z7408" s="38">
        <v>0</v>
      </c>
      <c r="AA7408" s="38">
        <v>0</v>
      </c>
      <c r="AB7408" s="38">
        <v>1</v>
      </c>
      <c r="AC7408" s="38">
        <v>0.2</v>
      </c>
      <c r="AD7408" s="38">
        <v>0.4</v>
      </c>
    </row>
    <row r="7409" spans="1:30" x14ac:dyDescent="0.25">
      <c r="A7409" s="22">
        <v>45760</v>
      </c>
      <c r="B7409" s="38">
        <v>4.5</v>
      </c>
      <c r="C7409" s="38">
        <v>0.8</v>
      </c>
      <c r="D7409" s="38">
        <v>2</v>
      </c>
      <c r="E7409" s="38">
        <v>4</v>
      </c>
      <c r="F7409" s="38">
        <v>0</v>
      </c>
      <c r="G7409" s="38">
        <v>2.5</v>
      </c>
      <c r="H7409" s="38">
        <v>0</v>
      </c>
      <c r="I7409" s="38">
        <v>0.1</v>
      </c>
      <c r="J7409" s="38">
        <v>1</v>
      </c>
      <c r="K7409" s="38">
        <v>1</v>
      </c>
      <c r="L7409" s="38">
        <v>0.50800000000000001</v>
      </c>
      <c r="M7409" s="38">
        <v>0.1</v>
      </c>
      <c r="N7409" s="38">
        <v>5.2</v>
      </c>
      <c r="P7409" s="38">
        <v>3</v>
      </c>
      <c r="Q7409" s="38">
        <v>3.8</v>
      </c>
      <c r="R7409" s="38">
        <v>1</v>
      </c>
      <c r="U7409" s="38">
        <v>6</v>
      </c>
      <c r="V7409" s="38">
        <v>0</v>
      </c>
      <c r="W7409" s="38">
        <v>0</v>
      </c>
      <c r="X7409" s="38">
        <v>0</v>
      </c>
      <c r="Y7409" s="38">
        <v>0</v>
      </c>
      <c r="Z7409" s="38">
        <v>0</v>
      </c>
      <c r="AA7409" s="38">
        <v>2</v>
      </c>
      <c r="AB7409" s="38">
        <v>0</v>
      </c>
      <c r="AC7409" s="38">
        <v>0.2</v>
      </c>
      <c r="AD7409" s="38">
        <v>0</v>
      </c>
    </row>
    <row r="7410" spans="1:30" x14ac:dyDescent="0.25">
      <c r="A7410" s="22">
        <v>45761</v>
      </c>
      <c r="B7410" s="38">
        <v>5.5</v>
      </c>
      <c r="C7410" s="38">
        <v>2.4</v>
      </c>
      <c r="D7410" s="38">
        <v>0</v>
      </c>
      <c r="E7410" s="38">
        <v>5</v>
      </c>
      <c r="F7410" s="38">
        <v>4</v>
      </c>
      <c r="G7410" s="38">
        <v>2.5</v>
      </c>
      <c r="H7410" s="38">
        <v>0</v>
      </c>
      <c r="I7410" s="38">
        <v>4.5</v>
      </c>
      <c r="J7410" s="38">
        <v>6</v>
      </c>
      <c r="K7410" s="38">
        <v>6.2</v>
      </c>
      <c r="L7410" s="38">
        <v>3.302</v>
      </c>
      <c r="M7410" s="38">
        <v>1.4</v>
      </c>
      <c r="N7410" s="38">
        <v>1.2000000000000002</v>
      </c>
      <c r="P7410" s="38">
        <v>2</v>
      </c>
      <c r="Q7410" s="38">
        <v>0</v>
      </c>
      <c r="R7410" s="38">
        <v>3.2</v>
      </c>
      <c r="U7410" s="38">
        <v>2</v>
      </c>
      <c r="V7410" s="38">
        <v>0</v>
      </c>
      <c r="W7410" s="38">
        <v>0</v>
      </c>
      <c r="X7410" s="38">
        <v>2</v>
      </c>
      <c r="Y7410" s="38">
        <v>0</v>
      </c>
      <c r="Z7410" s="38">
        <v>2</v>
      </c>
      <c r="AA7410" s="38">
        <v>7</v>
      </c>
      <c r="AB7410" s="38">
        <v>0</v>
      </c>
      <c r="AC7410" s="38">
        <v>0.2</v>
      </c>
      <c r="AD7410" s="38">
        <v>0.2</v>
      </c>
    </row>
    <row r="7411" spans="1:30" x14ac:dyDescent="0.25">
      <c r="A7411" s="22">
        <v>45762</v>
      </c>
      <c r="B7411" s="38">
        <v>7</v>
      </c>
      <c r="C7411" s="38">
        <v>2.4</v>
      </c>
      <c r="D7411" s="38">
        <v>3.4</v>
      </c>
      <c r="E7411" s="38">
        <v>0</v>
      </c>
      <c r="F7411" s="38">
        <v>0</v>
      </c>
      <c r="G7411" s="38">
        <v>1.5</v>
      </c>
      <c r="H7411" s="38">
        <v>50</v>
      </c>
      <c r="I7411" s="38">
        <v>0</v>
      </c>
      <c r="J7411" s="38">
        <v>2.2000000000000002</v>
      </c>
      <c r="K7411" s="38">
        <v>4</v>
      </c>
      <c r="L7411" s="38">
        <v>1.27</v>
      </c>
      <c r="M7411" s="38">
        <v>0</v>
      </c>
      <c r="N7411" s="38">
        <v>3.8000000000000003</v>
      </c>
      <c r="P7411" s="38">
        <v>0</v>
      </c>
      <c r="Q7411" s="38">
        <v>1.8</v>
      </c>
      <c r="R7411" s="38">
        <v>0</v>
      </c>
      <c r="U7411" s="38">
        <v>4</v>
      </c>
      <c r="V7411" s="38">
        <v>0</v>
      </c>
      <c r="W7411" s="38">
        <v>1.2</v>
      </c>
      <c r="X7411" s="38">
        <v>2.5</v>
      </c>
      <c r="Y7411" s="38">
        <v>0</v>
      </c>
      <c r="Z7411" s="38">
        <v>0</v>
      </c>
      <c r="AA7411" s="38">
        <v>3</v>
      </c>
      <c r="AB7411" s="38">
        <v>8</v>
      </c>
      <c r="AC7411" s="38">
        <v>0.2</v>
      </c>
      <c r="AD7411" s="38">
        <v>0</v>
      </c>
    </row>
    <row r="7412" spans="1:30" x14ac:dyDescent="0.25">
      <c r="A7412" s="22">
        <v>45763</v>
      </c>
      <c r="B7412" s="38">
        <v>2</v>
      </c>
      <c r="C7412" s="38">
        <v>8</v>
      </c>
      <c r="D7412" s="38">
        <v>6</v>
      </c>
      <c r="E7412" s="38">
        <v>4</v>
      </c>
      <c r="F7412" s="38">
        <v>2</v>
      </c>
      <c r="G7412" s="38">
        <v>3.5</v>
      </c>
      <c r="H7412" s="38">
        <v>3.3</v>
      </c>
      <c r="I7412" s="38">
        <v>1</v>
      </c>
      <c r="J7412" s="38">
        <v>4.4000000000000004</v>
      </c>
      <c r="K7412" s="38">
        <v>2.2000000000000002</v>
      </c>
      <c r="L7412" s="38">
        <v>1.016</v>
      </c>
      <c r="M7412" s="38">
        <v>4.4000000000000004</v>
      </c>
      <c r="N7412" s="38">
        <v>4.6000000000000005</v>
      </c>
      <c r="P7412" s="38">
        <v>0</v>
      </c>
      <c r="Q7412" s="38">
        <v>1.5</v>
      </c>
      <c r="R7412" s="38">
        <v>0</v>
      </c>
      <c r="U7412" s="38">
        <v>4</v>
      </c>
      <c r="V7412" s="38">
        <v>2.4</v>
      </c>
      <c r="W7412" s="38">
        <v>0</v>
      </c>
      <c r="X7412" s="38">
        <v>0</v>
      </c>
      <c r="Y7412" s="38">
        <v>7</v>
      </c>
      <c r="Z7412" s="38">
        <v>5</v>
      </c>
      <c r="AA7412" s="38">
        <v>3</v>
      </c>
      <c r="AB7412" s="38">
        <v>4</v>
      </c>
      <c r="AC7412" s="38">
        <v>3.0000000000000009</v>
      </c>
      <c r="AD7412" s="38">
        <v>0.8</v>
      </c>
    </row>
    <row r="7413" spans="1:30" x14ac:dyDescent="0.25">
      <c r="A7413" s="22">
        <v>45764</v>
      </c>
      <c r="B7413" s="38">
        <v>4</v>
      </c>
      <c r="C7413" s="38">
        <v>2.4</v>
      </c>
      <c r="D7413" s="38">
        <v>0</v>
      </c>
      <c r="E7413" s="38">
        <v>0</v>
      </c>
      <c r="F7413" s="38">
        <v>0</v>
      </c>
      <c r="G7413" s="38">
        <v>0</v>
      </c>
      <c r="H7413" s="38">
        <v>0</v>
      </c>
      <c r="I7413" s="38">
        <v>3.5</v>
      </c>
      <c r="J7413" s="38">
        <v>0</v>
      </c>
      <c r="K7413" s="38">
        <v>0</v>
      </c>
      <c r="L7413" s="38">
        <v>0.7619999999999999</v>
      </c>
      <c r="M7413" s="38">
        <v>0</v>
      </c>
      <c r="N7413" s="38">
        <v>0.4</v>
      </c>
      <c r="P7413" s="38">
        <v>6</v>
      </c>
      <c r="Q7413" s="38">
        <v>0</v>
      </c>
      <c r="R7413" s="38">
        <v>0</v>
      </c>
      <c r="U7413" s="38">
        <v>0</v>
      </c>
      <c r="V7413" s="38">
        <v>0</v>
      </c>
      <c r="W7413" s="38">
        <v>0</v>
      </c>
      <c r="X7413" s="38">
        <v>2</v>
      </c>
      <c r="Y7413" s="38">
        <v>0</v>
      </c>
      <c r="Z7413" s="38">
        <v>2</v>
      </c>
      <c r="AA7413" s="38">
        <v>0</v>
      </c>
      <c r="AB7413" s="38">
        <v>0</v>
      </c>
      <c r="AC7413" s="38">
        <v>0</v>
      </c>
      <c r="AD7413" s="38">
        <v>0</v>
      </c>
    </row>
    <row r="7414" spans="1:30" x14ac:dyDescent="0.25">
      <c r="A7414" s="22">
        <v>45765</v>
      </c>
      <c r="B7414" s="38">
        <v>3</v>
      </c>
      <c r="C7414" s="38">
        <v>2</v>
      </c>
      <c r="D7414" s="38">
        <v>0</v>
      </c>
      <c r="E7414" s="38">
        <v>0</v>
      </c>
      <c r="F7414" s="38">
        <v>0</v>
      </c>
      <c r="G7414" s="38">
        <v>0</v>
      </c>
      <c r="H7414" s="38">
        <v>0</v>
      </c>
      <c r="I7414" s="38">
        <v>0.6</v>
      </c>
      <c r="J7414" s="38">
        <v>0.1</v>
      </c>
      <c r="K7414" s="38">
        <v>0</v>
      </c>
      <c r="L7414" s="38">
        <v>0</v>
      </c>
      <c r="M7414" s="38">
        <v>0.4</v>
      </c>
      <c r="N7414" s="38">
        <v>0.4</v>
      </c>
      <c r="P7414" s="38">
        <v>0</v>
      </c>
      <c r="Q7414" s="38">
        <v>1.5</v>
      </c>
      <c r="R7414" s="38">
        <v>0</v>
      </c>
      <c r="U7414" s="38">
        <v>0</v>
      </c>
      <c r="V7414" s="38">
        <v>0</v>
      </c>
      <c r="W7414" s="38">
        <v>0</v>
      </c>
      <c r="X7414" s="38">
        <v>0</v>
      </c>
      <c r="Y7414" s="38">
        <v>0</v>
      </c>
      <c r="Z7414" s="38">
        <v>0</v>
      </c>
      <c r="AA7414" s="38">
        <v>0</v>
      </c>
      <c r="AB7414" s="38">
        <v>2</v>
      </c>
      <c r="AC7414" s="38">
        <v>0.2</v>
      </c>
      <c r="AD7414" s="38">
        <v>0.4</v>
      </c>
    </row>
    <row r="7415" spans="1:30" x14ac:dyDescent="0.25">
      <c r="A7415" s="22">
        <v>45766</v>
      </c>
      <c r="B7415" s="38">
        <v>4.5</v>
      </c>
      <c r="C7415" s="38">
        <v>0</v>
      </c>
      <c r="D7415" s="38">
        <v>0</v>
      </c>
      <c r="E7415" s="38">
        <v>0</v>
      </c>
      <c r="F7415" s="38">
        <v>0</v>
      </c>
      <c r="G7415" s="38">
        <v>0</v>
      </c>
      <c r="H7415" s="38">
        <v>0</v>
      </c>
      <c r="I7415" s="38">
        <v>0</v>
      </c>
      <c r="J7415" s="38">
        <v>0</v>
      </c>
      <c r="K7415" s="38">
        <v>1</v>
      </c>
      <c r="L7415" s="38">
        <v>0</v>
      </c>
      <c r="M7415" s="38">
        <v>0</v>
      </c>
      <c r="N7415" s="38">
        <v>0</v>
      </c>
      <c r="P7415" s="38">
        <v>0</v>
      </c>
      <c r="Q7415" s="38">
        <v>14.8</v>
      </c>
      <c r="R7415" s="38">
        <v>0</v>
      </c>
      <c r="U7415" s="38">
        <v>0</v>
      </c>
      <c r="V7415" s="38">
        <v>0</v>
      </c>
      <c r="W7415" s="38">
        <v>0</v>
      </c>
      <c r="X7415" s="38">
        <v>0</v>
      </c>
      <c r="Y7415" s="38">
        <v>0</v>
      </c>
      <c r="Z7415" s="38">
        <v>0</v>
      </c>
      <c r="AA7415" s="38">
        <v>7</v>
      </c>
      <c r="AB7415" s="38">
        <v>4</v>
      </c>
      <c r="AC7415" s="38">
        <v>0.2</v>
      </c>
      <c r="AD7415" s="38">
        <v>0.2</v>
      </c>
    </row>
    <row r="7416" spans="1:30" x14ac:dyDescent="0.25">
      <c r="A7416" s="22">
        <v>45767</v>
      </c>
      <c r="B7416" s="38">
        <v>4</v>
      </c>
      <c r="C7416" s="38">
        <v>4.2</v>
      </c>
      <c r="D7416" s="38">
        <v>4</v>
      </c>
      <c r="E7416" s="38">
        <v>0</v>
      </c>
      <c r="F7416" s="38">
        <v>11.4</v>
      </c>
      <c r="G7416" s="38">
        <v>17.5</v>
      </c>
      <c r="H7416" s="38">
        <v>15.1</v>
      </c>
      <c r="I7416" s="38">
        <v>15</v>
      </c>
      <c r="J7416" s="38">
        <v>15</v>
      </c>
      <c r="K7416" s="38">
        <v>0</v>
      </c>
      <c r="L7416" s="38">
        <v>8.1280000000000001</v>
      </c>
      <c r="M7416" s="38">
        <v>20.8</v>
      </c>
      <c r="N7416" s="38">
        <v>9.5999999999999979</v>
      </c>
      <c r="P7416" s="38">
        <v>4</v>
      </c>
      <c r="Q7416" s="38">
        <v>5.8</v>
      </c>
      <c r="R7416" s="38">
        <v>10</v>
      </c>
      <c r="U7416" s="38">
        <v>4</v>
      </c>
      <c r="V7416" s="38">
        <v>0</v>
      </c>
      <c r="W7416" s="38">
        <v>7</v>
      </c>
      <c r="X7416" s="38">
        <v>0</v>
      </c>
      <c r="Y7416" s="38">
        <v>12</v>
      </c>
      <c r="Z7416" s="38">
        <v>6</v>
      </c>
      <c r="AA7416" s="38">
        <v>2</v>
      </c>
      <c r="AB7416" s="38">
        <v>0</v>
      </c>
      <c r="AC7416" s="38">
        <v>0.2</v>
      </c>
      <c r="AD7416" s="38">
        <v>15.199999999999989</v>
      </c>
    </row>
    <row r="7417" spans="1:30" x14ac:dyDescent="0.25">
      <c r="A7417" s="22">
        <v>45768</v>
      </c>
      <c r="B7417" s="38">
        <v>0</v>
      </c>
      <c r="C7417" s="38">
        <v>0</v>
      </c>
      <c r="D7417" s="38">
        <v>11.2</v>
      </c>
      <c r="E7417" s="38">
        <v>0</v>
      </c>
      <c r="F7417" s="38">
        <v>4.2</v>
      </c>
      <c r="G7417" s="38">
        <v>11</v>
      </c>
      <c r="H7417" s="38">
        <v>12.2</v>
      </c>
      <c r="I7417" s="38">
        <v>12.4</v>
      </c>
      <c r="J7417" s="38">
        <v>1.4</v>
      </c>
      <c r="K7417" s="38">
        <v>7.7</v>
      </c>
      <c r="L7417" s="38">
        <v>1.27</v>
      </c>
      <c r="M7417" s="38">
        <v>24.2</v>
      </c>
      <c r="N7417" s="38">
        <v>21.199999999999992</v>
      </c>
      <c r="P7417" s="38">
        <v>0</v>
      </c>
      <c r="Q7417" s="38">
        <v>0.8</v>
      </c>
      <c r="R7417" s="38">
        <v>1.2</v>
      </c>
      <c r="U7417" s="38">
        <v>36</v>
      </c>
      <c r="V7417" s="38">
        <v>0</v>
      </c>
      <c r="W7417" s="38">
        <v>0</v>
      </c>
      <c r="X7417" s="38">
        <v>8.1999999999999993</v>
      </c>
      <c r="Y7417" s="38">
        <v>0</v>
      </c>
      <c r="Z7417" s="38">
        <v>6</v>
      </c>
      <c r="AA7417" s="38">
        <v>30</v>
      </c>
      <c r="AB7417" s="38">
        <v>2</v>
      </c>
      <c r="AC7417" s="38">
        <v>0.2</v>
      </c>
      <c r="AD7417" s="38">
        <v>0</v>
      </c>
    </row>
    <row r="7418" spans="1:30" x14ac:dyDescent="0.25">
      <c r="A7418" s="22">
        <v>45769</v>
      </c>
      <c r="B7418" s="38">
        <v>8</v>
      </c>
      <c r="C7418" s="38">
        <v>5.2</v>
      </c>
      <c r="D7418" s="38">
        <v>0</v>
      </c>
      <c r="E7418" s="38">
        <v>0</v>
      </c>
      <c r="F7418" s="38">
        <v>0.4</v>
      </c>
      <c r="G7418" s="38">
        <v>1</v>
      </c>
      <c r="H7418" s="38">
        <v>0</v>
      </c>
      <c r="I7418" s="38">
        <v>3.1</v>
      </c>
      <c r="J7418" s="38">
        <v>4.4000000000000004</v>
      </c>
      <c r="K7418" s="38">
        <v>4</v>
      </c>
      <c r="L7418" s="38">
        <v>69.341999999999999</v>
      </c>
      <c r="M7418" s="38">
        <v>3</v>
      </c>
      <c r="N7418" s="38">
        <v>17.999999999999996</v>
      </c>
      <c r="P7418" s="38">
        <v>4</v>
      </c>
      <c r="Q7418" s="38">
        <v>71.5</v>
      </c>
      <c r="R7418" s="38">
        <v>0</v>
      </c>
      <c r="U7418" s="38">
        <v>7</v>
      </c>
      <c r="V7418" s="38">
        <v>3.4</v>
      </c>
      <c r="W7418" s="38">
        <v>5</v>
      </c>
      <c r="X7418" s="38">
        <v>0</v>
      </c>
      <c r="Y7418" s="38">
        <v>4</v>
      </c>
      <c r="Z7418" s="38">
        <v>3</v>
      </c>
      <c r="AA7418" s="38">
        <v>6</v>
      </c>
      <c r="AB7418" s="38">
        <v>0</v>
      </c>
      <c r="AC7418" s="38">
        <v>0</v>
      </c>
      <c r="AD7418" s="38">
        <v>0</v>
      </c>
    </row>
    <row r="7419" spans="1:30" x14ac:dyDescent="0.25">
      <c r="A7419" s="22">
        <v>45770</v>
      </c>
      <c r="B7419" s="38">
        <v>4</v>
      </c>
      <c r="C7419" s="38">
        <v>11.2</v>
      </c>
      <c r="D7419" s="38">
        <v>24.4</v>
      </c>
      <c r="E7419" s="38">
        <v>28</v>
      </c>
      <c r="F7419" s="38">
        <v>199.4</v>
      </c>
      <c r="G7419" s="38">
        <v>12</v>
      </c>
      <c r="H7419" s="38">
        <v>118</v>
      </c>
      <c r="I7419" s="38">
        <v>7.1</v>
      </c>
      <c r="J7419" s="38">
        <v>69.3</v>
      </c>
      <c r="K7419" s="38">
        <v>20.399999999999999</v>
      </c>
      <c r="L7419" s="38">
        <v>53.593999999999994</v>
      </c>
      <c r="M7419" s="38">
        <v>16.100000000000001</v>
      </c>
      <c r="N7419" s="38">
        <v>70.600000000000023</v>
      </c>
      <c r="P7419" s="38">
        <v>58</v>
      </c>
      <c r="Q7419" s="38">
        <v>21.2</v>
      </c>
      <c r="R7419" s="38">
        <v>92</v>
      </c>
      <c r="U7419" s="38">
        <v>108</v>
      </c>
      <c r="V7419" s="38">
        <v>4</v>
      </c>
      <c r="W7419" s="38">
        <v>21</v>
      </c>
      <c r="X7419" s="38">
        <v>0</v>
      </c>
      <c r="Y7419" s="38">
        <v>102</v>
      </c>
      <c r="Z7419" s="38">
        <v>104</v>
      </c>
      <c r="AA7419" s="38">
        <v>90</v>
      </c>
      <c r="AB7419" s="38">
        <v>40</v>
      </c>
      <c r="AC7419" s="38">
        <v>0.2</v>
      </c>
      <c r="AD7419" s="38">
        <v>0.2</v>
      </c>
    </row>
    <row r="7420" spans="1:30" x14ac:dyDescent="0.25">
      <c r="A7420" s="22">
        <v>45771</v>
      </c>
      <c r="B7420" s="38">
        <v>80</v>
      </c>
      <c r="C7420" s="38">
        <v>28.8</v>
      </c>
      <c r="D7420" s="38">
        <v>37.200000000000003</v>
      </c>
      <c r="E7420" s="38">
        <v>52</v>
      </c>
      <c r="F7420" s="38">
        <v>5.2</v>
      </c>
      <c r="G7420" s="38">
        <v>19</v>
      </c>
      <c r="H7420" s="38">
        <v>8</v>
      </c>
      <c r="I7420" s="38">
        <v>11.2</v>
      </c>
      <c r="J7420" s="38">
        <v>40</v>
      </c>
      <c r="K7420" s="38">
        <v>30</v>
      </c>
      <c r="L7420" s="38">
        <v>5.8419999999999996</v>
      </c>
      <c r="M7420" s="38">
        <v>16.2</v>
      </c>
      <c r="N7420" s="38">
        <v>21.799999999999994</v>
      </c>
      <c r="P7420" s="38">
        <v>68</v>
      </c>
      <c r="Q7420" s="38">
        <v>0</v>
      </c>
      <c r="R7420" s="38">
        <v>14.2</v>
      </c>
      <c r="U7420" s="38">
        <v>30</v>
      </c>
      <c r="V7420" s="38">
        <v>12</v>
      </c>
      <c r="W7420" s="38">
        <v>6.2</v>
      </c>
      <c r="X7420" s="38">
        <v>104</v>
      </c>
      <c r="Y7420" s="38">
        <v>6.5</v>
      </c>
      <c r="Z7420" s="38">
        <v>14</v>
      </c>
      <c r="AA7420" s="38">
        <v>50</v>
      </c>
      <c r="AB7420" s="38">
        <v>26</v>
      </c>
      <c r="AC7420" s="38">
        <v>0</v>
      </c>
      <c r="AD7420" s="38">
        <v>5.0000000000000018</v>
      </c>
    </row>
    <row r="7421" spans="1:30" x14ac:dyDescent="0.25">
      <c r="A7421" s="22">
        <v>45772</v>
      </c>
      <c r="B7421" s="38">
        <v>5</v>
      </c>
      <c r="C7421" s="38">
        <v>2.2000000000000002</v>
      </c>
      <c r="D7421" s="38">
        <v>2</v>
      </c>
      <c r="E7421" s="38">
        <v>3</v>
      </c>
      <c r="F7421" s="38">
        <v>1.2</v>
      </c>
      <c r="G7421" s="38">
        <v>7</v>
      </c>
      <c r="H7421" s="38">
        <v>1.4</v>
      </c>
      <c r="I7421" s="38">
        <v>1.3</v>
      </c>
      <c r="J7421" s="38">
        <v>6.4</v>
      </c>
      <c r="K7421" s="38">
        <v>11.2</v>
      </c>
      <c r="L7421" s="38">
        <v>5.08</v>
      </c>
      <c r="M7421" s="38">
        <v>5.8</v>
      </c>
      <c r="N7421" s="38">
        <v>3</v>
      </c>
      <c r="P7421" s="38">
        <v>0</v>
      </c>
      <c r="Q7421" s="38">
        <v>0.5</v>
      </c>
      <c r="R7421" s="38">
        <v>0</v>
      </c>
      <c r="U7421" s="38">
        <v>0</v>
      </c>
      <c r="V7421" s="38">
        <v>2</v>
      </c>
      <c r="W7421" s="38">
        <v>3</v>
      </c>
      <c r="X7421" s="38">
        <v>14.4</v>
      </c>
      <c r="Y7421" s="38">
        <v>0</v>
      </c>
      <c r="Z7421" s="38">
        <v>0</v>
      </c>
      <c r="AA7421" s="38">
        <v>2</v>
      </c>
      <c r="AB7421" s="38">
        <v>8</v>
      </c>
      <c r="AC7421" s="38">
        <v>0.2</v>
      </c>
      <c r="AD7421" s="38">
        <v>0</v>
      </c>
    </row>
    <row r="7422" spans="1:30" x14ac:dyDescent="0.25">
      <c r="A7422" s="22">
        <v>45773</v>
      </c>
      <c r="B7422" s="38">
        <v>6.5</v>
      </c>
      <c r="C7422" s="38">
        <v>0</v>
      </c>
      <c r="D7422" s="38">
        <v>2.4</v>
      </c>
      <c r="F7422" s="38">
        <v>0</v>
      </c>
      <c r="G7422" s="38">
        <v>1.5</v>
      </c>
      <c r="H7422" s="38">
        <v>0</v>
      </c>
      <c r="I7422" s="38">
        <v>0.2</v>
      </c>
      <c r="J7422" s="38">
        <v>1.2</v>
      </c>
      <c r="K7422" s="38">
        <v>11.2</v>
      </c>
      <c r="L7422" s="38">
        <v>2.032</v>
      </c>
      <c r="M7422" s="38">
        <v>0</v>
      </c>
      <c r="N7422" s="38">
        <v>1.8</v>
      </c>
      <c r="P7422" s="38">
        <v>2</v>
      </c>
      <c r="Q7422" s="38">
        <v>4.5</v>
      </c>
      <c r="R7422" s="38">
        <v>0</v>
      </c>
      <c r="U7422" s="38">
        <v>4</v>
      </c>
      <c r="V7422" s="38">
        <v>0</v>
      </c>
      <c r="W7422" s="38">
        <v>0</v>
      </c>
      <c r="X7422" s="38">
        <v>3</v>
      </c>
      <c r="Y7422" s="38">
        <v>0</v>
      </c>
      <c r="Z7422" s="38">
        <v>0</v>
      </c>
      <c r="AA7422" s="38">
        <v>3</v>
      </c>
      <c r="AB7422" s="38">
        <v>51</v>
      </c>
      <c r="AC7422" s="38">
        <v>0</v>
      </c>
      <c r="AD7422" s="38">
        <v>2.4000000000000008</v>
      </c>
    </row>
    <row r="7423" spans="1:30" x14ac:dyDescent="0.25">
      <c r="A7423" s="22">
        <v>45774</v>
      </c>
      <c r="B7423" s="38">
        <v>12.5</v>
      </c>
      <c r="C7423" s="38">
        <v>6</v>
      </c>
      <c r="D7423" s="38">
        <v>2</v>
      </c>
      <c r="E7423" s="38">
        <v>3</v>
      </c>
      <c r="F7423" s="38">
        <v>2</v>
      </c>
      <c r="G7423" s="38">
        <v>1.5</v>
      </c>
      <c r="H7423" s="38">
        <v>2</v>
      </c>
      <c r="I7423" s="38">
        <v>2.2999999999999998</v>
      </c>
      <c r="J7423" s="38">
        <v>1.8</v>
      </c>
      <c r="K7423" s="38">
        <v>2.2999999999999998</v>
      </c>
      <c r="L7423" s="38">
        <v>4.5719999999999992</v>
      </c>
      <c r="M7423" s="38">
        <v>4</v>
      </c>
      <c r="N7423" s="38">
        <v>4.2</v>
      </c>
      <c r="P7423" s="38">
        <v>3</v>
      </c>
      <c r="Q7423" s="38">
        <v>0</v>
      </c>
      <c r="R7423" s="38">
        <v>6</v>
      </c>
      <c r="U7423" s="38">
        <v>2</v>
      </c>
      <c r="V7423" s="38">
        <v>0</v>
      </c>
      <c r="W7423" s="38">
        <v>8.1</v>
      </c>
      <c r="X7423" s="38">
        <v>2</v>
      </c>
      <c r="Y7423" s="38">
        <v>0</v>
      </c>
      <c r="Z7423" s="38">
        <v>0</v>
      </c>
      <c r="AA7423" s="38">
        <v>0</v>
      </c>
      <c r="AB7423" s="38">
        <v>29</v>
      </c>
      <c r="AC7423" s="38">
        <v>0.2</v>
      </c>
      <c r="AD7423" s="38">
        <v>1.8</v>
      </c>
    </row>
    <row r="7424" spans="1:30" x14ac:dyDescent="0.25">
      <c r="A7424" s="22">
        <v>45775</v>
      </c>
      <c r="B7424" s="38">
        <v>9</v>
      </c>
      <c r="C7424" s="38">
        <v>0</v>
      </c>
      <c r="D7424" s="38">
        <v>0</v>
      </c>
      <c r="E7424" s="38">
        <v>0</v>
      </c>
      <c r="F7424" s="38">
        <v>0</v>
      </c>
      <c r="G7424" s="38">
        <v>9.5</v>
      </c>
      <c r="H7424" s="38">
        <v>0</v>
      </c>
      <c r="I7424" s="38">
        <v>0.1</v>
      </c>
      <c r="J7424" s="38">
        <v>0</v>
      </c>
      <c r="K7424" s="38">
        <v>0</v>
      </c>
      <c r="L7424" s="38">
        <v>2.794</v>
      </c>
      <c r="M7424" s="38">
        <v>0.4</v>
      </c>
      <c r="N7424" s="38">
        <v>0.60000000000000009</v>
      </c>
      <c r="P7424" s="38">
        <v>2</v>
      </c>
      <c r="Q7424" s="38">
        <v>0</v>
      </c>
      <c r="R7424" s="38">
        <v>0</v>
      </c>
      <c r="U7424" s="38">
        <v>0</v>
      </c>
      <c r="V7424" s="38">
        <v>1</v>
      </c>
      <c r="W7424" s="38">
        <v>0</v>
      </c>
      <c r="X7424" s="38">
        <v>0.4</v>
      </c>
      <c r="Y7424" s="38">
        <v>0</v>
      </c>
      <c r="Z7424" s="38">
        <v>1</v>
      </c>
      <c r="AA7424" s="38">
        <v>9</v>
      </c>
      <c r="AB7424" s="38">
        <v>0</v>
      </c>
      <c r="AC7424" s="38">
        <v>0</v>
      </c>
      <c r="AD7424" s="38">
        <v>0</v>
      </c>
    </row>
    <row r="7425" spans="1:30" x14ac:dyDescent="0.25">
      <c r="A7425" s="22">
        <v>45776</v>
      </c>
      <c r="B7425" s="38">
        <v>0</v>
      </c>
      <c r="C7425" s="38">
        <v>0</v>
      </c>
      <c r="D7425" s="38">
        <v>0</v>
      </c>
      <c r="E7425" s="38">
        <v>0</v>
      </c>
      <c r="F7425" s="38">
        <v>0</v>
      </c>
      <c r="G7425" s="38">
        <v>0</v>
      </c>
      <c r="H7425" s="38">
        <v>3</v>
      </c>
      <c r="I7425" s="38">
        <v>0.1</v>
      </c>
      <c r="J7425" s="38">
        <v>0</v>
      </c>
      <c r="K7425" s="38">
        <v>0</v>
      </c>
      <c r="L7425" s="38">
        <v>2.54</v>
      </c>
      <c r="M7425" s="38">
        <v>2</v>
      </c>
      <c r="N7425" s="38">
        <v>0.60000000000000009</v>
      </c>
      <c r="P7425" s="38">
        <v>0</v>
      </c>
      <c r="Q7425" s="38">
        <v>0</v>
      </c>
      <c r="R7425" s="38">
        <v>0</v>
      </c>
      <c r="U7425" s="38">
        <v>0</v>
      </c>
      <c r="V7425" s="38">
        <v>0</v>
      </c>
      <c r="W7425" s="38">
        <v>0</v>
      </c>
      <c r="X7425" s="38">
        <v>1.5</v>
      </c>
      <c r="Y7425" s="38">
        <v>0</v>
      </c>
      <c r="Z7425" s="38">
        <v>0</v>
      </c>
      <c r="AA7425" s="38">
        <v>0</v>
      </c>
      <c r="AB7425" s="38">
        <v>0</v>
      </c>
      <c r="AC7425" s="38">
        <v>0.2</v>
      </c>
      <c r="AD7425" s="38">
        <v>0</v>
      </c>
    </row>
    <row r="7426" spans="1:30" x14ac:dyDescent="0.25">
      <c r="A7426" s="22">
        <v>45777</v>
      </c>
      <c r="B7426" s="38">
        <v>0</v>
      </c>
      <c r="C7426" s="38">
        <v>0</v>
      </c>
      <c r="D7426" s="38">
        <v>0</v>
      </c>
      <c r="E7426" s="38">
        <v>0</v>
      </c>
      <c r="F7426" s="38">
        <v>0</v>
      </c>
      <c r="G7426" s="38">
        <v>0</v>
      </c>
      <c r="H7426" s="38">
        <v>0</v>
      </c>
      <c r="I7426" s="38">
        <v>0.1</v>
      </c>
      <c r="J7426" s="38">
        <v>0</v>
      </c>
      <c r="K7426" s="38">
        <v>0</v>
      </c>
      <c r="L7426" s="38">
        <v>0.7619999999999999</v>
      </c>
      <c r="M7426" s="38">
        <v>0</v>
      </c>
      <c r="N7426" s="38">
        <v>0.8</v>
      </c>
      <c r="P7426" s="38">
        <v>0</v>
      </c>
      <c r="Q7426" s="38">
        <v>0</v>
      </c>
      <c r="R7426" s="38">
        <v>0</v>
      </c>
      <c r="U7426" s="38">
        <v>0</v>
      </c>
      <c r="V7426" s="38">
        <v>0</v>
      </c>
      <c r="W7426" s="38">
        <v>0</v>
      </c>
      <c r="X7426" s="38">
        <v>0</v>
      </c>
      <c r="Y7426" s="38">
        <v>0</v>
      </c>
      <c r="Z7426" s="38">
        <v>0</v>
      </c>
      <c r="AA7426" s="38">
        <v>0</v>
      </c>
      <c r="AB7426" s="38">
        <v>0</v>
      </c>
      <c r="AC7426" s="38">
        <v>0</v>
      </c>
      <c r="AD7426" s="38">
        <v>0</v>
      </c>
    </row>
    <row r="7427" spans="1:30" x14ac:dyDescent="0.25">
      <c r="A7427" s="22">
        <v>45778</v>
      </c>
      <c r="B7427" s="38">
        <v>0</v>
      </c>
      <c r="C7427" s="38" t="s">
        <v>9</v>
      </c>
      <c r="D7427" s="38">
        <v>0</v>
      </c>
      <c r="E7427" s="38">
        <v>0</v>
      </c>
      <c r="F7427" s="38">
        <v>0</v>
      </c>
      <c r="G7427" s="38">
        <v>0</v>
      </c>
      <c r="H7427" s="38">
        <v>0</v>
      </c>
      <c r="I7427" s="38">
        <v>0.2</v>
      </c>
      <c r="J7427" s="38">
        <v>0</v>
      </c>
      <c r="K7427" s="38">
        <v>0</v>
      </c>
      <c r="L7427" s="38">
        <v>0</v>
      </c>
      <c r="M7427" s="38">
        <v>0</v>
      </c>
      <c r="N7427" s="38">
        <v>0</v>
      </c>
      <c r="P7427" s="38">
        <v>0</v>
      </c>
      <c r="Q7427" s="38">
        <v>0</v>
      </c>
      <c r="R7427" s="38">
        <v>0</v>
      </c>
      <c r="U7427" s="38">
        <v>0</v>
      </c>
      <c r="V7427" s="38">
        <v>0</v>
      </c>
      <c r="W7427" s="38">
        <v>0</v>
      </c>
      <c r="X7427" s="38">
        <v>0</v>
      </c>
      <c r="Y7427" s="38">
        <v>0</v>
      </c>
      <c r="Z7427" s="38">
        <v>0</v>
      </c>
      <c r="AA7427" s="38">
        <v>0</v>
      </c>
      <c r="AB7427" s="38">
        <v>0</v>
      </c>
      <c r="AD7427" s="38">
        <v>0</v>
      </c>
    </row>
    <row r="7428" spans="1:30" x14ac:dyDescent="0.25">
      <c r="A7428" s="22">
        <v>45779</v>
      </c>
      <c r="B7428" s="38">
        <v>0</v>
      </c>
      <c r="C7428" s="38" t="s">
        <v>9</v>
      </c>
      <c r="D7428" s="38">
        <v>0</v>
      </c>
      <c r="E7428" s="38">
        <v>0</v>
      </c>
      <c r="F7428" s="38">
        <v>0</v>
      </c>
      <c r="G7428" s="38">
        <v>0</v>
      </c>
      <c r="H7428" s="38">
        <v>0</v>
      </c>
      <c r="I7428" s="38">
        <v>0</v>
      </c>
      <c r="J7428" s="38">
        <v>0.2</v>
      </c>
      <c r="K7428" s="38">
        <v>0</v>
      </c>
      <c r="L7428" s="38">
        <v>0</v>
      </c>
      <c r="M7428" s="38">
        <v>0</v>
      </c>
      <c r="N7428" s="38">
        <v>0.2</v>
      </c>
      <c r="P7428" s="38">
        <v>0</v>
      </c>
      <c r="Q7428" s="38">
        <v>9.5</v>
      </c>
      <c r="R7428" s="38">
        <v>0</v>
      </c>
      <c r="U7428" s="38">
        <v>0</v>
      </c>
      <c r="V7428" s="38">
        <v>0</v>
      </c>
      <c r="W7428" s="38">
        <v>0</v>
      </c>
      <c r="X7428" s="38">
        <v>0</v>
      </c>
      <c r="Y7428" s="38">
        <v>0</v>
      </c>
      <c r="Z7428" s="38">
        <v>0</v>
      </c>
      <c r="AA7428" s="38">
        <v>0</v>
      </c>
      <c r="AB7428" s="38">
        <v>0</v>
      </c>
      <c r="AD7428" s="38">
        <v>0</v>
      </c>
    </row>
    <row r="7429" spans="1:30" x14ac:dyDescent="0.25">
      <c r="A7429" s="22">
        <v>45780</v>
      </c>
      <c r="B7429" s="38">
        <v>24</v>
      </c>
      <c r="C7429" s="38">
        <v>13.2</v>
      </c>
      <c r="D7429" s="38">
        <v>19.399999999999999</v>
      </c>
      <c r="E7429" s="38">
        <v>0</v>
      </c>
      <c r="F7429" s="38">
        <v>12.4</v>
      </c>
      <c r="G7429" s="38">
        <v>16</v>
      </c>
      <c r="H7429" s="38">
        <v>15.9</v>
      </c>
      <c r="I7429" s="38">
        <v>4.5</v>
      </c>
      <c r="J7429" s="38">
        <v>18.2</v>
      </c>
      <c r="K7429" s="38">
        <v>13.5</v>
      </c>
      <c r="L7429" s="38">
        <v>11.683999999999999</v>
      </c>
      <c r="M7429" s="38">
        <v>10.199999999999999</v>
      </c>
      <c r="N7429" s="38">
        <v>20.799999999999997</v>
      </c>
      <c r="P7429" s="38">
        <v>54</v>
      </c>
      <c r="Q7429" s="38">
        <v>58.2</v>
      </c>
      <c r="R7429" s="38">
        <v>5</v>
      </c>
      <c r="U7429" s="38">
        <v>0</v>
      </c>
      <c r="V7429" s="38">
        <v>4</v>
      </c>
      <c r="W7429" s="38">
        <v>10.4</v>
      </c>
      <c r="X7429" s="38">
        <v>2</v>
      </c>
      <c r="Y7429" s="38">
        <v>4</v>
      </c>
      <c r="Z7429" s="38">
        <v>3</v>
      </c>
      <c r="AA7429" s="38">
        <v>0</v>
      </c>
      <c r="AB7429" s="38">
        <v>4</v>
      </c>
      <c r="AD7429" s="38">
        <v>21.599999999999987</v>
      </c>
    </row>
    <row r="7430" spans="1:30" x14ac:dyDescent="0.25">
      <c r="A7430" s="22">
        <v>45781</v>
      </c>
      <c r="B7430" s="38">
        <v>12</v>
      </c>
      <c r="C7430" s="38">
        <v>10.199999999999999</v>
      </c>
      <c r="D7430" s="38">
        <v>12</v>
      </c>
      <c r="E7430" s="38">
        <v>50</v>
      </c>
      <c r="F7430" s="38">
        <v>58.3</v>
      </c>
      <c r="G7430" s="38">
        <v>37</v>
      </c>
      <c r="H7430" s="38">
        <v>83</v>
      </c>
      <c r="I7430" s="38">
        <v>20.5</v>
      </c>
      <c r="J7430" s="38">
        <v>30.8</v>
      </c>
      <c r="K7430" s="38">
        <v>49.4</v>
      </c>
      <c r="L7430" s="38">
        <v>40.893999999999998</v>
      </c>
      <c r="M7430" s="38">
        <v>38.700000000000003</v>
      </c>
      <c r="N7430" s="38">
        <v>29.79999999999999</v>
      </c>
      <c r="P7430" s="38">
        <v>28</v>
      </c>
      <c r="Q7430" s="38">
        <v>26.9</v>
      </c>
      <c r="R7430" s="38">
        <v>70</v>
      </c>
      <c r="U7430" s="38">
        <v>0</v>
      </c>
      <c r="V7430" s="38">
        <v>7</v>
      </c>
      <c r="W7430" s="38">
        <v>16</v>
      </c>
      <c r="X7430" s="38">
        <v>20</v>
      </c>
      <c r="Y7430" s="38">
        <v>81</v>
      </c>
      <c r="Z7430" s="38">
        <v>56</v>
      </c>
      <c r="AA7430" s="38">
        <v>0</v>
      </c>
      <c r="AB7430" s="38">
        <v>11</v>
      </c>
      <c r="AD7430" s="38">
        <v>4.6000000000000014</v>
      </c>
    </row>
    <row r="7431" spans="1:30" x14ac:dyDescent="0.25">
      <c r="A7431" s="22">
        <v>45782</v>
      </c>
      <c r="B7431" s="38">
        <v>48</v>
      </c>
      <c r="C7431" s="38">
        <v>3.2</v>
      </c>
      <c r="D7431" s="38">
        <v>2</v>
      </c>
      <c r="E7431" s="38">
        <v>0</v>
      </c>
      <c r="F7431" s="38">
        <v>0</v>
      </c>
      <c r="G7431" s="38">
        <v>1</v>
      </c>
      <c r="H7431" s="38">
        <v>2.2000000000000002</v>
      </c>
      <c r="I7431" s="38">
        <v>1.6</v>
      </c>
      <c r="J7431" s="38">
        <v>11</v>
      </c>
      <c r="K7431" s="38">
        <v>4.7</v>
      </c>
      <c r="L7431" s="38">
        <v>3.0479999999999996</v>
      </c>
      <c r="M7431" s="38">
        <v>1</v>
      </c>
      <c r="N7431" s="38">
        <v>2.8</v>
      </c>
      <c r="P7431" s="38" t="s">
        <v>9</v>
      </c>
      <c r="Q7431" s="38">
        <v>0</v>
      </c>
      <c r="R7431" s="38">
        <v>8</v>
      </c>
      <c r="U7431" s="38">
        <v>38</v>
      </c>
      <c r="V7431" s="38">
        <v>2</v>
      </c>
      <c r="W7431" s="38">
        <v>1.2</v>
      </c>
      <c r="X7431" s="38">
        <v>2</v>
      </c>
      <c r="Y7431" s="38">
        <v>16</v>
      </c>
      <c r="Z7431" s="38">
        <v>0</v>
      </c>
      <c r="AA7431" s="38">
        <v>30</v>
      </c>
      <c r="AB7431" s="38">
        <v>2</v>
      </c>
      <c r="AD7431" s="38">
        <v>1.2</v>
      </c>
    </row>
    <row r="7432" spans="1:30" x14ac:dyDescent="0.25">
      <c r="A7432" s="22">
        <v>45783</v>
      </c>
      <c r="B7432" s="38">
        <v>0</v>
      </c>
      <c r="C7432" s="38">
        <v>0</v>
      </c>
      <c r="D7432" s="38" t="s">
        <v>9</v>
      </c>
      <c r="E7432" s="38">
        <v>0</v>
      </c>
      <c r="F7432" s="38">
        <v>0</v>
      </c>
      <c r="G7432" s="38">
        <v>0</v>
      </c>
      <c r="H7432" s="38">
        <v>0</v>
      </c>
      <c r="I7432" s="38">
        <v>0</v>
      </c>
      <c r="J7432" s="38">
        <v>0</v>
      </c>
      <c r="K7432" s="38">
        <v>1</v>
      </c>
      <c r="L7432" s="38">
        <v>1.778</v>
      </c>
      <c r="M7432" s="38">
        <v>0</v>
      </c>
      <c r="N7432" s="38">
        <v>0</v>
      </c>
      <c r="P7432" s="38">
        <v>0</v>
      </c>
      <c r="Q7432" s="38">
        <v>0</v>
      </c>
      <c r="R7432" s="38">
        <v>0</v>
      </c>
      <c r="U7432" s="38">
        <v>0</v>
      </c>
      <c r="V7432" s="38">
        <v>0</v>
      </c>
      <c r="W7432" s="38">
        <v>0</v>
      </c>
      <c r="X7432" s="38">
        <v>0</v>
      </c>
      <c r="Y7432" s="38">
        <v>0</v>
      </c>
      <c r="Z7432" s="38">
        <v>56</v>
      </c>
      <c r="AA7432" s="38">
        <v>0</v>
      </c>
      <c r="AB7432" s="38">
        <v>13</v>
      </c>
      <c r="AD7432" s="38">
        <v>0</v>
      </c>
    </row>
    <row r="7433" spans="1:30" x14ac:dyDescent="0.25">
      <c r="A7433" s="22">
        <v>45784</v>
      </c>
      <c r="B7433" s="38">
        <v>0</v>
      </c>
      <c r="C7433" s="38">
        <v>0</v>
      </c>
      <c r="D7433" s="38">
        <v>0</v>
      </c>
      <c r="E7433" s="38">
        <v>0</v>
      </c>
      <c r="F7433" s="38">
        <v>0</v>
      </c>
      <c r="G7433" s="38">
        <v>1</v>
      </c>
      <c r="H7433" s="38">
        <v>4</v>
      </c>
      <c r="I7433" s="38">
        <v>0.5</v>
      </c>
      <c r="J7433" s="38">
        <v>0</v>
      </c>
      <c r="K7433" s="38">
        <v>0</v>
      </c>
      <c r="L7433" s="38">
        <v>0</v>
      </c>
      <c r="M7433" s="38">
        <v>5.5</v>
      </c>
      <c r="N7433" s="38">
        <v>0</v>
      </c>
      <c r="P7433" s="38">
        <v>0</v>
      </c>
      <c r="Q7433" s="38">
        <v>0</v>
      </c>
      <c r="R7433" s="38">
        <v>0</v>
      </c>
      <c r="U7433" s="38">
        <v>0</v>
      </c>
      <c r="V7433" s="38">
        <v>0</v>
      </c>
      <c r="W7433" s="38">
        <v>0</v>
      </c>
      <c r="X7433" s="38">
        <v>0</v>
      </c>
      <c r="Y7433" s="38">
        <v>0</v>
      </c>
      <c r="Z7433" s="38">
        <v>0</v>
      </c>
      <c r="AA7433" s="38">
        <v>0</v>
      </c>
      <c r="AB7433" s="38">
        <v>0</v>
      </c>
      <c r="AD7433" s="38">
        <v>0</v>
      </c>
    </row>
    <row r="7434" spans="1:30" x14ac:dyDescent="0.25">
      <c r="A7434" s="22">
        <v>45785</v>
      </c>
      <c r="B7434" s="38">
        <v>0</v>
      </c>
      <c r="C7434" s="38">
        <v>0</v>
      </c>
      <c r="D7434" s="38">
        <v>0</v>
      </c>
      <c r="E7434" s="38">
        <v>0</v>
      </c>
      <c r="F7434" s="38">
        <v>0</v>
      </c>
      <c r="G7434" s="38">
        <v>0</v>
      </c>
      <c r="H7434" s="38">
        <v>0</v>
      </c>
      <c r="I7434" s="38">
        <v>0.1</v>
      </c>
      <c r="J7434" s="38">
        <v>0</v>
      </c>
      <c r="K7434" s="38">
        <v>0</v>
      </c>
      <c r="L7434" s="38">
        <v>0</v>
      </c>
      <c r="M7434" s="38">
        <v>0</v>
      </c>
      <c r="N7434" s="38">
        <v>0</v>
      </c>
      <c r="P7434" s="38">
        <v>0</v>
      </c>
      <c r="Q7434" s="38">
        <v>0</v>
      </c>
      <c r="R7434" s="38">
        <v>0</v>
      </c>
      <c r="U7434" s="38">
        <v>0</v>
      </c>
      <c r="V7434" s="38">
        <v>0</v>
      </c>
      <c r="W7434" s="38">
        <v>0</v>
      </c>
      <c r="X7434" s="38">
        <v>0</v>
      </c>
      <c r="Y7434" s="38">
        <v>0</v>
      </c>
      <c r="Z7434" s="38">
        <v>0</v>
      </c>
      <c r="AA7434" s="38">
        <v>0</v>
      </c>
      <c r="AB7434" s="38">
        <v>0</v>
      </c>
      <c r="AD7434" s="38">
        <v>0</v>
      </c>
    </row>
    <row r="7435" spans="1:30" x14ac:dyDescent="0.25">
      <c r="A7435" s="22">
        <v>45786</v>
      </c>
      <c r="B7435" s="38">
        <v>0</v>
      </c>
      <c r="C7435" s="38">
        <v>0</v>
      </c>
      <c r="D7435" s="38">
        <v>0</v>
      </c>
      <c r="E7435" s="38">
        <v>0</v>
      </c>
      <c r="F7435" s="38">
        <v>0</v>
      </c>
      <c r="G7435" s="38">
        <v>0</v>
      </c>
      <c r="H7435" s="38">
        <v>0</v>
      </c>
      <c r="I7435" s="38">
        <v>0.5</v>
      </c>
      <c r="J7435" s="38">
        <v>0</v>
      </c>
      <c r="K7435" s="38">
        <v>0</v>
      </c>
      <c r="L7435" s="38">
        <v>0</v>
      </c>
      <c r="M7435" s="38">
        <v>0.4</v>
      </c>
      <c r="N7435" s="38">
        <v>0</v>
      </c>
      <c r="P7435" s="38">
        <v>0</v>
      </c>
      <c r="Q7435" s="38">
        <v>3.6</v>
      </c>
      <c r="R7435" s="38">
        <v>7.5</v>
      </c>
      <c r="U7435" s="38">
        <v>0</v>
      </c>
      <c r="V7435" s="38">
        <v>0</v>
      </c>
      <c r="W7435" s="38">
        <v>0</v>
      </c>
      <c r="X7435" s="38">
        <v>0</v>
      </c>
      <c r="Y7435" s="38">
        <v>0</v>
      </c>
      <c r="Z7435" s="38">
        <v>0</v>
      </c>
      <c r="AA7435" s="38">
        <v>0</v>
      </c>
      <c r="AB7435" s="38">
        <v>0</v>
      </c>
      <c r="AD7435" s="38">
        <v>0</v>
      </c>
    </row>
    <row r="7436" spans="1:30" x14ac:dyDescent="0.25">
      <c r="A7436" s="22">
        <v>45787</v>
      </c>
      <c r="B7436" s="38">
        <v>10</v>
      </c>
      <c r="C7436" s="38">
        <v>4.2</v>
      </c>
      <c r="D7436" s="38">
        <v>4</v>
      </c>
      <c r="E7436" s="38">
        <v>0</v>
      </c>
      <c r="F7436" s="38">
        <v>2.2000000000000002</v>
      </c>
      <c r="G7436" s="38">
        <v>4.5</v>
      </c>
      <c r="H7436" s="38">
        <v>4.9000000000000004</v>
      </c>
      <c r="I7436" s="38">
        <v>0.2</v>
      </c>
      <c r="J7436" s="38">
        <v>1</v>
      </c>
      <c r="K7436" s="38">
        <v>4.2</v>
      </c>
      <c r="L7436" s="38">
        <v>3.0479999999999996</v>
      </c>
      <c r="M7436" s="38">
        <v>2.4</v>
      </c>
      <c r="N7436" s="38">
        <v>8.6</v>
      </c>
      <c r="P7436" s="38">
        <v>2</v>
      </c>
      <c r="Q7436" s="38">
        <v>0</v>
      </c>
      <c r="R7436" s="38">
        <v>3.2</v>
      </c>
      <c r="U7436" s="38">
        <v>14</v>
      </c>
      <c r="V7436" s="38">
        <v>3.2</v>
      </c>
      <c r="W7436" s="38">
        <v>4.2</v>
      </c>
      <c r="X7436" s="38">
        <v>2</v>
      </c>
      <c r="Y7436" s="38">
        <v>4.2</v>
      </c>
      <c r="Z7436" s="38">
        <v>6.8</v>
      </c>
      <c r="AA7436" s="38">
        <v>16</v>
      </c>
      <c r="AB7436" s="38">
        <v>1</v>
      </c>
      <c r="AD7436" s="38">
        <v>1.4</v>
      </c>
    </row>
    <row r="7437" spans="1:30" x14ac:dyDescent="0.25">
      <c r="A7437" s="22">
        <v>45788</v>
      </c>
      <c r="B7437" s="38">
        <v>0</v>
      </c>
      <c r="C7437" s="38">
        <v>0.8</v>
      </c>
      <c r="D7437" s="38">
        <v>2</v>
      </c>
      <c r="E7437" s="38">
        <v>0</v>
      </c>
      <c r="F7437" s="38">
        <v>0</v>
      </c>
      <c r="G7437" s="38">
        <v>1.5</v>
      </c>
      <c r="H7437" s="38">
        <v>1</v>
      </c>
      <c r="I7437" s="38">
        <v>8.6999999999999993</v>
      </c>
      <c r="J7437" s="38">
        <v>6.2</v>
      </c>
      <c r="K7437" s="38">
        <v>3.8</v>
      </c>
      <c r="L7437" s="38">
        <v>0</v>
      </c>
      <c r="M7437" s="38">
        <v>2.6</v>
      </c>
      <c r="N7437" s="38">
        <v>15.399999999999999</v>
      </c>
      <c r="P7437" s="38" t="s">
        <v>9</v>
      </c>
      <c r="Q7437" s="38">
        <v>18.2</v>
      </c>
      <c r="R7437" s="38">
        <v>0</v>
      </c>
      <c r="U7437" s="38">
        <v>8</v>
      </c>
      <c r="V7437" s="38">
        <v>1.4</v>
      </c>
      <c r="W7437" s="38">
        <v>6</v>
      </c>
      <c r="X7437" s="38">
        <v>0</v>
      </c>
      <c r="Y7437" s="38">
        <v>0</v>
      </c>
      <c r="Z7437" s="38">
        <v>0</v>
      </c>
      <c r="AA7437" s="38">
        <v>4</v>
      </c>
      <c r="AB7437" s="38">
        <v>2</v>
      </c>
      <c r="AD7437" s="38">
        <v>4.0000000000000009</v>
      </c>
    </row>
    <row r="7438" spans="1:30" x14ac:dyDescent="0.25">
      <c r="A7438" s="22">
        <v>45789</v>
      </c>
      <c r="B7438" s="38">
        <v>0</v>
      </c>
      <c r="C7438" s="38">
        <v>12</v>
      </c>
      <c r="D7438" s="38">
        <v>18.600000000000001</v>
      </c>
      <c r="E7438" s="38">
        <v>4</v>
      </c>
      <c r="F7438" s="38">
        <v>20</v>
      </c>
      <c r="G7438" s="38">
        <v>22.5</v>
      </c>
      <c r="H7438" s="38">
        <v>14.2</v>
      </c>
      <c r="I7438" s="38">
        <v>16.8</v>
      </c>
      <c r="J7438" s="38">
        <v>22.2</v>
      </c>
      <c r="K7438" s="38">
        <v>22.5</v>
      </c>
      <c r="L7438" s="38">
        <v>17.018000000000001</v>
      </c>
      <c r="M7438" s="38">
        <v>20.399999999999999</v>
      </c>
      <c r="N7438" s="38">
        <v>8.4</v>
      </c>
      <c r="P7438" s="38">
        <v>8</v>
      </c>
      <c r="Q7438" s="38">
        <v>0</v>
      </c>
      <c r="R7438" s="38">
        <v>2.1</v>
      </c>
      <c r="U7438" s="38">
        <v>28</v>
      </c>
      <c r="V7438" s="38">
        <v>4</v>
      </c>
      <c r="W7438" s="38">
        <v>17</v>
      </c>
      <c r="X7438" s="38">
        <v>30.3</v>
      </c>
      <c r="Y7438" s="38">
        <v>20</v>
      </c>
      <c r="Z7438" s="38">
        <v>24</v>
      </c>
      <c r="AA7438" s="38">
        <v>16</v>
      </c>
      <c r="AB7438" s="38">
        <v>46</v>
      </c>
      <c r="AD7438" s="38">
        <v>6.6000000000000005</v>
      </c>
    </row>
    <row r="7439" spans="1:30" x14ac:dyDescent="0.25">
      <c r="A7439" s="22">
        <v>45790</v>
      </c>
      <c r="B7439" s="38">
        <v>1</v>
      </c>
      <c r="C7439" s="38">
        <v>3.2</v>
      </c>
      <c r="D7439" s="38">
        <v>6</v>
      </c>
      <c r="E7439" s="38">
        <v>4</v>
      </c>
      <c r="F7439" s="38">
        <v>0</v>
      </c>
      <c r="G7439" s="38">
        <v>0</v>
      </c>
      <c r="H7439" s="38">
        <v>0</v>
      </c>
      <c r="I7439" s="38">
        <v>0.2</v>
      </c>
      <c r="J7439" s="38">
        <v>0</v>
      </c>
      <c r="K7439" s="38">
        <v>0</v>
      </c>
      <c r="L7439" s="38">
        <v>0.254</v>
      </c>
      <c r="M7439" s="38">
        <v>0.6</v>
      </c>
      <c r="N7439" s="38">
        <v>22.599999999999994</v>
      </c>
      <c r="P7439" s="38" t="s">
        <v>9</v>
      </c>
      <c r="Q7439" s="38">
        <v>2</v>
      </c>
      <c r="R7439" s="38">
        <v>0</v>
      </c>
      <c r="U7439" s="38">
        <v>4</v>
      </c>
      <c r="V7439" s="38">
        <v>0</v>
      </c>
      <c r="W7439" s="38">
        <v>0</v>
      </c>
      <c r="X7439" s="38">
        <v>1</v>
      </c>
      <c r="Y7439" s="38">
        <v>0</v>
      </c>
      <c r="Z7439" s="38">
        <v>0</v>
      </c>
      <c r="AA7439" s="38">
        <v>2</v>
      </c>
      <c r="AB7439" s="38">
        <v>0</v>
      </c>
      <c r="AD7439" s="38">
        <v>0</v>
      </c>
    </row>
    <row r="7440" spans="1:30" x14ac:dyDescent="0.25">
      <c r="A7440" s="22">
        <v>45791</v>
      </c>
      <c r="B7440" s="38">
        <v>7</v>
      </c>
      <c r="C7440" s="38">
        <v>6.4</v>
      </c>
      <c r="D7440" s="38">
        <v>36.4</v>
      </c>
      <c r="E7440" s="38">
        <v>0</v>
      </c>
      <c r="F7440" s="38">
        <v>9.1</v>
      </c>
      <c r="G7440" s="38">
        <v>6.5</v>
      </c>
      <c r="H7440" s="38">
        <v>2.2000000000000002</v>
      </c>
      <c r="I7440" s="38">
        <v>2.8</v>
      </c>
      <c r="J7440" s="38">
        <v>0</v>
      </c>
      <c r="K7440" s="38">
        <v>18.100000000000001</v>
      </c>
      <c r="L7440" s="38">
        <v>0</v>
      </c>
      <c r="M7440" s="38">
        <v>8.4</v>
      </c>
      <c r="N7440" s="38">
        <v>11.799999999999999</v>
      </c>
      <c r="P7440" s="38">
        <v>6</v>
      </c>
      <c r="Q7440" s="38">
        <v>2.5</v>
      </c>
      <c r="R7440" s="38">
        <v>0</v>
      </c>
      <c r="U7440" s="38">
        <v>48</v>
      </c>
      <c r="V7440" s="38">
        <v>2.4</v>
      </c>
      <c r="W7440" s="38">
        <v>3.8</v>
      </c>
      <c r="X7440" s="38">
        <v>4</v>
      </c>
      <c r="Y7440" s="38">
        <v>10</v>
      </c>
      <c r="Z7440" s="38">
        <v>14.2</v>
      </c>
      <c r="AA7440" s="38">
        <v>32</v>
      </c>
      <c r="AB7440" s="38">
        <v>0</v>
      </c>
      <c r="AD7440" s="38">
        <v>4.2</v>
      </c>
    </row>
    <row r="7441" spans="1:30" x14ac:dyDescent="0.25">
      <c r="A7441" s="22">
        <v>45792</v>
      </c>
      <c r="B7441" s="38">
        <v>0</v>
      </c>
      <c r="C7441" s="38">
        <v>5.2</v>
      </c>
      <c r="D7441" s="38">
        <v>10.199999999999999</v>
      </c>
      <c r="E7441" s="38">
        <v>0</v>
      </c>
      <c r="F7441" s="38">
        <v>1.4</v>
      </c>
      <c r="G7441" s="38">
        <v>5.0999999999999996</v>
      </c>
      <c r="H7441" s="38">
        <v>3.9</v>
      </c>
      <c r="I7441" s="38">
        <v>9.6</v>
      </c>
      <c r="J7441" s="38">
        <v>0</v>
      </c>
      <c r="K7441" s="38">
        <v>14.2</v>
      </c>
      <c r="L7441" s="38">
        <v>0</v>
      </c>
      <c r="M7441" s="38">
        <v>12.6</v>
      </c>
      <c r="N7441" s="38">
        <v>8.4</v>
      </c>
      <c r="P7441" s="38" t="s">
        <v>9</v>
      </c>
      <c r="Q7441" s="38">
        <v>6</v>
      </c>
      <c r="R7441" s="38">
        <v>0</v>
      </c>
      <c r="U7441" s="38">
        <v>3</v>
      </c>
      <c r="V7441" s="38">
        <v>13.6</v>
      </c>
      <c r="W7441" s="38">
        <v>3.8</v>
      </c>
      <c r="X7441" s="38">
        <v>0</v>
      </c>
      <c r="Y7441" s="38">
        <v>0</v>
      </c>
      <c r="Z7441" s="38">
        <v>0</v>
      </c>
      <c r="AA7441" s="38">
        <v>0</v>
      </c>
      <c r="AB7441" s="38">
        <v>0</v>
      </c>
      <c r="AD7441" s="38">
        <v>2.2000000000000002</v>
      </c>
    </row>
    <row r="7442" spans="1:30" x14ac:dyDescent="0.25">
      <c r="A7442" s="22">
        <v>45793</v>
      </c>
      <c r="B7442" s="38">
        <v>5</v>
      </c>
      <c r="C7442" s="38">
        <v>4.2</v>
      </c>
      <c r="D7442" s="38">
        <v>10</v>
      </c>
      <c r="E7442" s="38">
        <v>4</v>
      </c>
      <c r="F7442" s="38">
        <v>1.3</v>
      </c>
      <c r="G7442" s="38">
        <v>6.5</v>
      </c>
      <c r="H7442" s="38">
        <v>5.5</v>
      </c>
      <c r="I7442" s="38">
        <v>5.8</v>
      </c>
      <c r="J7442" s="38">
        <v>8.3000000000000007</v>
      </c>
      <c r="K7442" s="38">
        <v>10</v>
      </c>
      <c r="L7442" s="38">
        <v>7.3659999999999988</v>
      </c>
      <c r="M7442" s="38">
        <v>4.2</v>
      </c>
      <c r="N7442" s="38">
        <v>3</v>
      </c>
      <c r="P7442" s="38">
        <v>2</v>
      </c>
      <c r="Q7442" s="38">
        <v>3</v>
      </c>
      <c r="R7442" s="38">
        <v>2</v>
      </c>
      <c r="U7442" s="38">
        <v>0</v>
      </c>
      <c r="V7442" s="38">
        <v>4.2</v>
      </c>
      <c r="W7442" s="38">
        <v>2.2000000000000002</v>
      </c>
      <c r="X7442" s="38">
        <v>0</v>
      </c>
      <c r="Y7442" s="38">
        <v>0</v>
      </c>
      <c r="Z7442" s="38">
        <v>0</v>
      </c>
      <c r="AA7442" s="38">
        <v>2</v>
      </c>
      <c r="AB7442" s="38">
        <v>11</v>
      </c>
      <c r="AD7442" s="38">
        <v>8.4</v>
      </c>
    </row>
    <row r="7443" spans="1:30" x14ac:dyDescent="0.25">
      <c r="A7443" s="22">
        <v>45794</v>
      </c>
      <c r="B7443" s="38">
        <v>6</v>
      </c>
      <c r="C7443" s="38">
        <v>14.8</v>
      </c>
      <c r="D7443" s="38">
        <v>11.6</v>
      </c>
      <c r="E7443" s="38">
        <v>4</v>
      </c>
      <c r="F7443" s="38">
        <v>0</v>
      </c>
      <c r="G7443" s="38">
        <v>0</v>
      </c>
      <c r="H7443" s="38">
        <v>0</v>
      </c>
      <c r="I7443" s="38">
        <v>1</v>
      </c>
      <c r="J7443" s="38">
        <v>4.3</v>
      </c>
      <c r="K7443" s="38">
        <v>8.1</v>
      </c>
      <c r="L7443" s="38">
        <v>4.5719999999999992</v>
      </c>
      <c r="M7443" s="38">
        <v>0</v>
      </c>
      <c r="N7443" s="38">
        <v>8.0000000000000018</v>
      </c>
      <c r="P7443" s="38">
        <v>12</v>
      </c>
      <c r="Q7443" s="38">
        <v>1.5</v>
      </c>
      <c r="R7443" s="38">
        <v>0</v>
      </c>
      <c r="U7443" s="38">
        <v>0</v>
      </c>
      <c r="V7443" s="38">
        <v>0</v>
      </c>
      <c r="W7443" s="38">
        <v>1</v>
      </c>
      <c r="X7443" s="38">
        <v>2</v>
      </c>
      <c r="Y7443" s="38">
        <v>2.8</v>
      </c>
      <c r="Z7443" s="38">
        <v>3.4</v>
      </c>
      <c r="AA7443" s="38">
        <v>0</v>
      </c>
      <c r="AB7443" s="38">
        <v>22</v>
      </c>
      <c r="AD7443" s="38">
        <v>8.3999999999999986</v>
      </c>
    </row>
    <row r="7444" spans="1:30" x14ac:dyDescent="0.25">
      <c r="A7444" s="22">
        <v>45795</v>
      </c>
      <c r="B7444" s="38">
        <v>10</v>
      </c>
      <c r="C7444" s="38">
        <v>4.2</v>
      </c>
      <c r="D7444" s="38">
        <v>4</v>
      </c>
      <c r="E7444" s="38">
        <v>17</v>
      </c>
      <c r="F7444" s="38">
        <v>0.4</v>
      </c>
      <c r="G7444" s="38">
        <v>8.5</v>
      </c>
      <c r="H7444" s="38">
        <v>1</v>
      </c>
      <c r="I7444" s="38">
        <v>4</v>
      </c>
      <c r="J7444" s="38">
        <v>1</v>
      </c>
      <c r="K7444" s="38">
        <v>4.2</v>
      </c>
      <c r="L7444" s="38">
        <v>2.794</v>
      </c>
      <c r="M7444" s="38">
        <v>2</v>
      </c>
      <c r="N7444" s="38">
        <v>3.6</v>
      </c>
      <c r="P7444" s="38">
        <v>2</v>
      </c>
      <c r="Q7444" s="38">
        <v>0</v>
      </c>
      <c r="R7444" s="38">
        <v>4.2</v>
      </c>
      <c r="U7444" s="38">
        <v>0</v>
      </c>
      <c r="V7444" s="38">
        <v>2</v>
      </c>
      <c r="W7444" s="38">
        <v>1.4</v>
      </c>
      <c r="X7444" s="38">
        <v>0.4</v>
      </c>
      <c r="Y7444" s="38">
        <v>0</v>
      </c>
      <c r="Z7444" s="38">
        <v>0</v>
      </c>
      <c r="AA7444" s="38">
        <v>0</v>
      </c>
      <c r="AB7444" s="38">
        <v>7</v>
      </c>
      <c r="AD7444" s="38">
        <v>0.60000000000000009</v>
      </c>
    </row>
    <row r="7445" spans="1:30" x14ac:dyDescent="0.25">
      <c r="A7445" s="22">
        <v>45796</v>
      </c>
      <c r="B7445" s="38">
        <v>0</v>
      </c>
      <c r="C7445" s="38">
        <v>6.8</v>
      </c>
      <c r="D7445" s="38">
        <v>2</v>
      </c>
      <c r="E7445" s="38">
        <v>0</v>
      </c>
      <c r="F7445" s="38">
        <v>3.2</v>
      </c>
      <c r="G7445" s="38">
        <v>5.5</v>
      </c>
      <c r="H7445" s="38">
        <v>3</v>
      </c>
      <c r="I7445" s="38">
        <v>4</v>
      </c>
      <c r="J7445" s="38">
        <v>2</v>
      </c>
      <c r="K7445" s="38">
        <v>4</v>
      </c>
      <c r="L7445" s="38">
        <v>0</v>
      </c>
      <c r="M7445" s="38">
        <v>5.3</v>
      </c>
      <c r="N7445" s="38">
        <v>12.199999999999998</v>
      </c>
      <c r="P7445" s="38">
        <v>0</v>
      </c>
      <c r="Q7445" s="38">
        <v>0.9</v>
      </c>
      <c r="R7445" s="38">
        <v>2</v>
      </c>
      <c r="U7445" s="38">
        <v>4</v>
      </c>
      <c r="V7445" s="38">
        <v>8.6</v>
      </c>
      <c r="W7445" s="38">
        <v>10.4</v>
      </c>
      <c r="X7445" s="38">
        <v>1.5</v>
      </c>
      <c r="Y7445" s="38">
        <v>0</v>
      </c>
      <c r="Z7445" s="38">
        <v>0</v>
      </c>
      <c r="AA7445" s="38">
        <v>2</v>
      </c>
      <c r="AB7445" s="38">
        <v>0</v>
      </c>
      <c r="AD7445" s="38">
        <v>18.599999999999994</v>
      </c>
    </row>
    <row r="7446" spans="1:30" x14ac:dyDescent="0.25">
      <c r="A7446" s="22">
        <v>45797</v>
      </c>
      <c r="B7446" s="38">
        <v>2</v>
      </c>
      <c r="C7446" s="38">
        <v>6.4</v>
      </c>
      <c r="D7446" s="38">
        <v>8</v>
      </c>
      <c r="E7446" s="38">
        <v>4</v>
      </c>
      <c r="F7446" s="38">
        <v>2.4</v>
      </c>
      <c r="G7446" s="38">
        <v>14</v>
      </c>
      <c r="H7446" s="38">
        <v>8</v>
      </c>
      <c r="I7446" s="38">
        <v>15.8</v>
      </c>
      <c r="J7446" s="38">
        <v>14</v>
      </c>
      <c r="K7446" s="38">
        <v>6.4</v>
      </c>
      <c r="L7446" s="38">
        <v>3.556</v>
      </c>
      <c r="M7446" s="38">
        <v>8.1</v>
      </c>
      <c r="N7446" s="38">
        <v>3.6</v>
      </c>
      <c r="P7446" s="38">
        <v>2</v>
      </c>
      <c r="Q7446" s="38">
        <v>0.3</v>
      </c>
      <c r="R7446" s="38">
        <v>0</v>
      </c>
      <c r="U7446" s="38">
        <v>4</v>
      </c>
      <c r="V7446" s="38">
        <v>6.2</v>
      </c>
      <c r="W7446" s="38">
        <v>7</v>
      </c>
      <c r="X7446" s="38">
        <v>2</v>
      </c>
      <c r="Y7446" s="38">
        <v>0.8</v>
      </c>
      <c r="Z7446" s="38">
        <v>1.4</v>
      </c>
      <c r="AA7446" s="38">
        <v>4</v>
      </c>
      <c r="AB7446" s="38">
        <v>3</v>
      </c>
      <c r="AD7446" s="38">
        <v>0.4</v>
      </c>
    </row>
    <row r="7447" spans="1:30" x14ac:dyDescent="0.25">
      <c r="A7447" s="22">
        <v>45798</v>
      </c>
      <c r="B7447" s="38">
        <v>0</v>
      </c>
      <c r="C7447" s="38">
        <v>3.6</v>
      </c>
      <c r="D7447" s="38">
        <v>2.6</v>
      </c>
      <c r="E7447" s="38">
        <v>0</v>
      </c>
      <c r="F7447" s="38">
        <v>0</v>
      </c>
      <c r="G7447" s="38">
        <v>1.5</v>
      </c>
      <c r="H7447" s="38">
        <v>0.2</v>
      </c>
      <c r="I7447" s="38">
        <v>1.2</v>
      </c>
      <c r="J7447" s="38">
        <v>1.2</v>
      </c>
      <c r="K7447" s="38">
        <v>1</v>
      </c>
      <c r="L7447" s="38">
        <v>0</v>
      </c>
      <c r="M7447" s="38">
        <v>0.6</v>
      </c>
      <c r="N7447" s="38">
        <v>0</v>
      </c>
      <c r="P7447" s="38">
        <v>2</v>
      </c>
      <c r="Q7447" s="38">
        <v>0</v>
      </c>
      <c r="R7447" s="38">
        <v>0</v>
      </c>
      <c r="U7447" s="38">
        <v>0</v>
      </c>
      <c r="W7447" s="38">
        <v>10.8</v>
      </c>
      <c r="X7447" s="38">
        <v>0</v>
      </c>
      <c r="Y7447" s="38">
        <v>0</v>
      </c>
      <c r="Z7447" s="38">
        <v>0</v>
      </c>
      <c r="AA7447" s="38">
        <v>0</v>
      </c>
      <c r="AB7447" s="38">
        <v>6</v>
      </c>
      <c r="AD7447" s="38">
        <v>3.4</v>
      </c>
    </row>
    <row r="7448" spans="1:30" x14ac:dyDescent="0.25">
      <c r="A7448" s="22">
        <v>45799</v>
      </c>
      <c r="B7448" s="38">
        <v>0</v>
      </c>
      <c r="C7448" s="38">
        <v>0</v>
      </c>
      <c r="D7448" s="38">
        <v>0</v>
      </c>
      <c r="E7448" s="38">
        <v>4</v>
      </c>
      <c r="F7448" s="38">
        <v>0.5</v>
      </c>
      <c r="G7448" s="38">
        <v>1.5</v>
      </c>
      <c r="H7448" s="38">
        <v>0</v>
      </c>
      <c r="I7448" s="38">
        <v>0.1</v>
      </c>
      <c r="J7448" s="38">
        <v>0</v>
      </c>
      <c r="K7448" s="38">
        <v>1.6</v>
      </c>
      <c r="L7448" s="38">
        <v>0</v>
      </c>
      <c r="M7448" s="38">
        <v>0</v>
      </c>
      <c r="N7448" s="38">
        <v>0</v>
      </c>
      <c r="P7448" s="38">
        <v>0</v>
      </c>
      <c r="Q7448" s="38">
        <v>1</v>
      </c>
      <c r="R7448" s="38">
        <v>0</v>
      </c>
      <c r="U7448" s="38">
        <v>0</v>
      </c>
      <c r="V7448" s="38">
        <v>0</v>
      </c>
      <c r="W7448" s="38">
        <v>0</v>
      </c>
      <c r="X7448" s="38">
        <v>0</v>
      </c>
      <c r="Y7448" s="38">
        <v>0</v>
      </c>
      <c r="Z7448" s="38">
        <v>0</v>
      </c>
      <c r="AA7448" s="38">
        <v>0</v>
      </c>
      <c r="AB7448" s="38">
        <v>0</v>
      </c>
      <c r="AD7448" s="38">
        <v>0.4</v>
      </c>
    </row>
    <row r="7449" spans="1:30" x14ac:dyDescent="0.25">
      <c r="A7449" s="22">
        <v>45800</v>
      </c>
      <c r="B7449" s="38">
        <v>10</v>
      </c>
      <c r="C7449" s="38">
        <v>0</v>
      </c>
      <c r="D7449" s="38">
        <v>4</v>
      </c>
      <c r="E7449" s="38">
        <v>0</v>
      </c>
      <c r="F7449" s="38">
        <v>0</v>
      </c>
      <c r="G7449" s="38">
        <v>2</v>
      </c>
      <c r="H7449" s="38">
        <v>0</v>
      </c>
      <c r="I7449" s="38">
        <v>2.4</v>
      </c>
      <c r="J7449" s="38">
        <v>0.2</v>
      </c>
      <c r="K7449" s="38">
        <v>2.4</v>
      </c>
      <c r="L7449" s="38">
        <v>1.5239999999999998</v>
      </c>
      <c r="M7449" s="38">
        <v>3.1</v>
      </c>
      <c r="N7449" s="38">
        <v>4.5999999999999996</v>
      </c>
      <c r="P7449" s="38">
        <v>0</v>
      </c>
      <c r="Q7449" s="38">
        <v>4.2</v>
      </c>
      <c r="R7449" s="38">
        <v>2.1</v>
      </c>
      <c r="U7449" s="38">
        <v>0</v>
      </c>
      <c r="V7449" s="38">
        <v>1.6</v>
      </c>
      <c r="W7449" s="38">
        <v>2.4</v>
      </c>
      <c r="X7449" s="38">
        <v>0</v>
      </c>
      <c r="Y7449" s="38">
        <v>0</v>
      </c>
      <c r="Z7449" s="38">
        <v>0</v>
      </c>
      <c r="AA7449" s="38">
        <v>0</v>
      </c>
      <c r="AB7449" s="38">
        <v>0</v>
      </c>
      <c r="AD7449" s="38">
        <v>0</v>
      </c>
    </row>
    <row r="7450" spans="1:30" x14ac:dyDescent="0.25">
      <c r="A7450" s="22">
        <v>45801</v>
      </c>
      <c r="B7450" s="38">
        <v>0</v>
      </c>
      <c r="C7450" s="38">
        <v>0</v>
      </c>
      <c r="D7450" s="38">
        <v>13.8</v>
      </c>
      <c r="E7450" s="38">
        <v>0</v>
      </c>
      <c r="F7450" s="38">
        <v>3.3</v>
      </c>
      <c r="G7450" s="38">
        <v>3</v>
      </c>
      <c r="H7450" s="38">
        <v>5.5</v>
      </c>
      <c r="I7450" s="38">
        <v>5</v>
      </c>
      <c r="J7450" s="38">
        <v>1.1000000000000001</v>
      </c>
      <c r="K7450" s="38">
        <v>5</v>
      </c>
      <c r="L7450" s="38">
        <v>11.937999999999999</v>
      </c>
      <c r="M7450" s="38">
        <v>5.6</v>
      </c>
      <c r="N7450" s="38">
        <v>12.799999999999997</v>
      </c>
      <c r="P7450" s="38">
        <v>4</v>
      </c>
      <c r="Q7450" s="38">
        <v>16.8</v>
      </c>
      <c r="R7450" s="38">
        <v>0</v>
      </c>
      <c r="U7450" s="38">
        <v>14</v>
      </c>
      <c r="V7450" s="38">
        <v>4.8</v>
      </c>
      <c r="W7450" s="38">
        <v>6.8</v>
      </c>
      <c r="X7450" s="38">
        <v>4</v>
      </c>
      <c r="Y7450" s="38">
        <v>2</v>
      </c>
      <c r="Z7450" s="38">
        <v>0.8</v>
      </c>
      <c r="AA7450" s="38">
        <v>2</v>
      </c>
      <c r="AB7450" s="38">
        <v>5</v>
      </c>
      <c r="AD7450" s="38">
        <v>3.2</v>
      </c>
    </row>
    <row r="7451" spans="1:30" x14ac:dyDescent="0.25">
      <c r="A7451" s="22">
        <v>45802</v>
      </c>
      <c r="B7451" s="38">
        <v>10</v>
      </c>
      <c r="C7451" s="38">
        <v>29.6</v>
      </c>
      <c r="D7451" s="38">
        <v>14</v>
      </c>
      <c r="E7451" s="38">
        <v>30</v>
      </c>
      <c r="F7451" s="38">
        <v>7</v>
      </c>
      <c r="G7451" s="38">
        <v>10.5</v>
      </c>
      <c r="H7451" s="38">
        <v>8.1999999999999993</v>
      </c>
      <c r="I7451" s="38">
        <v>7.2</v>
      </c>
      <c r="J7451" s="38">
        <v>26</v>
      </c>
      <c r="K7451" s="38">
        <v>29</v>
      </c>
      <c r="L7451" s="38">
        <v>10.667999999999999</v>
      </c>
      <c r="M7451" s="38">
        <v>5.4</v>
      </c>
      <c r="N7451" s="38">
        <v>12.799999999999999</v>
      </c>
      <c r="P7451" s="38">
        <v>12</v>
      </c>
      <c r="Q7451" s="38">
        <v>1.3</v>
      </c>
      <c r="R7451" s="38">
        <v>2</v>
      </c>
      <c r="U7451" s="38">
        <v>11</v>
      </c>
      <c r="V7451" s="38">
        <v>6.2</v>
      </c>
      <c r="W7451" s="38">
        <v>8.6</v>
      </c>
      <c r="X7451" s="38">
        <v>8</v>
      </c>
      <c r="Y7451" s="38">
        <v>5.6</v>
      </c>
      <c r="Z7451" s="38">
        <v>10</v>
      </c>
      <c r="AA7451" s="38">
        <v>10</v>
      </c>
      <c r="AB7451" s="38">
        <v>6</v>
      </c>
      <c r="AD7451" s="38">
        <v>10</v>
      </c>
    </row>
    <row r="7452" spans="1:30" x14ac:dyDescent="0.25">
      <c r="A7452" s="22">
        <v>45803</v>
      </c>
      <c r="B7452" s="38">
        <v>4</v>
      </c>
      <c r="C7452" s="38">
        <v>2</v>
      </c>
      <c r="D7452" s="38">
        <v>3.2</v>
      </c>
      <c r="E7452" s="38">
        <v>0</v>
      </c>
      <c r="F7452" s="38">
        <v>1</v>
      </c>
      <c r="G7452" s="38">
        <v>4.5</v>
      </c>
      <c r="H7452" s="38">
        <v>0.2</v>
      </c>
      <c r="I7452" s="38">
        <v>2.5</v>
      </c>
      <c r="J7452" s="38">
        <v>1</v>
      </c>
      <c r="K7452" s="38">
        <v>1</v>
      </c>
      <c r="L7452" s="38">
        <v>1.016</v>
      </c>
      <c r="M7452" s="38">
        <v>3.8</v>
      </c>
      <c r="N7452" s="38">
        <v>2.6</v>
      </c>
      <c r="P7452" s="38">
        <v>2</v>
      </c>
      <c r="Q7452" s="38">
        <v>1</v>
      </c>
      <c r="R7452" s="38">
        <v>1</v>
      </c>
      <c r="U7452" s="38">
        <v>20</v>
      </c>
      <c r="V7452" s="38">
        <v>0</v>
      </c>
      <c r="W7452" s="38">
        <v>0</v>
      </c>
      <c r="X7452" s="38">
        <v>2</v>
      </c>
      <c r="Y7452" s="38">
        <v>6</v>
      </c>
      <c r="Z7452" s="38">
        <v>2</v>
      </c>
      <c r="AA7452" s="38">
        <v>6</v>
      </c>
      <c r="AB7452" s="38">
        <v>3</v>
      </c>
      <c r="AD7452" s="38">
        <v>1.4</v>
      </c>
    </row>
    <row r="7453" spans="1:30" x14ac:dyDescent="0.25">
      <c r="A7453" s="22">
        <v>45804</v>
      </c>
      <c r="B7453" s="38">
        <v>3</v>
      </c>
      <c r="C7453" s="38">
        <v>3.6</v>
      </c>
      <c r="D7453" s="38">
        <v>4</v>
      </c>
      <c r="E7453" s="38">
        <v>0</v>
      </c>
      <c r="F7453" s="38">
        <v>0.4</v>
      </c>
      <c r="G7453" s="38">
        <v>5.5</v>
      </c>
      <c r="H7453" s="38">
        <v>2</v>
      </c>
      <c r="I7453" s="38">
        <v>1.1000000000000001</v>
      </c>
      <c r="J7453" s="38">
        <v>6</v>
      </c>
      <c r="K7453" s="38">
        <v>7</v>
      </c>
      <c r="L7453" s="38">
        <v>0.50800000000000001</v>
      </c>
      <c r="M7453" s="38">
        <v>5</v>
      </c>
      <c r="N7453" s="38">
        <v>4.0000000000000009</v>
      </c>
      <c r="P7453" s="38">
        <v>0</v>
      </c>
      <c r="Q7453" s="38">
        <v>0.7</v>
      </c>
      <c r="R7453" s="38">
        <v>0</v>
      </c>
      <c r="U7453" s="38">
        <v>4</v>
      </c>
      <c r="V7453" s="38">
        <v>6.8</v>
      </c>
      <c r="W7453" s="38">
        <v>4.4000000000000004</v>
      </c>
      <c r="X7453" s="38">
        <v>1</v>
      </c>
      <c r="Y7453" s="38">
        <v>0</v>
      </c>
      <c r="Z7453" s="38">
        <v>2</v>
      </c>
      <c r="AA7453" s="38">
        <v>2</v>
      </c>
      <c r="AB7453" s="38">
        <v>0</v>
      </c>
      <c r="AD7453" s="38">
        <v>8.4</v>
      </c>
    </row>
    <row r="7454" spans="1:30" x14ac:dyDescent="0.25">
      <c r="A7454" s="22">
        <v>45805</v>
      </c>
      <c r="B7454" s="38">
        <v>0</v>
      </c>
      <c r="C7454" s="38">
        <v>0.4</v>
      </c>
      <c r="D7454" s="38">
        <v>1.6</v>
      </c>
      <c r="E7454" s="38">
        <v>0</v>
      </c>
      <c r="F7454" s="38">
        <v>0</v>
      </c>
      <c r="G7454" s="38">
        <v>3.5</v>
      </c>
      <c r="H7454" s="38">
        <v>0</v>
      </c>
      <c r="I7454" s="38">
        <v>8</v>
      </c>
      <c r="J7454" s="38">
        <v>1.1000000000000001</v>
      </c>
      <c r="K7454" s="38">
        <v>1</v>
      </c>
      <c r="L7454" s="38">
        <v>1.5239999999999998</v>
      </c>
      <c r="M7454" s="38">
        <v>0</v>
      </c>
      <c r="N7454" s="38">
        <v>2.4</v>
      </c>
      <c r="P7454" s="38">
        <v>0</v>
      </c>
      <c r="Q7454" s="38">
        <v>13.2</v>
      </c>
      <c r="R7454" s="38">
        <v>0</v>
      </c>
      <c r="U7454" s="38">
        <v>4</v>
      </c>
      <c r="V7454" s="38">
        <v>0</v>
      </c>
      <c r="W7454" s="38">
        <v>3.2</v>
      </c>
      <c r="X7454" s="38">
        <v>0</v>
      </c>
      <c r="Y7454" s="38">
        <v>4</v>
      </c>
      <c r="Z7454" s="38">
        <v>0</v>
      </c>
      <c r="AA7454" s="38">
        <v>2</v>
      </c>
      <c r="AB7454" s="38">
        <v>3</v>
      </c>
      <c r="AD7454" s="38">
        <v>0.4</v>
      </c>
    </row>
    <row r="7455" spans="1:30" x14ac:dyDescent="0.25">
      <c r="A7455" s="22">
        <v>45806</v>
      </c>
      <c r="B7455" s="38">
        <v>12</v>
      </c>
      <c r="C7455" s="38">
        <v>0.4</v>
      </c>
      <c r="D7455" s="38">
        <v>12.2</v>
      </c>
      <c r="E7455" s="38">
        <v>0</v>
      </c>
      <c r="F7455" s="38">
        <v>15.4</v>
      </c>
      <c r="G7455" s="38">
        <v>1.4</v>
      </c>
      <c r="H7455" s="38">
        <v>13</v>
      </c>
      <c r="I7455" s="38">
        <v>0.3</v>
      </c>
      <c r="J7455" s="38">
        <v>1.1000000000000001</v>
      </c>
      <c r="K7455" s="38">
        <v>12.8</v>
      </c>
      <c r="L7455" s="38">
        <v>8.8899999999999988</v>
      </c>
      <c r="M7455" s="38">
        <v>10.8</v>
      </c>
      <c r="N7455" s="38">
        <v>21.599999999999994</v>
      </c>
      <c r="P7455" s="38">
        <v>8</v>
      </c>
      <c r="Q7455" s="38">
        <v>29.3</v>
      </c>
      <c r="R7455" s="38">
        <v>8.1999999999999993</v>
      </c>
      <c r="U7455" s="38">
        <v>15</v>
      </c>
      <c r="V7455" s="38">
        <v>0</v>
      </c>
      <c r="W7455" s="38">
        <v>2</v>
      </c>
      <c r="X7455" s="38">
        <v>14</v>
      </c>
      <c r="Y7455" s="38">
        <v>16</v>
      </c>
      <c r="Z7455" s="38">
        <v>12</v>
      </c>
      <c r="AA7455" s="38">
        <v>8</v>
      </c>
      <c r="AB7455" s="38">
        <v>0</v>
      </c>
      <c r="AD7455" s="38">
        <v>6.2000000000000011</v>
      </c>
    </row>
    <row r="7456" spans="1:30" x14ac:dyDescent="0.25">
      <c r="A7456" s="22">
        <v>45807</v>
      </c>
      <c r="B7456" s="38">
        <v>32</v>
      </c>
      <c r="C7456" s="38">
        <v>58.4</v>
      </c>
      <c r="D7456" s="38">
        <v>22</v>
      </c>
      <c r="E7456" s="38">
        <v>42</v>
      </c>
      <c r="F7456" s="38">
        <v>11.2</v>
      </c>
      <c r="G7456" s="38">
        <v>14.5</v>
      </c>
      <c r="H7456" s="38">
        <v>11.2</v>
      </c>
      <c r="I7456" s="38">
        <v>17.100000000000001</v>
      </c>
      <c r="J7456" s="38">
        <v>18.399999999999999</v>
      </c>
      <c r="K7456" s="38">
        <v>19.2</v>
      </c>
      <c r="L7456" s="38">
        <v>29.717999999999996</v>
      </c>
      <c r="M7456" s="38">
        <v>12.4</v>
      </c>
      <c r="N7456" s="38">
        <v>21.599999999999994</v>
      </c>
      <c r="P7456" s="38">
        <v>29</v>
      </c>
      <c r="Q7456" s="38">
        <v>6.7</v>
      </c>
      <c r="R7456" s="38">
        <v>27</v>
      </c>
      <c r="U7456" s="38">
        <v>20</v>
      </c>
      <c r="V7456" s="38">
        <v>4.8</v>
      </c>
      <c r="X7456" s="38">
        <v>15</v>
      </c>
      <c r="Y7456" s="38">
        <v>18.2</v>
      </c>
      <c r="Z7456" s="38">
        <v>14</v>
      </c>
      <c r="AA7456" s="38">
        <v>16</v>
      </c>
      <c r="AB7456" s="38">
        <v>12</v>
      </c>
      <c r="AD7456" s="38">
        <v>6.0000000000000018</v>
      </c>
    </row>
    <row r="7457" spans="1:30" x14ac:dyDescent="0.25">
      <c r="A7457" s="22">
        <v>45808</v>
      </c>
      <c r="B7457" s="38">
        <v>18</v>
      </c>
      <c r="C7457" s="38">
        <v>14.8</v>
      </c>
      <c r="D7457" s="38">
        <v>22.4</v>
      </c>
      <c r="F7457" s="38">
        <v>10.199999999999999</v>
      </c>
      <c r="G7457" s="38">
        <v>16.5</v>
      </c>
      <c r="H7457" s="38">
        <v>12.9</v>
      </c>
      <c r="I7457" s="38">
        <v>10.3</v>
      </c>
      <c r="K7457" s="38">
        <v>16</v>
      </c>
      <c r="L7457" s="38">
        <v>10.413999999999998</v>
      </c>
      <c r="M7457" s="38">
        <v>13.6</v>
      </c>
      <c r="N7457" s="38">
        <v>16.599999999999998</v>
      </c>
      <c r="P7457" s="38">
        <v>12</v>
      </c>
      <c r="Q7457" s="38">
        <v>2.2000000000000002</v>
      </c>
      <c r="R7457" s="38">
        <v>6</v>
      </c>
      <c r="U7457" s="38">
        <v>22</v>
      </c>
      <c r="V7457" s="38">
        <v>0</v>
      </c>
      <c r="W7457" s="38">
        <v>10.6</v>
      </c>
      <c r="X7457" s="38">
        <v>12</v>
      </c>
      <c r="Y7457" s="38">
        <v>12</v>
      </c>
      <c r="Z7457" s="38">
        <v>16.2</v>
      </c>
      <c r="AA7457" s="38">
        <v>6</v>
      </c>
      <c r="AB7457" s="38" t="s">
        <v>9</v>
      </c>
      <c r="AD7457" s="38">
        <v>8.0000000000000018</v>
      </c>
    </row>
    <row r="7458" spans="1:30" x14ac:dyDescent="0.25">
      <c r="A7458" s="22">
        <v>45809</v>
      </c>
      <c r="B7458" s="38">
        <v>5</v>
      </c>
      <c r="C7458" s="38">
        <v>4.2</v>
      </c>
      <c r="D7458" s="38">
        <v>2</v>
      </c>
      <c r="E7458" s="38">
        <v>17</v>
      </c>
      <c r="F7458" s="38" t="s">
        <v>9</v>
      </c>
      <c r="G7458" s="38">
        <v>1.5</v>
      </c>
      <c r="H7458" s="38">
        <v>0.2</v>
      </c>
      <c r="I7458" s="38">
        <v>0.2</v>
      </c>
      <c r="J7458" s="38">
        <v>1</v>
      </c>
      <c r="K7458" s="38">
        <v>0</v>
      </c>
      <c r="L7458" s="38">
        <v>3.8099999999999996</v>
      </c>
      <c r="M7458" s="38">
        <v>0.2</v>
      </c>
      <c r="N7458" s="38">
        <v>0.60000000000000009</v>
      </c>
      <c r="P7458" s="38">
        <v>2</v>
      </c>
      <c r="Q7458" s="38">
        <v>0.7</v>
      </c>
      <c r="R7458" s="38">
        <v>3</v>
      </c>
      <c r="U7458" s="38">
        <v>0</v>
      </c>
      <c r="V7458" s="38">
        <v>2</v>
      </c>
      <c r="W7458" s="38">
        <v>0</v>
      </c>
      <c r="X7458" s="38" t="s">
        <v>9</v>
      </c>
      <c r="Y7458" s="38" t="s">
        <v>9</v>
      </c>
      <c r="Z7458" s="38" t="s">
        <v>9</v>
      </c>
      <c r="AA7458" s="38">
        <v>4</v>
      </c>
      <c r="AB7458" s="38">
        <v>2</v>
      </c>
      <c r="AC7458" s="39">
        <v>0.4</v>
      </c>
      <c r="AD7458" s="38">
        <v>0</v>
      </c>
    </row>
    <row r="7459" spans="1:30" x14ac:dyDescent="0.25">
      <c r="A7459" s="22">
        <v>45810</v>
      </c>
      <c r="B7459" s="38">
        <v>0</v>
      </c>
      <c r="C7459" s="38">
        <v>0.4</v>
      </c>
      <c r="D7459" s="38">
        <v>0.2</v>
      </c>
      <c r="E7459" s="38">
        <v>0</v>
      </c>
      <c r="F7459" s="38" t="s">
        <v>9</v>
      </c>
      <c r="G7459" s="38">
        <v>0</v>
      </c>
      <c r="H7459" s="38" t="s">
        <v>9</v>
      </c>
      <c r="I7459" s="38">
        <v>0</v>
      </c>
      <c r="J7459" s="38">
        <v>0.1</v>
      </c>
      <c r="K7459" s="38">
        <v>0</v>
      </c>
      <c r="L7459" s="38">
        <v>1.778</v>
      </c>
      <c r="M7459" s="38">
        <v>0</v>
      </c>
      <c r="N7459" s="38">
        <v>0</v>
      </c>
      <c r="P7459" s="38" t="s">
        <v>9</v>
      </c>
      <c r="Q7459" s="38">
        <v>0.8</v>
      </c>
      <c r="R7459" s="38">
        <v>2.2000000000000002</v>
      </c>
      <c r="U7459" s="38">
        <v>0</v>
      </c>
      <c r="V7459" s="38">
        <v>0</v>
      </c>
      <c r="W7459" s="38">
        <v>0</v>
      </c>
      <c r="X7459" s="38" t="s">
        <v>9</v>
      </c>
      <c r="Y7459" s="38">
        <v>0</v>
      </c>
      <c r="Z7459" s="38">
        <v>0</v>
      </c>
      <c r="AA7459" s="38">
        <v>0</v>
      </c>
      <c r="AB7459" s="38">
        <v>1</v>
      </c>
      <c r="AC7459" s="39">
        <v>0.2</v>
      </c>
      <c r="AD7459" s="38">
        <v>0</v>
      </c>
    </row>
    <row r="7460" spans="1:30" x14ac:dyDescent="0.25">
      <c r="A7460" s="22">
        <v>45811</v>
      </c>
      <c r="B7460" s="38">
        <v>13</v>
      </c>
      <c r="C7460" s="38">
        <v>2.8</v>
      </c>
      <c r="D7460" s="38">
        <v>7.6</v>
      </c>
      <c r="E7460" s="38">
        <v>0</v>
      </c>
      <c r="F7460" s="38" t="s">
        <v>9</v>
      </c>
      <c r="G7460" s="38">
        <v>1.5</v>
      </c>
      <c r="H7460" s="38" t="s">
        <v>9</v>
      </c>
      <c r="I7460" s="38">
        <v>1.1000000000000001</v>
      </c>
      <c r="J7460" s="38">
        <v>1</v>
      </c>
      <c r="K7460" s="38">
        <v>1.2</v>
      </c>
      <c r="L7460" s="38">
        <v>1.016</v>
      </c>
      <c r="M7460" s="38">
        <v>0</v>
      </c>
      <c r="N7460" s="38">
        <v>5.3999999999999995</v>
      </c>
      <c r="P7460" s="38">
        <v>1</v>
      </c>
      <c r="Q7460" s="38">
        <v>13.7</v>
      </c>
      <c r="R7460" s="38">
        <v>18.100000000000001</v>
      </c>
      <c r="U7460" s="38">
        <v>4</v>
      </c>
      <c r="V7460" s="38">
        <v>1.4</v>
      </c>
      <c r="W7460" s="38">
        <v>3</v>
      </c>
      <c r="X7460" s="38">
        <v>0</v>
      </c>
      <c r="Y7460" s="38">
        <v>6</v>
      </c>
      <c r="Z7460" s="38">
        <v>4.5</v>
      </c>
      <c r="AA7460" s="38">
        <v>0</v>
      </c>
      <c r="AB7460" s="38">
        <v>7</v>
      </c>
      <c r="AC7460" s="39">
        <v>0.4</v>
      </c>
      <c r="AD7460" s="38">
        <v>2.8000000000000003</v>
      </c>
    </row>
    <row r="7461" spans="1:30" x14ac:dyDescent="0.25">
      <c r="A7461" s="22">
        <v>45812</v>
      </c>
      <c r="B7461" s="38">
        <v>7</v>
      </c>
      <c r="C7461" s="38">
        <v>3.6</v>
      </c>
      <c r="D7461" s="38">
        <v>10.4</v>
      </c>
      <c r="E7461" s="38">
        <v>8</v>
      </c>
      <c r="F7461" s="38" t="s">
        <v>9</v>
      </c>
      <c r="G7461" s="38">
        <v>8.8000000000000007</v>
      </c>
      <c r="H7461" s="38">
        <v>5</v>
      </c>
      <c r="I7461" s="38">
        <v>6</v>
      </c>
      <c r="J7461" s="38">
        <v>24.2</v>
      </c>
      <c r="K7461" s="38">
        <v>20.5</v>
      </c>
      <c r="L7461" s="38">
        <v>3.556</v>
      </c>
      <c r="M7461" s="38">
        <v>7</v>
      </c>
      <c r="N7461" s="38">
        <v>14.599999999999998</v>
      </c>
      <c r="P7461" s="38" t="s">
        <v>9</v>
      </c>
      <c r="Q7461" s="38">
        <v>0</v>
      </c>
      <c r="R7461" s="38">
        <v>0</v>
      </c>
      <c r="U7461" s="38">
        <v>5</v>
      </c>
      <c r="V7461" s="38">
        <v>1</v>
      </c>
      <c r="W7461" s="38">
        <v>2.2000000000000002</v>
      </c>
      <c r="X7461" s="38" t="s">
        <v>9</v>
      </c>
      <c r="Y7461" s="38" t="s">
        <v>9</v>
      </c>
      <c r="Z7461" s="38" t="s">
        <v>9</v>
      </c>
      <c r="AA7461" s="38">
        <v>3</v>
      </c>
      <c r="AB7461" s="38">
        <v>3</v>
      </c>
      <c r="AC7461" s="39">
        <v>4.2000000000000011</v>
      </c>
      <c r="AD7461" s="38">
        <v>4.0000000000000009</v>
      </c>
    </row>
    <row r="7462" spans="1:30" x14ac:dyDescent="0.25">
      <c r="A7462" s="22">
        <v>45813</v>
      </c>
      <c r="B7462" s="38">
        <v>0</v>
      </c>
      <c r="C7462" s="38">
        <v>2.4</v>
      </c>
      <c r="D7462" s="38">
        <v>1.2</v>
      </c>
      <c r="E7462" s="38">
        <v>0</v>
      </c>
      <c r="F7462" s="38" t="s">
        <v>9</v>
      </c>
      <c r="G7462" s="38">
        <v>3</v>
      </c>
      <c r="H7462" s="38" t="s">
        <v>9</v>
      </c>
      <c r="I7462" s="38">
        <v>3.7</v>
      </c>
      <c r="J7462" s="38">
        <v>0</v>
      </c>
      <c r="K7462" s="38">
        <v>2.2000000000000002</v>
      </c>
      <c r="L7462" s="38">
        <v>1.016</v>
      </c>
      <c r="M7462" s="38">
        <v>3.6</v>
      </c>
      <c r="N7462" s="38">
        <v>0</v>
      </c>
      <c r="P7462" s="38">
        <v>0</v>
      </c>
      <c r="Q7462" s="38">
        <v>9</v>
      </c>
      <c r="R7462" s="38">
        <v>10</v>
      </c>
      <c r="V7462" s="38">
        <v>0</v>
      </c>
      <c r="W7462" s="38">
        <v>0</v>
      </c>
      <c r="X7462" s="38">
        <v>1</v>
      </c>
      <c r="Y7462" s="38">
        <v>0</v>
      </c>
      <c r="Z7462" s="38">
        <v>0</v>
      </c>
      <c r="AA7462" s="38">
        <v>0</v>
      </c>
      <c r="AB7462" s="38">
        <v>0</v>
      </c>
      <c r="AC7462" s="39">
        <v>0.4</v>
      </c>
      <c r="AD7462" s="38">
        <v>0</v>
      </c>
    </row>
    <row r="7463" spans="1:30" x14ac:dyDescent="0.25">
      <c r="A7463" s="22">
        <v>45814</v>
      </c>
      <c r="B7463" s="38">
        <v>4</v>
      </c>
      <c r="C7463" s="38">
        <v>4.2</v>
      </c>
      <c r="D7463" s="38">
        <v>8</v>
      </c>
      <c r="E7463" s="38">
        <v>7</v>
      </c>
      <c r="F7463" s="38" t="s">
        <v>9</v>
      </c>
      <c r="G7463" s="38">
        <v>4</v>
      </c>
      <c r="H7463" s="38">
        <v>2</v>
      </c>
      <c r="I7463" s="38">
        <v>2</v>
      </c>
      <c r="J7463" s="38">
        <v>4.0999999999999996</v>
      </c>
      <c r="K7463" s="38">
        <v>4.2</v>
      </c>
      <c r="L7463" s="38">
        <v>4.3180000000000005</v>
      </c>
      <c r="M7463" s="38">
        <v>1.6</v>
      </c>
      <c r="N7463" s="38">
        <v>7.8000000000000016</v>
      </c>
      <c r="P7463" s="38" t="s">
        <v>9</v>
      </c>
      <c r="Q7463" s="38">
        <v>1.7</v>
      </c>
      <c r="R7463" s="38">
        <v>5.3</v>
      </c>
      <c r="U7463" s="38">
        <v>2</v>
      </c>
      <c r="V7463" s="38">
        <v>3</v>
      </c>
      <c r="W7463" s="38">
        <v>7</v>
      </c>
      <c r="X7463" s="38">
        <v>0</v>
      </c>
      <c r="Y7463" s="38">
        <v>2.5</v>
      </c>
      <c r="Z7463" s="38">
        <v>2</v>
      </c>
      <c r="AA7463" s="38">
        <v>2</v>
      </c>
      <c r="AB7463" s="38">
        <v>5</v>
      </c>
      <c r="AC7463" s="39">
        <v>0.2</v>
      </c>
      <c r="AD7463" s="38">
        <v>3.2000000000000006</v>
      </c>
    </row>
    <row r="7464" spans="1:30" x14ac:dyDescent="0.25">
      <c r="A7464" s="22">
        <v>45815</v>
      </c>
      <c r="B7464" s="38">
        <v>6</v>
      </c>
      <c r="C7464" s="38">
        <v>8.1999999999999993</v>
      </c>
      <c r="D7464" s="38">
        <v>8</v>
      </c>
      <c r="F7464" s="38">
        <v>1.4</v>
      </c>
      <c r="G7464" s="38">
        <v>3.4</v>
      </c>
      <c r="H7464" s="38">
        <v>0.3</v>
      </c>
      <c r="I7464" s="38">
        <v>1.6</v>
      </c>
      <c r="J7464" s="38">
        <v>8.4</v>
      </c>
      <c r="K7464" s="38">
        <v>12</v>
      </c>
      <c r="L7464" s="38">
        <v>9.1439999999999984</v>
      </c>
      <c r="M7464" s="38">
        <v>0.8</v>
      </c>
      <c r="N7464" s="38">
        <v>10.799999999999997</v>
      </c>
      <c r="P7464" s="38">
        <v>4</v>
      </c>
      <c r="Q7464" s="38">
        <v>1.4</v>
      </c>
      <c r="R7464" s="38">
        <v>0</v>
      </c>
      <c r="U7464" s="38">
        <v>3</v>
      </c>
      <c r="V7464" s="38">
        <v>4.2</v>
      </c>
      <c r="W7464" s="38">
        <v>3.2</v>
      </c>
      <c r="X7464" s="38">
        <v>3</v>
      </c>
      <c r="Y7464" s="38">
        <v>4</v>
      </c>
      <c r="Z7464" s="38">
        <v>4.5</v>
      </c>
      <c r="AA7464" s="38">
        <v>2</v>
      </c>
      <c r="AB7464" s="38">
        <v>32</v>
      </c>
      <c r="AC7464" s="39">
        <v>0.4</v>
      </c>
      <c r="AD7464" s="38">
        <v>3.8000000000000003</v>
      </c>
    </row>
    <row r="7465" spans="1:30" x14ac:dyDescent="0.25">
      <c r="A7465" s="22">
        <v>45816</v>
      </c>
      <c r="B7465" s="38">
        <v>0</v>
      </c>
      <c r="C7465" s="38">
        <v>1.2</v>
      </c>
      <c r="D7465" s="38">
        <v>2</v>
      </c>
      <c r="E7465" s="38">
        <v>6</v>
      </c>
      <c r="F7465" s="38" t="s">
        <v>9</v>
      </c>
      <c r="G7465" s="38">
        <v>0</v>
      </c>
      <c r="H7465" s="38" t="s">
        <v>9</v>
      </c>
      <c r="I7465" s="38">
        <v>0.6</v>
      </c>
      <c r="J7465" s="38">
        <v>2</v>
      </c>
      <c r="K7465" s="38">
        <v>0</v>
      </c>
      <c r="L7465" s="38">
        <v>0</v>
      </c>
      <c r="M7465" s="38">
        <v>0.2</v>
      </c>
      <c r="N7465" s="38">
        <v>0</v>
      </c>
      <c r="P7465" s="38">
        <v>0</v>
      </c>
      <c r="Q7465" s="38">
        <v>0.2</v>
      </c>
      <c r="R7465" s="38">
        <v>0</v>
      </c>
      <c r="U7465" s="38">
        <v>0</v>
      </c>
      <c r="V7465" s="38">
        <v>0</v>
      </c>
      <c r="W7465" s="38">
        <v>0</v>
      </c>
      <c r="X7465" s="38">
        <v>4</v>
      </c>
      <c r="Y7465" s="38">
        <v>0</v>
      </c>
      <c r="Z7465" s="38">
        <v>0</v>
      </c>
      <c r="AA7465" s="38">
        <v>0</v>
      </c>
      <c r="AB7465" s="38">
        <v>2</v>
      </c>
      <c r="AC7465" s="39">
        <v>0.4</v>
      </c>
      <c r="AD7465" s="38">
        <v>0</v>
      </c>
    </row>
    <row r="7466" spans="1:30" x14ac:dyDescent="0.25">
      <c r="A7466" s="22">
        <v>45817</v>
      </c>
      <c r="B7466" s="38">
        <v>0</v>
      </c>
      <c r="C7466" s="38">
        <v>2.4</v>
      </c>
      <c r="D7466" s="38" t="s">
        <v>9</v>
      </c>
      <c r="E7466" s="38">
        <v>0</v>
      </c>
      <c r="F7466" s="38">
        <v>0</v>
      </c>
      <c r="G7466" s="38">
        <v>0</v>
      </c>
      <c r="H7466" s="38" t="s">
        <v>9</v>
      </c>
      <c r="I7466" s="38">
        <v>0.1</v>
      </c>
      <c r="J7466" s="38">
        <v>0</v>
      </c>
      <c r="K7466" s="38">
        <v>0</v>
      </c>
      <c r="L7466" s="38">
        <v>0.50800000000000001</v>
      </c>
      <c r="M7466" s="38">
        <v>0</v>
      </c>
      <c r="N7466" s="38">
        <v>0.8</v>
      </c>
      <c r="P7466" s="38">
        <v>0</v>
      </c>
      <c r="Q7466" s="38">
        <v>3</v>
      </c>
      <c r="R7466" s="38">
        <v>2</v>
      </c>
      <c r="U7466" s="38">
        <v>0</v>
      </c>
      <c r="V7466" s="38">
        <v>1.2</v>
      </c>
      <c r="W7466" s="38">
        <v>0</v>
      </c>
      <c r="X7466" s="38">
        <v>32</v>
      </c>
      <c r="Y7466" s="38">
        <v>0</v>
      </c>
      <c r="Z7466" s="38">
        <v>0</v>
      </c>
      <c r="AA7466" s="38">
        <v>0</v>
      </c>
      <c r="AB7466" s="38">
        <v>3</v>
      </c>
      <c r="AC7466" s="39">
        <v>0.2</v>
      </c>
      <c r="AD7466" s="38">
        <v>0</v>
      </c>
    </row>
    <row r="7467" spans="1:30" x14ac:dyDescent="0.25">
      <c r="A7467" s="22">
        <v>45818</v>
      </c>
      <c r="B7467" s="38">
        <v>20</v>
      </c>
      <c r="C7467" s="38">
        <v>12</v>
      </c>
      <c r="D7467" s="38">
        <v>8</v>
      </c>
      <c r="F7467" s="38">
        <v>3.1</v>
      </c>
      <c r="G7467" s="38">
        <v>12.5</v>
      </c>
      <c r="H7467" s="38">
        <v>5</v>
      </c>
      <c r="I7467" s="38">
        <v>12.2</v>
      </c>
      <c r="J7467" s="38">
        <v>15.8</v>
      </c>
      <c r="K7467" s="38">
        <v>18.100000000000001</v>
      </c>
      <c r="L7467" s="38">
        <v>1.27</v>
      </c>
      <c r="M7467" s="38">
        <v>7.4</v>
      </c>
      <c r="N7467" s="38">
        <v>10.799999999999992</v>
      </c>
      <c r="P7467" s="38">
        <v>2</v>
      </c>
      <c r="Q7467" s="38">
        <v>8.8000000000000007</v>
      </c>
      <c r="R7467" s="38">
        <v>5.2</v>
      </c>
      <c r="U7467" s="38">
        <v>7</v>
      </c>
      <c r="V7467" s="38">
        <v>6.8</v>
      </c>
      <c r="W7467" s="38">
        <v>0</v>
      </c>
      <c r="X7467" s="38">
        <v>5</v>
      </c>
      <c r="Y7467" s="38">
        <v>2.4</v>
      </c>
      <c r="Z7467" s="38">
        <v>4</v>
      </c>
      <c r="AA7467" s="38">
        <v>2</v>
      </c>
      <c r="AB7467" s="38">
        <v>7</v>
      </c>
      <c r="AC7467" s="39">
        <v>1.5999999999999999</v>
      </c>
      <c r="AD7467" s="38">
        <v>4.8000000000000016</v>
      </c>
    </row>
    <row r="7468" spans="1:30" x14ac:dyDescent="0.25">
      <c r="A7468" s="22">
        <v>45819</v>
      </c>
      <c r="B7468" s="38">
        <v>5</v>
      </c>
      <c r="C7468" s="38">
        <v>11.2</v>
      </c>
      <c r="D7468" s="38">
        <v>14</v>
      </c>
      <c r="E7468" s="38">
        <v>10</v>
      </c>
      <c r="F7468" s="38">
        <v>1.2</v>
      </c>
      <c r="G7468" s="38">
        <v>4.5</v>
      </c>
      <c r="H7468" s="38">
        <v>2</v>
      </c>
      <c r="I7468" s="38">
        <v>2.6</v>
      </c>
      <c r="J7468" s="38">
        <v>6.4</v>
      </c>
      <c r="K7468" s="38">
        <v>6.6</v>
      </c>
      <c r="L7468" s="38">
        <v>4.8259999999999996</v>
      </c>
      <c r="M7468" s="38">
        <v>2.8</v>
      </c>
      <c r="N7468" s="38">
        <v>67.2</v>
      </c>
      <c r="P7468" s="38">
        <v>2</v>
      </c>
      <c r="Q7468" s="38">
        <v>41.5</v>
      </c>
      <c r="R7468" s="38">
        <v>41</v>
      </c>
      <c r="U7468" s="38">
        <v>14</v>
      </c>
      <c r="V7468" s="38">
        <v>24.2</v>
      </c>
      <c r="W7468" s="38">
        <v>20.8</v>
      </c>
      <c r="X7468" s="38">
        <v>2</v>
      </c>
      <c r="Y7468" s="38">
        <v>2</v>
      </c>
      <c r="Z7468" s="38">
        <v>3.4</v>
      </c>
      <c r="AA7468" s="38">
        <v>2</v>
      </c>
      <c r="AC7468" s="39">
        <v>5.8000000000000025</v>
      </c>
      <c r="AD7468" s="38">
        <v>33.799999999999983</v>
      </c>
    </row>
    <row r="7469" spans="1:30" x14ac:dyDescent="0.25">
      <c r="A7469" s="22">
        <v>45820</v>
      </c>
      <c r="B7469" s="38">
        <v>54</v>
      </c>
      <c r="C7469" s="38">
        <v>58.8</v>
      </c>
      <c r="D7469" s="38">
        <v>69.400000000000006</v>
      </c>
      <c r="E7469" s="38">
        <v>37</v>
      </c>
      <c r="F7469" s="38">
        <v>45.4</v>
      </c>
      <c r="G7469" s="38">
        <v>52.8</v>
      </c>
      <c r="H7469" s="38">
        <v>44.5</v>
      </c>
      <c r="I7469" s="38">
        <v>46</v>
      </c>
      <c r="J7469" s="38">
        <v>60.4</v>
      </c>
      <c r="K7469" s="38">
        <v>92.3</v>
      </c>
      <c r="L7469" s="38">
        <v>40.893999999999998</v>
      </c>
      <c r="M7469" s="38">
        <v>49.6</v>
      </c>
      <c r="N7469" s="38">
        <v>15</v>
      </c>
      <c r="P7469" s="38">
        <v>37</v>
      </c>
      <c r="Q7469" s="38">
        <v>2.5</v>
      </c>
      <c r="R7469" s="38">
        <v>4</v>
      </c>
      <c r="U7469" s="38">
        <v>64</v>
      </c>
      <c r="V7469" s="38">
        <v>18</v>
      </c>
      <c r="W7469" s="38">
        <v>24.4</v>
      </c>
      <c r="X7469" s="38">
        <v>0</v>
      </c>
      <c r="Y7469" s="38">
        <v>42</v>
      </c>
      <c r="Z7469" s="38">
        <v>40</v>
      </c>
      <c r="AA7469" s="38">
        <v>50</v>
      </c>
      <c r="AB7469" s="38">
        <v>97</v>
      </c>
      <c r="AC7469" s="39">
        <v>8.0000000000000036</v>
      </c>
      <c r="AD7469" s="38">
        <v>1.4</v>
      </c>
    </row>
    <row r="7470" spans="1:30" x14ac:dyDescent="0.25">
      <c r="A7470" s="22">
        <v>45821</v>
      </c>
      <c r="B7470" s="38">
        <v>0</v>
      </c>
      <c r="C7470" s="38">
        <v>6.2</v>
      </c>
      <c r="D7470" s="38">
        <v>10</v>
      </c>
      <c r="E7470" s="38">
        <v>2</v>
      </c>
      <c r="F7470" s="38" t="s">
        <v>9</v>
      </c>
      <c r="G7470" s="38">
        <v>7.5</v>
      </c>
      <c r="H7470" s="38">
        <v>1.6</v>
      </c>
      <c r="I7470" s="38">
        <v>3.4</v>
      </c>
      <c r="J7470" s="38">
        <v>16.2</v>
      </c>
      <c r="K7470" s="38">
        <v>20.100000000000001</v>
      </c>
      <c r="L7470" s="38">
        <v>0.7619999999999999</v>
      </c>
      <c r="M7470" s="38">
        <v>3</v>
      </c>
      <c r="N7470" s="38">
        <v>1.8</v>
      </c>
      <c r="P7470" s="38">
        <v>2</v>
      </c>
      <c r="Q7470" s="38">
        <v>1.2</v>
      </c>
      <c r="R7470" s="38">
        <v>2</v>
      </c>
      <c r="U7470" s="38">
        <v>10</v>
      </c>
      <c r="V7470" s="38">
        <v>10.4</v>
      </c>
      <c r="W7470" s="38">
        <v>16.8</v>
      </c>
      <c r="X7470" s="38">
        <v>3</v>
      </c>
      <c r="Y7470" s="38">
        <v>6</v>
      </c>
      <c r="Z7470" s="38">
        <v>8.1999999999999993</v>
      </c>
      <c r="AA7470" s="38">
        <v>7</v>
      </c>
      <c r="AB7470" s="38">
        <v>1</v>
      </c>
      <c r="AC7470" s="39">
        <v>5.6000000000000023</v>
      </c>
      <c r="AD7470" s="38">
        <v>1.8000000000000003</v>
      </c>
    </row>
    <row r="7471" spans="1:30" x14ac:dyDescent="0.25">
      <c r="A7471" s="22">
        <v>45822</v>
      </c>
      <c r="B7471" s="38">
        <v>0</v>
      </c>
      <c r="C7471" s="38">
        <v>0.4</v>
      </c>
      <c r="D7471" s="38">
        <v>0.8</v>
      </c>
      <c r="E7471" s="38">
        <v>2</v>
      </c>
      <c r="F7471" s="38">
        <v>5.3</v>
      </c>
      <c r="G7471" s="38">
        <v>0</v>
      </c>
      <c r="H7471" s="38">
        <v>3.3</v>
      </c>
      <c r="I7471" s="38">
        <v>2.4</v>
      </c>
      <c r="J7471" s="38">
        <v>2.4</v>
      </c>
      <c r="K7471" s="38">
        <v>0</v>
      </c>
      <c r="L7471" s="38">
        <v>0</v>
      </c>
      <c r="M7471" s="38">
        <v>3.6</v>
      </c>
      <c r="N7471" s="38">
        <v>0</v>
      </c>
      <c r="P7471" s="38" t="s">
        <v>9</v>
      </c>
      <c r="Q7471" s="38">
        <v>0</v>
      </c>
      <c r="R7471" s="38">
        <v>3.1</v>
      </c>
      <c r="U7471" s="38">
        <v>0</v>
      </c>
      <c r="V7471" s="38">
        <v>0</v>
      </c>
      <c r="W7471" s="38">
        <v>2.2000000000000002</v>
      </c>
      <c r="X7471" s="38">
        <v>4</v>
      </c>
      <c r="Y7471" s="38">
        <v>0</v>
      </c>
      <c r="Z7471" s="38">
        <v>0</v>
      </c>
      <c r="AA7471" s="38">
        <v>2</v>
      </c>
      <c r="AB7471" s="38">
        <v>2</v>
      </c>
      <c r="AC7471" s="39">
        <v>4.8000000000000016</v>
      </c>
      <c r="AD7471" s="38">
        <v>0</v>
      </c>
    </row>
    <row r="7472" spans="1:30" x14ac:dyDescent="0.25">
      <c r="A7472" s="22">
        <v>45823</v>
      </c>
      <c r="B7472" s="38">
        <v>0</v>
      </c>
      <c r="C7472" s="38" t="s">
        <v>9</v>
      </c>
      <c r="D7472" s="38">
        <v>2</v>
      </c>
      <c r="E7472" s="38">
        <v>2</v>
      </c>
      <c r="F7472" s="38">
        <v>1.3</v>
      </c>
      <c r="G7472" s="38">
        <v>9.5</v>
      </c>
      <c r="H7472" s="38">
        <v>2.2000000000000002</v>
      </c>
      <c r="I7472" s="38">
        <v>2.8</v>
      </c>
      <c r="J7472" s="38">
        <v>9</v>
      </c>
      <c r="K7472" s="38">
        <v>5.2</v>
      </c>
      <c r="L7472" s="38">
        <v>0</v>
      </c>
      <c r="M7472" s="38">
        <v>2</v>
      </c>
      <c r="N7472" s="38">
        <v>9.8000000000000007</v>
      </c>
      <c r="P7472" s="38">
        <v>2</v>
      </c>
      <c r="Q7472" s="38">
        <v>2.8</v>
      </c>
      <c r="R7472" s="38">
        <v>0</v>
      </c>
      <c r="U7472" s="38">
        <v>3</v>
      </c>
      <c r="V7472" s="38">
        <v>0</v>
      </c>
      <c r="W7472" s="38">
        <v>1</v>
      </c>
      <c r="X7472" s="38">
        <v>1</v>
      </c>
      <c r="Y7472" s="38" t="s">
        <v>9</v>
      </c>
      <c r="Z7472" s="38">
        <v>0.5</v>
      </c>
      <c r="AA7472" s="38">
        <v>0</v>
      </c>
      <c r="AB7472" s="38">
        <v>1</v>
      </c>
      <c r="AC7472" s="39">
        <v>4.0000000000000009</v>
      </c>
      <c r="AD7472" s="38">
        <v>2.8000000000000007</v>
      </c>
    </row>
    <row r="7473" spans="1:30" x14ac:dyDescent="0.25">
      <c r="A7473" s="22">
        <v>45824</v>
      </c>
      <c r="B7473" s="38">
        <v>6</v>
      </c>
      <c r="C7473" s="38">
        <v>12.8</v>
      </c>
      <c r="D7473" s="38">
        <v>4</v>
      </c>
      <c r="E7473" s="38">
        <v>0</v>
      </c>
      <c r="F7473" s="38">
        <v>2.4</v>
      </c>
      <c r="G7473" s="38">
        <v>4.5</v>
      </c>
      <c r="H7473" s="38">
        <v>3</v>
      </c>
      <c r="I7473" s="38">
        <v>5</v>
      </c>
      <c r="J7473" s="38">
        <v>8</v>
      </c>
      <c r="K7473" s="38">
        <v>8.8000000000000007</v>
      </c>
      <c r="L7473" s="38">
        <v>0</v>
      </c>
      <c r="M7473" s="38">
        <v>4.5999999999999996</v>
      </c>
      <c r="N7473" s="38">
        <v>8.4</v>
      </c>
      <c r="P7473" s="38">
        <v>1</v>
      </c>
      <c r="Q7473" s="38">
        <v>1.3</v>
      </c>
      <c r="R7473" s="38">
        <v>2</v>
      </c>
      <c r="U7473" s="38">
        <v>6</v>
      </c>
      <c r="X7473" s="38">
        <v>8</v>
      </c>
      <c r="Y7473" s="38">
        <v>3.2</v>
      </c>
      <c r="Z7473" s="38">
        <v>4</v>
      </c>
      <c r="AA7473" s="38">
        <v>8</v>
      </c>
      <c r="AB7473" s="38">
        <v>0</v>
      </c>
      <c r="AC7473" s="39">
        <v>3.0000000000000004</v>
      </c>
      <c r="AD7473" s="38">
        <v>2.8000000000000007</v>
      </c>
    </row>
    <row r="7474" spans="1:30" x14ac:dyDescent="0.25">
      <c r="A7474" s="22">
        <v>45825</v>
      </c>
      <c r="B7474" s="38">
        <v>6</v>
      </c>
      <c r="C7474" s="38">
        <v>6</v>
      </c>
      <c r="D7474" s="38">
        <v>5.4</v>
      </c>
      <c r="E7474" s="38">
        <v>0</v>
      </c>
      <c r="F7474" s="38">
        <v>1.1000000000000001</v>
      </c>
      <c r="G7474" s="38">
        <v>5.5</v>
      </c>
      <c r="H7474" s="38">
        <v>2.4</v>
      </c>
      <c r="I7474" s="38">
        <v>3.1</v>
      </c>
      <c r="J7474" s="38">
        <v>9.4</v>
      </c>
      <c r="K7474" s="38">
        <v>4.5999999999999996</v>
      </c>
      <c r="L7474" s="38">
        <v>0.7619999999999999</v>
      </c>
      <c r="M7474" s="38">
        <v>5.6</v>
      </c>
      <c r="N7474" s="38">
        <v>2.4000000000000004</v>
      </c>
      <c r="P7474" s="38">
        <v>2</v>
      </c>
      <c r="Q7474" s="38">
        <v>0.2</v>
      </c>
      <c r="R7474" s="38">
        <v>0</v>
      </c>
      <c r="U7474" s="38">
        <v>0</v>
      </c>
      <c r="V7474" s="38">
        <v>0.8</v>
      </c>
      <c r="W7474" s="38">
        <v>6.1</v>
      </c>
      <c r="X7474" s="38">
        <v>3</v>
      </c>
      <c r="Y7474" s="38" t="s">
        <v>9</v>
      </c>
      <c r="Z7474" s="38">
        <v>0.8</v>
      </c>
      <c r="AA7474" s="38">
        <v>0</v>
      </c>
      <c r="AB7474" s="38">
        <v>4</v>
      </c>
      <c r="AC7474" s="39">
        <v>2.4</v>
      </c>
      <c r="AD7474" s="38">
        <v>2.8000000000000007</v>
      </c>
    </row>
    <row r="7475" spans="1:30" x14ac:dyDescent="0.25">
      <c r="A7475" s="22">
        <v>45826</v>
      </c>
      <c r="B7475" s="38">
        <v>0</v>
      </c>
      <c r="C7475" s="38">
        <v>7.6</v>
      </c>
      <c r="D7475" s="38">
        <v>18</v>
      </c>
      <c r="E7475" s="38">
        <v>0</v>
      </c>
      <c r="F7475" s="38">
        <v>3</v>
      </c>
      <c r="G7475" s="38">
        <v>5</v>
      </c>
      <c r="H7475" s="38">
        <v>2.2000000000000002</v>
      </c>
      <c r="I7475" s="38">
        <v>2.4</v>
      </c>
      <c r="J7475" s="38">
        <v>2.4</v>
      </c>
      <c r="K7475" s="38">
        <v>0.6</v>
      </c>
      <c r="L7475" s="38">
        <v>0</v>
      </c>
      <c r="M7475" s="38">
        <v>3.8</v>
      </c>
      <c r="N7475" s="38">
        <v>5.6000000000000005</v>
      </c>
      <c r="P7475" s="38">
        <v>2</v>
      </c>
      <c r="Q7475" s="38">
        <v>9.5</v>
      </c>
      <c r="R7475" s="38">
        <v>0</v>
      </c>
      <c r="U7475" s="38">
        <v>10</v>
      </c>
      <c r="V7475" s="38">
        <v>1.2</v>
      </c>
      <c r="W7475" s="38">
        <v>4</v>
      </c>
      <c r="X7475" s="38">
        <v>11</v>
      </c>
      <c r="Y7475" s="38">
        <v>2</v>
      </c>
      <c r="Z7475" s="38">
        <v>2</v>
      </c>
      <c r="AA7475" s="38">
        <v>2</v>
      </c>
      <c r="AB7475" s="38">
        <v>7</v>
      </c>
      <c r="AC7475" s="39">
        <v>2.8000000000000003</v>
      </c>
      <c r="AD7475" s="38">
        <v>6.2000000000000011</v>
      </c>
    </row>
    <row r="7476" spans="1:30" x14ac:dyDescent="0.25">
      <c r="A7476" s="22">
        <v>45827</v>
      </c>
      <c r="B7476" s="38">
        <v>12</v>
      </c>
      <c r="C7476" s="38">
        <v>12.4</v>
      </c>
      <c r="D7476" s="38">
        <v>20</v>
      </c>
      <c r="E7476" s="38">
        <v>12</v>
      </c>
      <c r="F7476" s="38">
        <v>4.4000000000000004</v>
      </c>
      <c r="G7476" s="38">
        <v>7</v>
      </c>
      <c r="H7476" s="38">
        <v>4.9000000000000004</v>
      </c>
      <c r="I7476" s="38">
        <v>6.2</v>
      </c>
      <c r="J7476" s="38">
        <v>18.2</v>
      </c>
      <c r="K7476" s="38">
        <v>20.399999999999999</v>
      </c>
      <c r="L7476" s="38">
        <v>3.302</v>
      </c>
      <c r="M7476" s="38">
        <v>5.4</v>
      </c>
      <c r="N7476" s="38">
        <v>22.599999999999998</v>
      </c>
      <c r="P7476" s="38">
        <v>6</v>
      </c>
      <c r="Q7476" s="38">
        <v>1.6</v>
      </c>
      <c r="R7476" s="38">
        <v>6.1</v>
      </c>
      <c r="U7476" s="38">
        <v>24</v>
      </c>
      <c r="V7476" s="38">
        <v>8</v>
      </c>
      <c r="W7476" s="38">
        <v>12.8</v>
      </c>
      <c r="X7476" s="38">
        <v>4</v>
      </c>
      <c r="Y7476" s="38">
        <v>8.1999999999999993</v>
      </c>
      <c r="Z7476" s="38">
        <v>12</v>
      </c>
      <c r="AA7476" s="38">
        <v>10</v>
      </c>
      <c r="AB7476" s="38">
        <v>15</v>
      </c>
      <c r="AC7476" s="39">
        <v>2.8000000000000003</v>
      </c>
      <c r="AD7476" s="38">
        <v>1</v>
      </c>
    </row>
    <row r="7477" spans="1:30" x14ac:dyDescent="0.25">
      <c r="A7477" s="22">
        <v>45828</v>
      </c>
      <c r="B7477" s="38">
        <v>0</v>
      </c>
      <c r="C7477" s="38">
        <v>20.2</v>
      </c>
      <c r="D7477" s="38">
        <v>8</v>
      </c>
      <c r="E7477" s="38">
        <v>0</v>
      </c>
      <c r="F7477" s="38">
        <v>2</v>
      </c>
      <c r="G7477" s="38">
        <v>1.5</v>
      </c>
      <c r="H7477" s="38" t="s">
        <v>9</v>
      </c>
      <c r="I7477" s="38">
        <v>2.9</v>
      </c>
      <c r="J7477" s="38">
        <v>6.2</v>
      </c>
      <c r="K7477" s="38">
        <v>4.2</v>
      </c>
      <c r="L7477" s="38">
        <v>3.302</v>
      </c>
      <c r="M7477" s="38">
        <v>1</v>
      </c>
      <c r="N7477" s="38">
        <v>0</v>
      </c>
      <c r="P7477" s="38">
        <v>0</v>
      </c>
      <c r="Q7477" s="38">
        <v>0</v>
      </c>
      <c r="R7477" s="38">
        <v>1.1000000000000001</v>
      </c>
      <c r="U7477" s="38">
        <v>0</v>
      </c>
      <c r="V7477" s="38">
        <v>0</v>
      </c>
      <c r="W7477" s="38">
        <v>3.1</v>
      </c>
      <c r="X7477" s="38">
        <v>8.3000000000000007</v>
      </c>
      <c r="Y7477" s="38">
        <v>0.2</v>
      </c>
      <c r="Z7477" s="38">
        <v>0.6</v>
      </c>
      <c r="AA7477" s="38">
        <v>0</v>
      </c>
      <c r="AB7477" s="38">
        <v>0</v>
      </c>
      <c r="AC7477" s="39">
        <v>0.60000000000000009</v>
      </c>
      <c r="AD7477" s="38">
        <v>0</v>
      </c>
    </row>
    <row r="7478" spans="1:30" x14ac:dyDescent="0.25">
      <c r="A7478" s="22">
        <v>45829</v>
      </c>
      <c r="B7478" s="38">
        <v>0</v>
      </c>
      <c r="C7478" s="38" t="s">
        <v>9</v>
      </c>
      <c r="D7478" s="38" t="s">
        <v>9</v>
      </c>
      <c r="E7478" s="38">
        <v>0</v>
      </c>
      <c r="F7478" s="38">
        <v>0</v>
      </c>
      <c r="G7478" s="38">
        <v>0</v>
      </c>
      <c r="H7478" s="38" t="s">
        <v>9</v>
      </c>
      <c r="I7478" s="38">
        <v>0.1</v>
      </c>
      <c r="J7478" s="38">
        <v>0</v>
      </c>
      <c r="K7478" s="38">
        <v>0</v>
      </c>
      <c r="L7478" s="38">
        <v>0.50800000000000001</v>
      </c>
      <c r="M7478" s="38">
        <v>0</v>
      </c>
      <c r="N7478" s="38">
        <v>0.4</v>
      </c>
      <c r="P7478" s="38">
        <v>4</v>
      </c>
      <c r="Q7478" s="38">
        <v>10.3</v>
      </c>
      <c r="R7478" s="38">
        <v>0</v>
      </c>
      <c r="U7478" s="38">
        <v>0</v>
      </c>
      <c r="V7478" s="38">
        <v>0</v>
      </c>
      <c r="W7478" s="38">
        <v>0.6</v>
      </c>
      <c r="X7478" s="38">
        <v>2</v>
      </c>
      <c r="Y7478" s="38">
        <v>0</v>
      </c>
      <c r="Z7478" s="38">
        <v>0</v>
      </c>
      <c r="AA7478" s="38">
        <v>0</v>
      </c>
      <c r="AB7478" s="38">
        <v>42</v>
      </c>
      <c r="AC7478" s="39">
        <v>0.4</v>
      </c>
      <c r="AD7478" s="38">
        <v>0</v>
      </c>
    </row>
    <row r="7479" spans="1:30" x14ac:dyDescent="0.25">
      <c r="A7479" s="22">
        <v>45830</v>
      </c>
      <c r="B7479" s="38">
        <v>5</v>
      </c>
      <c r="C7479" s="38">
        <v>10.4</v>
      </c>
      <c r="D7479" s="38">
        <v>20</v>
      </c>
      <c r="E7479" s="38">
        <v>5</v>
      </c>
      <c r="F7479" s="38">
        <v>6.2</v>
      </c>
      <c r="G7479" s="38">
        <v>7.5</v>
      </c>
      <c r="H7479" s="38">
        <v>7</v>
      </c>
      <c r="I7479" s="38">
        <v>10</v>
      </c>
      <c r="J7479" s="38">
        <v>4</v>
      </c>
      <c r="K7479" s="38">
        <v>9</v>
      </c>
      <c r="L7479" s="38">
        <v>7.8739999999999997</v>
      </c>
      <c r="M7479" s="38">
        <v>10</v>
      </c>
      <c r="N7479" s="38">
        <v>29.799999999999994</v>
      </c>
      <c r="P7479" s="38">
        <v>4</v>
      </c>
      <c r="Q7479" s="38">
        <v>12.1</v>
      </c>
      <c r="R7479" s="38">
        <v>9</v>
      </c>
      <c r="U7479" s="38">
        <v>6</v>
      </c>
      <c r="V7479" s="38">
        <v>6.2</v>
      </c>
      <c r="W7479" s="38">
        <v>1</v>
      </c>
      <c r="X7479" s="38" t="s">
        <v>9</v>
      </c>
      <c r="Y7479" s="38">
        <v>4</v>
      </c>
      <c r="Z7479" s="38">
        <v>4.5</v>
      </c>
      <c r="AA7479" s="38">
        <v>3</v>
      </c>
      <c r="AB7479" s="38">
        <v>52</v>
      </c>
      <c r="AC7479" s="39">
        <v>0.60000000000000009</v>
      </c>
      <c r="AD7479" s="38">
        <v>16.599999999999998</v>
      </c>
    </row>
    <row r="7480" spans="1:30" x14ac:dyDescent="0.25">
      <c r="A7480" s="22">
        <v>45831</v>
      </c>
      <c r="B7480" s="38">
        <v>28</v>
      </c>
      <c r="C7480" s="38">
        <v>34.4</v>
      </c>
      <c r="D7480" s="38">
        <v>31.6</v>
      </c>
      <c r="E7480" s="38">
        <v>8</v>
      </c>
      <c r="F7480" s="38">
        <v>15.1</v>
      </c>
      <c r="G7480" s="38">
        <v>30.5</v>
      </c>
      <c r="H7480" s="38">
        <v>22.4</v>
      </c>
      <c r="I7480" s="38">
        <v>26</v>
      </c>
      <c r="J7480" s="38">
        <v>44</v>
      </c>
      <c r="K7480" s="38">
        <v>35.6</v>
      </c>
      <c r="L7480" s="38">
        <v>7.3659999999999988</v>
      </c>
      <c r="M7480" s="38">
        <v>21.4</v>
      </c>
      <c r="N7480" s="38">
        <v>15.799999999999995</v>
      </c>
      <c r="P7480" s="38">
        <v>12</v>
      </c>
      <c r="Q7480" s="38">
        <v>1.1000000000000001</v>
      </c>
      <c r="R7480" s="38">
        <v>8</v>
      </c>
      <c r="U7480" s="38">
        <v>62</v>
      </c>
      <c r="V7480" s="38">
        <v>27.2</v>
      </c>
      <c r="W7480" s="38">
        <v>28</v>
      </c>
      <c r="X7480" s="38">
        <v>8.3000000000000007</v>
      </c>
      <c r="Y7480" s="38">
        <v>14.8</v>
      </c>
      <c r="Z7480" s="38">
        <v>18.2</v>
      </c>
      <c r="AA7480" s="38">
        <v>21</v>
      </c>
      <c r="AB7480" s="38">
        <v>63</v>
      </c>
      <c r="AC7480" s="39">
        <v>4.4000000000000012</v>
      </c>
      <c r="AD7480" s="38">
        <v>11.399999999999999</v>
      </c>
    </row>
    <row r="7481" spans="1:30" x14ac:dyDescent="0.25">
      <c r="A7481" s="22">
        <v>45832</v>
      </c>
      <c r="B7481" s="38">
        <v>0</v>
      </c>
      <c r="C7481" s="38">
        <v>3.6</v>
      </c>
      <c r="D7481" s="38">
        <v>2.6</v>
      </c>
      <c r="E7481" s="38">
        <v>0</v>
      </c>
      <c r="F7481" s="38" t="s">
        <v>9</v>
      </c>
      <c r="G7481" s="38">
        <v>2.5</v>
      </c>
      <c r="H7481" s="38">
        <v>2</v>
      </c>
      <c r="I7481" s="38">
        <v>1.3</v>
      </c>
      <c r="J7481" s="38">
        <v>2</v>
      </c>
      <c r="K7481" s="38">
        <v>2</v>
      </c>
      <c r="L7481" s="38">
        <v>1.778</v>
      </c>
      <c r="M7481" s="38">
        <v>0</v>
      </c>
      <c r="N7481" s="38">
        <v>0.8</v>
      </c>
      <c r="P7481" s="38">
        <v>0</v>
      </c>
      <c r="Q7481" s="38">
        <v>0</v>
      </c>
      <c r="R7481" s="38">
        <v>1.2</v>
      </c>
      <c r="U7481" s="38">
        <v>2</v>
      </c>
      <c r="V7481" s="38">
        <v>0</v>
      </c>
      <c r="W7481" s="38">
        <v>1.8</v>
      </c>
      <c r="X7481" s="38">
        <v>10</v>
      </c>
      <c r="Y7481" s="38" t="s">
        <v>9</v>
      </c>
      <c r="Z7481" s="38" t="s">
        <v>9</v>
      </c>
      <c r="AA7481" s="38">
        <v>5</v>
      </c>
      <c r="AB7481" s="38">
        <v>2</v>
      </c>
      <c r="AC7481" s="39">
        <v>3.6000000000000005</v>
      </c>
      <c r="AD7481" s="38">
        <v>0.2</v>
      </c>
    </row>
    <row r="7482" spans="1:30" x14ac:dyDescent="0.25">
      <c r="A7482" s="22">
        <v>45833</v>
      </c>
      <c r="B7482" s="38">
        <v>4</v>
      </c>
      <c r="C7482" s="38">
        <v>0.4</v>
      </c>
      <c r="D7482" s="38" t="s">
        <v>9</v>
      </c>
      <c r="E7482" s="38">
        <v>0</v>
      </c>
      <c r="F7482" s="38" t="s">
        <v>9</v>
      </c>
      <c r="G7482" s="38">
        <v>0</v>
      </c>
      <c r="H7482" s="38" t="s">
        <v>9</v>
      </c>
      <c r="I7482" s="38">
        <v>0.1</v>
      </c>
      <c r="J7482" s="38">
        <v>0</v>
      </c>
      <c r="K7482" s="38">
        <v>0</v>
      </c>
      <c r="L7482" s="38">
        <v>0</v>
      </c>
      <c r="M7482" s="38">
        <v>0.6</v>
      </c>
      <c r="N7482" s="38">
        <v>0.8</v>
      </c>
      <c r="P7482" s="38" t="s">
        <v>9</v>
      </c>
      <c r="Q7482" s="38">
        <v>1.5</v>
      </c>
      <c r="R7482" s="38">
        <v>2.1</v>
      </c>
      <c r="U7482" s="38">
        <v>0</v>
      </c>
      <c r="V7482" s="38">
        <v>0</v>
      </c>
      <c r="W7482" s="38">
        <v>0</v>
      </c>
      <c r="X7482" s="38">
        <v>4.0999999999999996</v>
      </c>
      <c r="Y7482" s="38">
        <v>0</v>
      </c>
      <c r="Z7482" s="38">
        <v>0</v>
      </c>
      <c r="AA7482" s="38">
        <v>0</v>
      </c>
      <c r="AB7482" s="38">
        <v>0</v>
      </c>
      <c r="AC7482" s="39">
        <v>3.0000000000000004</v>
      </c>
      <c r="AD7482" s="38">
        <v>2.4000000000000004</v>
      </c>
    </row>
    <row r="7483" spans="1:30" x14ac:dyDescent="0.25">
      <c r="A7483" s="22">
        <v>45834</v>
      </c>
      <c r="B7483" s="38">
        <v>7</v>
      </c>
      <c r="C7483" s="38">
        <v>2</v>
      </c>
      <c r="D7483" s="38">
        <v>3.4</v>
      </c>
      <c r="E7483" s="38">
        <v>0</v>
      </c>
      <c r="F7483" s="38">
        <v>1.4</v>
      </c>
      <c r="G7483" s="38">
        <v>3.5</v>
      </c>
      <c r="H7483" s="38">
        <v>1.2</v>
      </c>
      <c r="I7483" s="38">
        <v>2.4</v>
      </c>
      <c r="J7483" s="38">
        <v>2.4</v>
      </c>
      <c r="K7483" s="38">
        <v>4.5999999999999996</v>
      </c>
      <c r="L7483" s="38">
        <v>3.8099999999999996</v>
      </c>
      <c r="M7483" s="38">
        <v>1.8</v>
      </c>
      <c r="N7483" s="38">
        <v>2.8</v>
      </c>
      <c r="P7483" s="38" t="s">
        <v>9</v>
      </c>
      <c r="Q7483" s="38">
        <v>1.2</v>
      </c>
      <c r="R7483" s="38">
        <v>1</v>
      </c>
      <c r="U7483" s="38">
        <v>0</v>
      </c>
      <c r="V7483" s="38">
        <v>0.8</v>
      </c>
      <c r="W7483" s="38">
        <v>3</v>
      </c>
      <c r="X7483" s="38">
        <v>22</v>
      </c>
      <c r="Y7483" s="38">
        <v>2</v>
      </c>
      <c r="Z7483" s="38" t="s">
        <v>9</v>
      </c>
      <c r="AA7483" s="38">
        <v>0</v>
      </c>
      <c r="AB7483" s="38">
        <v>2</v>
      </c>
      <c r="AC7483" s="39">
        <v>2.8000000000000003</v>
      </c>
      <c r="AD7483" s="38">
        <v>1.2</v>
      </c>
    </row>
    <row r="7484" spans="1:30" x14ac:dyDescent="0.25">
      <c r="A7484" s="22">
        <v>45835</v>
      </c>
      <c r="B7484" s="38">
        <v>2</v>
      </c>
      <c r="C7484" s="38">
        <v>6.2</v>
      </c>
      <c r="D7484" s="38">
        <v>0.4</v>
      </c>
      <c r="E7484" s="38">
        <v>0</v>
      </c>
      <c r="F7484" s="38" t="s">
        <v>9</v>
      </c>
      <c r="G7484" s="38">
        <v>0</v>
      </c>
      <c r="H7484" s="38" t="s">
        <v>9</v>
      </c>
      <c r="I7484" s="38">
        <v>1.3</v>
      </c>
      <c r="J7484" s="38">
        <v>0.1</v>
      </c>
      <c r="K7484" s="38">
        <v>1</v>
      </c>
      <c r="L7484" s="38">
        <v>2.794</v>
      </c>
      <c r="M7484" s="38">
        <v>0.6</v>
      </c>
      <c r="N7484" s="38">
        <v>0.4</v>
      </c>
      <c r="P7484" s="38">
        <v>2</v>
      </c>
      <c r="Q7484" s="38">
        <v>3.1</v>
      </c>
      <c r="R7484" s="38">
        <v>4.2</v>
      </c>
      <c r="U7484" s="38">
        <v>0</v>
      </c>
      <c r="V7484" s="38">
        <v>0.8</v>
      </c>
      <c r="W7484" s="38">
        <v>0.3</v>
      </c>
      <c r="X7484" s="38">
        <v>0</v>
      </c>
      <c r="Y7484" s="38">
        <v>0</v>
      </c>
      <c r="Z7484" s="38">
        <v>0</v>
      </c>
      <c r="AA7484" s="38">
        <v>0</v>
      </c>
      <c r="AB7484" s="38">
        <v>0</v>
      </c>
      <c r="AC7484" s="39">
        <v>1.7999999999999998</v>
      </c>
      <c r="AD7484" s="38">
        <v>0</v>
      </c>
    </row>
    <row r="7485" spans="1:30" x14ac:dyDescent="0.25">
      <c r="A7485" s="22">
        <v>45836</v>
      </c>
      <c r="B7485" s="38">
        <v>3</v>
      </c>
      <c r="C7485" s="38">
        <v>3.2</v>
      </c>
      <c r="D7485" s="38">
        <v>11.2</v>
      </c>
      <c r="E7485" s="38">
        <v>0</v>
      </c>
      <c r="F7485" s="38" t="s">
        <v>9</v>
      </c>
      <c r="G7485" s="38">
        <v>3.5</v>
      </c>
      <c r="H7485" s="38" t="s">
        <v>9</v>
      </c>
      <c r="I7485" s="38">
        <v>0.1</v>
      </c>
      <c r="J7485" s="38">
        <v>4.3</v>
      </c>
      <c r="K7485" s="38">
        <v>8.6</v>
      </c>
      <c r="L7485" s="38">
        <v>5.5880000000000001</v>
      </c>
      <c r="M7485" s="38">
        <v>0.2</v>
      </c>
      <c r="N7485" s="38">
        <v>10.599999999999998</v>
      </c>
      <c r="P7485" s="38">
        <v>2</v>
      </c>
      <c r="Q7485" s="38">
        <v>6.5</v>
      </c>
      <c r="R7485" s="38">
        <v>4</v>
      </c>
      <c r="U7485" s="38">
        <v>13</v>
      </c>
      <c r="V7485" s="38">
        <v>2.1</v>
      </c>
      <c r="W7485" s="38">
        <v>4</v>
      </c>
      <c r="X7485" s="38">
        <v>10</v>
      </c>
      <c r="Y7485" s="38" t="s">
        <v>9</v>
      </c>
      <c r="Z7485" s="38" t="s">
        <v>9</v>
      </c>
      <c r="AA7485" s="38">
        <v>9</v>
      </c>
      <c r="AB7485" s="38">
        <v>46</v>
      </c>
      <c r="AC7485" s="39">
        <v>0.4</v>
      </c>
      <c r="AD7485" s="38">
        <v>3.6</v>
      </c>
    </row>
    <row r="7486" spans="1:30" x14ac:dyDescent="0.25">
      <c r="A7486" s="22">
        <v>45837</v>
      </c>
      <c r="B7486" s="38">
        <v>6</v>
      </c>
      <c r="C7486" s="38">
        <v>6.2</v>
      </c>
      <c r="D7486" s="38">
        <v>13.6</v>
      </c>
      <c r="E7486" s="38">
        <v>0</v>
      </c>
      <c r="F7486" s="38">
        <v>8</v>
      </c>
      <c r="G7486" s="38">
        <v>14.5</v>
      </c>
      <c r="H7486" s="38">
        <v>10.6</v>
      </c>
      <c r="I7486" s="38">
        <v>9.5</v>
      </c>
      <c r="J7486" s="38">
        <v>15</v>
      </c>
      <c r="K7486" s="38">
        <v>10.199999999999999</v>
      </c>
      <c r="L7486" s="38">
        <v>10.667999999999999</v>
      </c>
      <c r="M7486" s="38">
        <v>15</v>
      </c>
      <c r="N7486" s="38">
        <v>8.4</v>
      </c>
      <c r="P7486" s="38">
        <v>12</v>
      </c>
      <c r="Q7486" s="38">
        <v>6.4</v>
      </c>
      <c r="R7486" s="38">
        <v>6.1</v>
      </c>
      <c r="U7486" s="38">
        <v>6</v>
      </c>
      <c r="V7486" s="38">
        <v>5</v>
      </c>
      <c r="W7486" s="38">
        <v>8.1999999999999993</v>
      </c>
      <c r="X7486" s="38">
        <v>4.0999999999999996</v>
      </c>
      <c r="Y7486" s="38">
        <v>6</v>
      </c>
      <c r="Z7486" s="38">
        <v>6.5</v>
      </c>
      <c r="AA7486" s="38">
        <v>2</v>
      </c>
      <c r="AB7486" s="38">
        <v>26</v>
      </c>
      <c r="AC7486" s="39">
        <v>1</v>
      </c>
      <c r="AD7486" s="38">
        <v>9.0000000000000018</v>
      </c>
    </row>
    <row r="7487" spans="1:30" x14ac:dyDescent="0.25">
      <c r="A7487" s="22">
        <v>45838</v>
      </c>
      <c r="B7487" s="38">
        <v>20</v>
      </c>
      <c r="C7487" s="38">
        <v>13.6</v>
      </c>
      <c r="D7487" s="38">
        <v>18.2</v>
      </c>
      <c r="E7487" s="38">
        <v>0</v>
      </c>
      <c r="F7487" s="38">
        <v>16.100000000000001</v>
      </c>
      <c r="G7487" s="38">
        <v>24.5</v>
      </c>
      <c r="H7487" s="38">
        <v>26</v>
      </c>
      <c r="I7487" s="38">
        <v>17.100000000000001</v>
      </c>
      <c r="J7487" s="38">
        <v>0</v>
      </c>
      <c r="K7487" s="38">
        <v>24.5</v>
      </c>
      <c r="L7487" s="38">
        <v>8.636000000000001</v>
      </c>
      <c r="M7487" s="38">
        <v>23.1</v>
      </c>
      <c r="N7487" s="38">
        <v>30.199999999999989</v>
      </c>
      <c r="P7487" s="38">
        <v>6</v>
      </c>
      <c r="Q7487" s="38">
        <v>0.3</v>
      </c>
      <c r="R7487" s="38">
        <v>0</v>
      </c>
      <c r="U7487" s="38">
        <v>60</v>
      </c>
      <c r="V7487" s="38">
        <v>0</v>
      </c>
      <c r="W7487" s="38">
        <v>0</v>
      </c>
      <c r="X7487" s="38">
        <v>22</v>
      </c>
      <c r="Y7487" s="38">
        <v>18.399999999999999</v>
      </c>
      <c r="Z7487" s="38">
        <v>20.2</v>
      </c>
      <c r="AA7487" s="38">
        <v>20</v>
      </c>
      <c r="AB7487" s="38">
        <v>0</v>
      </c>
      <c r="AC7487" s="39">
        <v>1.7999999999999998</v>
      </c>
      <c r="AD7487" s="38">
        <v>12.799999999999999</v>
      </c>
    </row>
    <row r="7488" spans="1:30" x14ac:dyDescent="0.25">
      <c r="A7488" s="22">
        <v>45839</v>
      </c>
      <c r="B7488" s="38">
        <v>0</v>
      </c>
      <c r="C7488" s="38">
        <v>0.4</v>
      </c>
      <c r="D7488" s="38">
        <v>0.6</v>
      </c>
      <c r="E7488" s="38">
        <v>0</v>
      </c>
      <c r="F7488" s="38">
        <v>0.4</v>
      </c>
      <c r="G7488" s="38">
        <v>4.5</v>
      </c>
      <c r="H7488" s="38">
        <v>1.6</v>
      </c>
      <c r="I7488" s="38">
        <v>5.2</v>
      </c>
      <c r="J7488" s="38">
        <v>2</v>
      </c>
      <c r="K7488" s="38">
        <v>6.5</v>
      </c>
      <c r="L7488" s="38">
        <v>0</v>
      </c>
      <c r="M7488" s="38">
        <v>2.8</v>
      </c>
      <c r="N7488" s="38">
        <v>3.8000000000000003</v>
      </c>
      <c r="P7488" s="38">
        <v>1</v>
      </c>
      <c r="Q7488" s="38">
        <v>0.6</v>
      </c>
      <c r="R7488" s="38">
        <v>0</v>
      </c>
      <c r="U7488" s="38">
        <v>0</v>
      </c>
      <c r="V7488" s="38">
        <v>0.8</v>
      </c>
      <c r="W7488" s="38">
        <v>4.2</v>
      </c>
      <c r="X7488" s="38">
        <v>2</v>
      </c>
      <c r="Y7488" s="38">
        <v>2</v>
      </c>
      <c r="Z7488" s="38">
        <v>2.4</v>
      </c>
      <c r="AA7488" s="38">
        <v>0</v>
      </c>
      <c r="AB7488" s="38">
        <v>0</v>
      </c>
      <c r="AC7488" s="38">
        <v>2.6</v>
      </c>
      <c r="AD7488" s="38">
        <v>3.2</v>
      </c>
    </row>
    <row r="7489" spans="1:30" x14ac:dyDescent="0.25">
      <c r="A7489" s="22">
        <v>45840</v>
      </c>
      <c r="B7489" s="38">
        <v>0</v>
      </c>
      <c r="C7489" s="38">
        <v>0</v>
      </c>
      <c r="D7489" s="38">
        <v>0</v>
      </c>
      <c r="E7489" s="38">
        <v>0</v>
      </c>
      <c r="F7489" s="38" t="s">
        <v>9</v>
      </c>
      <c r="G7489" s="38">
        <v>4</v>
      </c>
      <c r="H7489" s="38">
        <v>0.4</v>
      </c>
      <c r="I7489" s="38">
        <v>0.2</v>
      </c>
      <c r="J7489" s="38">
        <v>0</v>
      </c>
      <c r="K7489" s="38">
        <v>2</v>
      </c>
      <c r="L7489" s="38">
        <v>0</v>
      </c>
      <c r="M7489" s="38">
        <v>2</v>
      </c>
      <c r="N7489" s="38">
        <v>0.2</v>
      </c>
      <c r="P7489" s="38">
        <v>0</v>
      </c>
      <c r="Q7489" s="38">
        <v>0</v>
      </c>
      <c r="R7489" s="38">
        <v>0</v>
      </c>
      <c r="U7489" s="38">
        <v>0</v>
      </c>
      <c r="V7489" s="38">
        <v>0</v>
      </c>
      <c r="W7489" s="38">
        <v>0.2</v>
      </c>
      <c r="X7489" s="38" t="s">
        <v>9</v>
      </c>
      <c r="Y7489" s="38">
        <v>0</v>
      </c>
      <c r="Z7489" s="38">
        <v>0</v>
      </c>
      <c r="AA7489" s="38">
        <v>0</v>
      </c>
      <c r="AB7489" s="38">
        <v>0</v>
      </c>
      <c r="AC7489" s="38">
        <v>1.9999999999999998</v>
      </c>
      <c r="AD7489" s="38">
        <v>0</v>
      </c>
    </row>
    <row r="7490" spans="1:30" x14ac:dyDescent="0.25">
      <c r="A7490" s="22">
        <v>45841</v>
      </c>
      <c r="B7490" s="38">
        <v>3</v>
      </c>
      <c r="C7490" s="38">
        <v>0</v>
      </c>
      <c r="D7490" s="38">
        <v>0.6</v>
      </c>
      <c r="E7490" s="38">
        <v>0</v>
      </c>
      <c r="F7490" s="38">
        <v>0</v>
      </c>
      <c r="G7490" s="38">
        <v>0</v>
      </c>
      <c r="H7490" s="38" t="s">
        <v>9</v>
      </c>
      <c r="I7490" s="38">
        <v>0</v>
      </c>
      <c r="J7490" s="38">
        <v>0</v>
      </c>
      <c r="K7490" s="38">
        <v>1.5</v>
      </c>
      <c r="L7490" s="38">
        <v>0</v>
      </c>
      <c r="M7490" s="38">
        <v>0</v>
      </c>
      <c r="N7490" s="38">
        <v>8</v>
      </c>
      <c r="P7490" s="38">
        <v>0</v>
      </c>
      <c r="Q7490" s="38">
        <v>10.199999999999999</v>
      </c>
      <c r="R7490" s="38">
        <v>0</v>
      </c>
      <c r="U7490" s="38">
        <v>0</v>
      </c>
      <c r="V7490" s="38">
        <v>0</v>
      </c>
      <c r="W7490" s="38">
        <v>0</v>
      </c>
      <c r="X7490" s="38" t="s">
        <v>9</v>
      </c>
      <c r="Y7490" s="38">
        <v>0</v>
      </c>
      <c r="Z7490" s="38">
        <v>0</v>
      </c>
      <c r="AA7490" s="38">
        <v>0</v>
      </c>
      <c r="AB7490" s="38">
        <v>0</v>
      </c>
      <c r="AC7490" s="38">
        <v>1.5999999999999999</v>
      </c>
      <c r="AD7490" s="38">
        <v>5.0000000000000009</v>
      </c>
    </row>
    <row r="7491" spans="1:30" x14ac:dyDescent="0.25">
      <c r="A7491" s="22">
        <v>45842</v>
      </c>
      <c r="B7491" s="38">
        <v>20</v>
      </c>
      <c r="C7491" s="38">
        <v>40.4</v>
      </c>
      <c r="D7491" s="38">
        <v>30.8</v>
      </c>
      <c r="E7491" s="38">
        <v>10</v>
      </c>
      <c r="F7491" s="38">
        <v>27.1</v>
      </c>
      <c r="G7491" s="38">
        <v>18</v>
      </c>
      <c r="H7491" s="38">
        <v>16</v>
      </c>
      <c r="I7491" s="38">
        <v>10.3</v>
      </c>
      <c r="J7491" s="38">
        <v>22.4</v>
      </c>
      <c r="K7491" s="38">
        <v>36.5</v>
      </c>
      <c r="L7491" s="38">
        <v>7.8739999999999997</v>
      </c>
      <c r="M7491" s="38">
        <v>16.8</v>
      </c>
      <c r="N7491" s="38">
        <v>47.800000000000026</v>
      </c>
      <c r="P7491" s="38">
        <v>12</v>
      </c>
      <c r="Q7491" s="38">
        <v>2.4</v>
      </c>
      <c r="R7491" s="38">
        <v>10</v>
      </c>
      <c r="U7491" s="38">
        <v>36</v>
      </c>
      <c r="V7491" s="38">
        <v>11.2</v>
      </c>
      <c r="W7491" s="38">
        <v>10.199999999999999</v>
      </c>
      <c r="X7491" s="38">
        <v>20</v>
      </c>
      <c r="Y7491" s="38">
        <v>32</v>
      </c>
      <c r="Z7491" s="38">
        <v>30</v>
      </c>
      <c r="AA7491" s="38">
        <v>28</v>
      </c>
      <c r="AB7491" s="38">
        <v>7</v>
      </c>
      <c r="AC7491" s="38">
        <v>2.1999999999999997</v>
      </c>
      <c r="AD7491" s="38">
        <v>6.200000000000002</v>
      </c>
    </row>
    <row r="7492" spans="1:30" x14ac:dyDescent="0.25">
      <c r="A7492" s="22">
        <v>45843</v>
      </c>
      <c r="B7492" s="38">
        <v>6</v>
      </c>
      <c r="C7492" s="38">
        <v>4.2</v>
      </c>
      <c r="D7492" s="38">
        <v>3.6</v>
      </c>
      <c r="E7492" s="38">
        <v>0</v>
      </c>
      <c r="F7492" s="38">
        <v>6.3</v>
      </c>
      <c r="G7492" s="38">
        <v>4</v>
      </c>
      <c r="H7492" s="38">
        <v>3.1</v>
      </c>
      <c r="I7492" s="38">
        <v>0.5</v>
      </c>
      <c r="J7492" s="38">
        <v>4.4000000000000004</v>
      </c>
      <c r="K7492" s="38">
        <v>6</v>
      </c>
      <c r="L7492" s="38">
        <v>1.5239999999999998</v>
      </c>
      <c r="M7492" s="38">
        <v>3.6</v>
      </c>
      <c r="N7492" s="38">
        <v>6.2</v>
      </c>
      <c r="P7492" s="38">
        <v>2</v>
      </c>
      <c r="Q7492" s="38">
        <v>9.8000000000000007</v>
      </c>
      <c r="R7492" s="38">
        <v>2.1</v>
      </c>
      <c r="U7492" s="38">
        <v>5</v>
      </c>
      <c r="V7492" s="38">
        <v>1.6</v>
      </c>
      <c r="W7492" s="38">
        <v>3.2</v>
      </c>
      <c r="X7492" s="38">
        <v>8</v>
      </c>
      <c r="Y7492" s="38">
        <v>0.2</v>
      </c>
      <c r="Z7492" s="38">
        <v>0.8</v>
      </c>
      <c r="AA7492" s="38">
        <v>6</v>
      </c>
      <c r="AB7492" s="38">
        <v>26</v>
      </c>
      <c r="AC7492" s="38">
        <v>1.9999999999999998</v>
      </c>
      <c r="AD7492" s="38">
        <v>6.4000000000000021</v>
      </c>
    </row>
    <row r="7493" spans="1:30" x14ac:dyDescent="0.25">
      <c r="A7493" s="22">
        <v>45844</v>
      </c>
      <c r="B7493" s="38">
        <v>0</v>
      </c>
      <c r="C7493" s="38">
        <v>2</v>
      </c>
      <c r="D7493" s="38">
        <v>10</v>
      </c>
      <c r="E7493" s="38">
        <v>16</v>
      </c>
      <c r="F7493" s="38">
        <v>2.4</v>
      </c>
      <c r="G7493" s="38">
        <v>3</v>
      </c>
      <c r="H7493" s="38">
        <v>1.4</v>
      </c>
      <c r="I7493" s="38">
        <v>5</v>
      </c>
      <c r="J7493" s="38">
        <v>3</v>
      </c>
      <c r="K7493" s="38">
        <v>2</v>
      </c>
      <c r="L7493" s="38">
        <v>2.794</v>
      </c>
      <c r="M7493" s="38">
        <v>2.8</v>
      </c>
      <c r="N7493" s="38">
        <v>1.2</v>
      </c>
      <c r="P7493" s="38">
        <v>15</v>
      </c>
      <c r="Q7493" s="38">
        <v>9.5</v>
      </c>
      <c r="R7493" s="38">
        <v>8</v>
      </c>
      <c r="U7493" s="38">
        <v>4</v>
      </c>
      <c r="V7493" s="38">
        <v>3.2</v>
      </c>
      <c r="W7493" s="38">
        <v>8</v>
      </c>
      <c r="X7493" s="38">
        <v>14</v>
      </c>
      <c r="Y7493" s="38">
        <v>8</v>
      </c>
      <c r="Z7493" s="38">
        <v>8.5</v>
      </c>
      <c r="AA7493" s="38">
        <v>8</v>
      </c>
      <c r="AB7493" s="38">
        <v>30</v>
      </c>
      <c r="AC7493" s="38">
        <v>1.5999999999999999</v>
      </c>
      <c r="AD7493" s="38">
        <v>1.2</v>
      </c>
    </row>
    <row r="7494" spans="1:30" x14ac:dyDescent="0.25">
      <c r="A7494" s="22">
        <v>45845</v>
      </c>
      <c r="B7494" s="38">
        <v>27</v>
      </c>
      <c r="C7494" s="38">
        <v>14</v>
      </c>
      <c r="D7494" s="38">
        <v>10</v>
      </c>
      <c r="E7494" s="38">
        <v>10</v>
      </c>
      <c r="F7494" s="38">
        <v>1.3</v>
      </c>
      <c r="G7494" s="38">
        <v>7.5</v>
      </c>
      <c r="H7494" s="38">
        <v>1</v>
      </c>
      <c r="I7494" s="38">
        <v>4.8</v>
      </c>
      <c r="J7494" s="38">
        <v>6</v>
      </c>
      <c r="K7494" s="38">
        <v>6.3</v>
      </c>
      <c r="L7494" s="38">
        <v>20.065999999999999</v>
      </c>
      <c r="M7494" s="38">
        <v>2</v>
      </c>
      <c r="N7494" s="38">
        <v>21.599999999999991</v>
      </c>
      <c r="P7494" s="38">
        <v>7</v>
      </c>
      <c r="Q7494" s="38">
        <v>12.4</v>
      </c>
      <c r="R7494" s="38">
        <v>10</v>
      </c>
      <c r="U7494" s="38">
        <v>4</v>
      </c>
      <c r="V7494" s="38">
        <v>2.2000000000000002</v>
      </c>
      <c r="W7494" s="38">
        <v>6.2</v>
      </c>
      <c r="X7494" s="38">
        <v>8</v>
      </c>
      <c r="Y7494" s="38">
        <v>4</v>
      </c>
      <c r="Z7494" s="38">
        <v>8.1999999999999993</v>
      </c>
      <c r="AA7494" s="38">
        <v>2</v>
      </c>
      <c r="AB7494" s="38">
        <v>16</v>
      </c>
      <c r="AC7494" s="38">
        <v>1.7999999999999998</v>
      </c>
      <c r="AD7494" s="38">
        <v>17.599999999999998</v>
      </c>
    </row>
    <row r="7495" spans="1:30" x14ac:dyDescent="0.25">
      <c r="A7495" s="22">
        <v>45846</v>
      </c>
      <c r="B7495" s="38">
        <v>10</v>
      </c>
      <c r="C7495" s="38">
        <v>16.8</v>
      </c>
      <c r="D7495" s="38">
        <v>17.8</v>
      </c>
      <c r="E7495" s="38">
        <v>10</v>
      </c>
      <c r="F7495" s="38">
        <v>7</v>
      </c>
      <c r="G7495" s="38">
        <v>5.5</v>
      </c>
      <c r="H7495" s="38">
        <v>11</v>
      </c>
      <c r="I7495" s="38">
        <v>8.3000000000000007</v>
      </c>
      <c r="J7495" s="38">
        <v>23</v>
      </c>
      <c r="K7495" s="38">
        <v>19.8</v>
      </c>
      <c r="L7495" s="38">
        <v>7.3659999999999988</v>
      </c>
      <c r="M7495" s="38">
        <v>11</v>
      </c>
      <c r="N7495" s="38">
        <v>12.199999999999998</v>
      </c>
      <c r="P7495" s="38">
        <v>15</v>
      </c>
      <c r="Q7495" s="38">
        <v>1.2</v>
      </c>
      <c r="R7495" s="38">
        <v>6</v>
      </c>
      <c r="U7495" s="38">
        <v>16</v>
      </c>
      <c r="V7495" s="38">
        <v>1.6</v>
      </c>
      <c r="W7495" s="38">
        <v>12</v>
      </c>
      <c r="X7495" s="38">
        <v>6</v>
      </c>
      <c r="Y7495" s="38">
        <v>12.4</v>
      </c>
      <c r="Z7495" s="38">
        <v>10</v>
      </c>
      <c r="AA7495" s="38">
        <v>14</v>
      </c>
      <c r="AB7495" s="38">
        <v>42</v>
      </c>
      <c r="AC7495" s="38">
        <v>2.1999999999999997</v>
      </c>
      <c r="AD7495" s="38">
        <v>10.599999999999998</v>
      </c>
    </row>
    <row r="7496" spans="1:30" x14ac:dyDescent="0.25">
      <c r="A7496" s="22">
        <v>45847</v>
      </c>
      <c r="B7496" s="38">
        <v>0</v>
      </c>
      <c r="C7496" s="38">
        <v>2</v>
      </c>
      <c r="D7496" s="38">
        <v>1.8</v>
      </c>
      <c r="E7496" s="38">
        <v>0</v>
      </c>
      <c r="F7496" s="38">
        <v>3.4</v>
      </c>
      <c r="G7496" s="38">
        <v>5.5</v>
      </c>
      <c r="H7496" s="38">
        <v>4.8</v>
      </c>
      <c r="I7496" s="38">
        <v>7.8</v>
      </c>
      <c r="J7496" s="38">
        <v>6.1</v>
      </c>
      <c r="K7496" s="38">
        <v>2.2999999999999998</v>
      </c>
      <c r="L7496" s="38">
        <v>2.2859999999999996</v>
      </c>
      <c r="M7496" s="38">
        <v>6.4</v>
      </c>
      <c r="N7496" s="38">
        <v>1.4000000000000001</v>
      </c>
      <c r="P7496" s="38">
        <v>0</v>
      </c>
      <c r="Q7496" s="38">
        <v>10.8</v>
      </c>
      <c r="R7496" s="38">
        <v>0</v>
      </c>
      <c r="U7496" s="38">
        <v>2</v>
      </c>
      <c r="V7496" s="38">
        <v>0</v>
      </c>
      <c r="W7496" s="38">
        <v>0</v>
      </c>
      <c r="X7496" s="38">
        <v>2</v>
      </c>
      <c r="Y7496" s="38">
        <v>2</v>
      </c>
      <c r="Z7496" s="38">
        <v>4</v>
      </c>
      <c r="AA7496" s="38">
        <v>0</v>
      </c>
      <c r="AB7496" s="38">
        <v>0</v>
      </c>
      <c r="AC7496" s="38">
        <v>2.4</v>
      </c>
      <c r="AD7496" s="38">
        <v>0</v>
      </c>
    </row>
    <row r="7497" spans="1:30" x14ac:dyDescent="0.25">
      <c r="A7497" s="22">
        <v>45848</v>
      </c>
      <c r="B7497" s="38">
        <v>20</v>
      </c>
      <c r="C7497" s="38">
        <v>1.2</v>
      </c>
      <c r="D7497" s="38">
        <v>7.6</v>
      </c>
      <c r="E7497" s="38">
        <v>8</v>
      </c>
      <c r="F7497" s="38">
        <v>14.4</v>
      </c>
      <c r="G7497" s="38">
        <v>2.9</v>
      </c>
      <c r="H7497" s="38">
        <v>11</v>
      </c>
      <c r="I7497" s="38">
        <v>4</v>
      </c>
      <c r="J7497" s="38">
        <v>13</v>
      </c>
      <c r="K7497" s="38">
        <v>12.5</v>
      </c>
      <c r="L7497" s="38">
        <v>14.477999999999998</v>
      </c>
      <c r="M7497" s="38">
        <v>10.6</v>
      </c>
      <c r="N7497" s="38">
        <v>32.79999999999999</v>
      </c>
      <c r="P7497" s="38">
        <v>8</v>
      </c>
      <c r="Q7497" s="38">
        <v>26.2</v>
      </c>
      <c r="R7497" s="38">
        <v>11</v>
      </c>
      <c r="U7497" s="38">
        <v>14</v>
      </c>
      <c r="V7497" s="38">
        <v>4.2</v>
      </c>
      <c r="W7497" s="38">
        <v>8</v>
      </c>
      <c r="X7497" s="38">
        <v>10</v>
      </c>
      <c r="Y7497" s="38">
        <v>16</v>
      </c>
      <c r="Z7497" s="38">
        <v>16.5</v>
      </c>
      <c r="AA7497" s="38">
        <v>2</v>
      </c>
      <c r="AB7497" s="38">
        <v>42</v>
      </c>
      <c r="AC7497" s="38">
        <v>2.4</v>
      </c>
      <c r="AD7497" s="38">
        <v>19.799999999999994</v>
      </c>
    </row>
    <row r="7498" spans="1:30" x14ac:dyDescent="0.25">
      <c r="A7498" s="22">
        <v>45849</v>
      </c>
      <c r="B7498" s="38">
        <v>52</v>
      </c>
      <c r="C7498" s="38">
        <v>58.2</v>
      </c>
      <c r="D7498" s="38">
        <v>36.4</v>
      </c>
      <c r="E7498" s="38">
        <v>35</v>
      </c>
      <c r="F7498" s="38">
        <v>27.2</v>
      </c>
      <c r="G7498" s="38">
        <v>46.5</v>
      </c>
      <c r="H7498" s="38">
        <v>29.3</v>
      </c>
      <c r="I7498" s="38">
        <v>68.8</v>
      </c>
      <c r="J7498" s="38">
        <v>13</v>
      </c>
      <c r="K7498" s="38">
        <v>34.9</v>
      </c>
      <c r="L7498" s="38">
        <v>20.065999999999999</v>
      </c>
      <c r="M7498" s="38">
        <v>31.6</v>
      </c>
      <c r="N7498" s="38">
        <v>18.399999999999999</v>
      </c>
      <c r="P7498" s="38">
        <v>28</v>
      </c>
      <c r="Q7498" s="38">
        <v>7.6</v>
      </c>
      <c r="R7498" s="38">
        <v>22</v>
      </c>
      <c r="U7498" s="38">
        <v>36</v>
      </c>
      <c r="V7498" s="38">
        <v>22.2</v>
      </c>
      <c r="W7498" s="38">
        <v>38.4</v>
      </c>
      <c r="X7498" s="38">
        <v>17</v>
      </c>
      <c r="Y7498" s="38">
        <v>18</v>
      </c>
      <c r="Z7498" s="38">
        <v>21.4</v>
      </c>
      <c r="AA7498" s="38">
        <v>36</v>
      </c>
      <c r="AB7498" s="38">
        <v>72</v>
      </c>
      <c r="AC7498" s="38">
        <v>2.6</v>
      </c>
      <c r="AD7498" s="38">
        <v>13.399999999999991</v>
      </c>
    </row>
    <row r="7499" spans="1:30" x14ac:dyDescent="0.25">
      <c r="A7499" s="22">
        <v>45850</v>
      </c>
      <c r="B7499" s="38">
        <v>0</v>
      </c>
      <c r="C7499" s="38">
        <v>16</v>
      </c>
      <c r="D7499" s="38">
        <v>14.6</v>
      </c>
      <c r="E7499" s="38">
        <v>0</v>
      </c>
      <c r="F7499" s="38">
        <v>2.1</v>
      </c>
      <c r="G7499" s="38">
        <v>3.5</v>
      </c>
      <c r="H7499" s="38">
        <v>1.6</v>
      </c>
      <c r="I7499" s="38">
        <v>11.5</v>
      </c>
      <c r="J7499" s="38">
        <v>12.2</v>
      </c>
      <c r="K7499" s="38">
        <v>14.5</v>
      </c>
      <c r="L7499" s="38">
        <v>10.667999999999999</v>
      </c>
      <c r="M7499" s="38">
        <v>2.4</v>
      </c>
      <c r="N7499" s="38">
        <v>0.8</v>
      </c>
      <c r="P7499" s="38">
        <v>6</v>
      </c>
      <c r="Q7499" s="38">
        <v>0</v>
      </c>
      <c r="R7499" s="38">
        <v>13.1</v>
      </c>
      <c r="U7499" s="38">
        <v>12</v>
      </c>
      <c r="V7499" s="38">
        <v>1.8</v>
      </c>
      <c r="W7499" s="38">
        <v>4</v>
      </c>
      <c r="X7499" s="38">
        <v>11</v>
      </c>
      <c r="Y7499" s="38">
        <v>2.6</v>
      </c>
      <c r="Z7499" s="38">
        <v>6</v>
      </c>
      <c r="AA7499" s="38">
        <v>0</v>
      </c>
      <c r="AB7499" s="38">
        <v>85</v>
      </c>
      <c r="AC7499" s="38">
        <v>2.4</v>
      </c>
      <c r="AD7499" s="38">
        <v>0</v>
      </c>
    </row>
    <row r="7500" spans="1:30" x14ac:dyDescent="0.25">
      <c r="A7500" s="22">
        <v>45851</v>
      </c>
      <c r="B7500" s="38">
        <v>0</v>
      </c>
      <c r="C7500" s="38">
        <v>10.199999999999999</v>
      </c>
      <c r="D7500" s="38">
        <v>2</v>
      </c>
      <c r="E7500" s="38">
        <v>14</v>
      </c>
      <c r="F7500" s="38">
        <v>6.3</v>
      </c>
      <c r="G7500" s="38">
        <v>4</v>
      </c>
      <c r="H7500" s="38">
        <v>8</v>
      </c>
      <c r="I7500" s="38">
        <v>4.8</v>
      </c>
      <c r="J7500" s="38">
        <v>1</v>
      </c>
      <c r="K7500" s="38">
        <v>2</v>
      </c>
      <c r="L7500" s="38">
        <v>0.50800000000000001</v>
      </c>
      <c r="M7500" s="38">
        <v>8.1</v>
      </c>
      <c r="N7500" s="38">
        <v>1.5999999999999999</v>
      </c>
      <c r="P7500" s="38">
        <v>1</v>
      </c>
      <c r="Q7500" s="38">
        <v>5</v>
      </c>
      <c r="R7500" s="38">
        <v>5.9</v>
      </c>
      <c r="U7500" s="38">
        <v>0</v>
      </c>
      <c r="V7500" s="38">
        <v>8.1999999999999993</v>
      </c>
      <c r="W7500" s="38">
        <v>4.2</v>
      </c>
      <c r="X7500" s="38">
        <v>4.2</v>
      </c>
      <c r="Y7500" s="38">
        <v>4.5</v>
      </c>
      <c r="Z7500" s="38">
        <v>4</v>
      </c>
      <c r="AA7500" s="38">
        <v>0</v>
      </c>
      <c r="AB7500" s="38">
        <v>0</v>
      </c>
      <c r="AC7500" s="38">
        <v>1.7999999999999998</v>
      </c>
      <c r="AD7500" s="38">
        <v>3.0000000000000004</v>
      </c>
    </row>
    <row r="7501" spans="1:30" x14ac:dyDescent="0.25">
      <c r="A7501" s="22">
        <v>45852</v>
      </c>
      <c r="B7501" s="38">
        <v>13</v>
      </c>
      <c r="C7501" s="38">
        <v>14</v>
      </c>
      <c r="D7501" s="38">
        <v>14.6</v>
      </c>
      <c r="E7501" s="38">
        <v>0</v>
      </c>
      <c r="F7501" s="38">
        <v>0.1</v>
      </c>
      <c r="G7501" s="38">
        <v>15</v>
      </c>
      <c r="H7501" s="38">
        <v>4.4000000000000004</v>
      </c>
      <c r="I7501" s="38">
        <v>8.1999999999999993</v>
      </c>
      <c r="J7501" s="38">
        <v>12.4</v>
      </c>
      <c r="K7501" s="38">
        <v>16.399999999999999</v>
      </c>
      <c r="L7501" s="38">
        <v>1.778</v>
      </c>
      <c r="M7501" s="38">
        <v>15.2</v>
      </c>
      <c r="N7501" s="38">
        <v>12.599999999999998</v>
      </c>
      <c r="P7501" s="38">
        <v>0</v>
      </c>
      <c r="Q7501" s="38">
        <v>0.3</v>
      </c>
      <c r="R7501" s="38">
        <v>0</v>
      </c>
      <c r="U7501" s="38">
        <v>0</v>
      </c>
      <c r="V7501" s="38">
        <v>4.2</v>
      </c>
      <c r="W7501" s="38">
        <v>7.2</v>
      </c>
      <c r="X7501" s="38">
        <v>2</v>
      </c>
      <c r="Y7501" s="38" t="s">
        <v>9</v>
      </c>
      <c r="Z7501" s="38" t="s">
        <v>9</v>
      </c>
      <c r="AA7501" s="38">
        <v>2</v>
      </c>
      <c r="AB7501" s="38">
        <v>0</v>
      </c>
      <c r="AC7501" s="38">
        <v>1.7999999999999998</v>
      </c>
      <c r="AD7501" s="38">
        <v>15.999999999999998</v>
      </c>
    </row>
    <row r="7502" spans="1:30" x14ac:dyDescent="0.25">
      <c r="A7502" s="22">
        <v>45853</v>
      </c>
      <c r="B7502" s="38">
        <v>4</v>
      </c>
      <c r="C7502" s="38">
        <v>1.2</v>
      </c>
      <c r="D7502" s="38">
        <v>0</v>
      </c>
      <c r="E7502" s="38">
        <v>0</v>
      </c>
      <c r="F7502" s="38">
        <v>4</v>
      </c>
      <c r="G7502" s="38">
        <v>4.5</v>
      </c>
      <c r="H7502" s="38">
        <v>4.4000000000000004</v>
      </c>
      <c r="I7502" s="38">
        <v>2.8</v>
      </c>
      <c r="J7502" s="38">
        <v>3</v>
      </c>
      <c r="K7502" s="38">
        <v>0.2</v>
      </c>
      <c r="L7502" s="38">
        <v>7.8739999999999997</v>
      </c>
      <c r="M7502" s="38">
        <v>3.1</v>
      </c>
      <c r="N7502" s="38">
        <v>6.0000000000000018</v>
      </c>
      <c r="P7502" s="38">
        <v>4</v>
      </c>
      <c r="Q7502" s="38">
        <v>14.4</v>
      </c>
      <c r="R7502" s="38">
        <v>4.5</v>
      </c>
      <c r="U7502" s="38">
        <v>10</v>
      </c>
      <c r="V7502" s="38">
        <v>3</v>
      </c>
      <c r="W7502" s="38">
        <v>5</v>
      </c>
      <c r="X7502" s="38" t="s">
        <v>9</v>
      </c>
      <c r="Y7502" s="38">
        <v>0</v>
      </c>
      <c r="Z7502" s="38">
        <v>2.4</v>
      </c>
      <c r="AA7502" s="38">
        <v>0</v>
      </c>
      <c r="AB7502" s="38">
        <v>2</v>
      </c>
      <c r="AC7502" s="38">
        <v>1.5999999999999999</v>
      </c>
      <c r="AD7502" s="38">
        <v>16</v>
      </c>
    </row>
    <row r="7503" spans="1:30" x14ac:dyDescent="0.25">
      <c r="A7503" s="22">
        <v>45854</v>
      </c>
      <c r="B7503" s="38">
        <v>8</v>
      </c>
      <c r="C7503" s="38">
        <v>14.2</v>
      </c>
      <c r="D7503" s="38">
        <v>20</v>
      </c>
      <c r="E7503" s="38">
        <v>10</v>
      </c>
      <c r="F7503" s="38">
        <v>3.3</v>
      </c>
      <c r="G7503" s="38">
        <v>7.5</v>
      </c>
      <c r="H7503" s="38">
        <v>3.1</v>
      </c>
      <c r="I7503" s="38">
        <v>3.5</v>
      </c>
      <c r="J7503" s="38">
        <v>8.3000000000000007</v>
      </c>
      <c r="K7503" s="38">
        <v>3.8</v>
      </c>
      <c r="L7503" s="38">
        <v>8.636000000000001</v>
      </c>
      <c r="M7503" s="38">
        <v>5.5</v>
      </c>
      <c r="N7503" s="38">
        <v>0.60000000000000009</v>
      </c>
      <c r="P7503" s="38">
        <v>6</v>
      </c>
      <c r="Q7503" s="38">
        <v>4.2</v>
      </c>
      <c r="R7503" s="38">
        <v>1</v>
      </c>
      <c r="U7503" s="38">
        <v>10</v>
      </c>
      <c r="V7503" s="38">
        <v>3.2</v>
      </c>
      <c r="W7503" s="38">
        <v>8</v>
      </c>
      <c r="X7503" s="38">
        <v>5</v>
      </c>
      <c r="Y7503" s="38">
        <v>6</v>
      </c>
      <c r="Z7503" s="38">
        <v>6.8</v>
      </c>
      <c r="AA7503" s="38">
        <v>10</v>
      </c>
      <c r="AB7503" s="38">
        <v>30</v>
      </c>
      <c r="AC7503" s="38">
        <v>1.7999999999999998</v>
      </c>
      <c r="AD7503" s="38">
        <v>0.60000000000000009</v>
      </c>
    </row>
    <row r="7504" spans="1:30" x14ac:dyDescent="0.25">
      <c r="A7504" s="22">
        <v>45855</v>
      </c>
      <c r="B7504" s="38">
        <v>9</v>
      </c>
      <c r="C7504" s="38">
        <v>9.6</v>
      </c>
      <c r="D7504" s="38">
        <v>16.2</v>
      </c>
      <c r="E7504" s="38">
        <v>5</v>
      </c>
      <c r="F7504" s="38">
        <v>1</v>
      </c>
      <c r="G7504" s="38">
        <v>6</v>
      </c>
      <c r="H7504" s="38">
        <v>2.8</v>
      </c>
      <c r="I7504" s="38">
        <v>7.2</v>
      </c>
      <c r="J7504" s="38">
        <v>7</v>
      </c>
      <c r="K7504" s="38">
        <v>3.2</v>
      </c>
      <c r="L7504" s="38">
        <v>0</v>
      </c>
      <c r="M7504" s="38">
        <v>6.4</v>
      </c>
      <c r="N7504" s="38">
        <v>8.2000000000000011</v>
      </c>
      <c r="P7504" s="38">
        <v>2</v>
      </c>
      <c r="Q7504" s="38">
        <v>0</v>
      </c>
      <c r="R7504" s="38">
        <v>3.9</v>
      </c>
      <c r="U7504" s="38">
        <v>14</v>
      </c>
      <c r="V7504" s="38">
        <v>5.2</v>
      </c>
      <c r="W7504" s="38">
        <v>8.1999999999999993</v>
      </c>
      <c r="X7504" s="38">
        <v>10.199999999999999</v>
      </c>
      <c r="Y7504" s="38">
        <v>0.5</v>
      </c>
      <c r="Z7504" s="38" t="s">
        <v>9</v>
      </c>
      <c r="AA7504" s="38">
        <v>4</v>
      </c>
      <c r="AB7504" s="38">
        <v>8</v>
      </c>
      <c r="AC7504" s="38">
        <v>1.5999999999999999</v>
      </c>
      <c r="AD7504" s="38">
        <v>1.4</v>
      </c>
    </row>
    <row r="7505" spans="1:30" x14ac:dyDescent="0.25">
      <c r="A7505" s="22">
        <v>45856</v>
      </c>
      <c r="B7505" s="38">
        <v>0</v>
      </c>
      <c r="C7505" s="38">
        <v>4.2</v>
      </c>
      <c r="D7505" s="38">
        <v>0</v>
      </c>
      <c r="E7505" s="38">
        <v>0</v>
      </c>
      <c r="F7505" s="38">
        <v>0</v>
      </c>
      <c r="G7505" s="38">
        <v>0</v>
      </c>
      <c r="H7505" s="38">
        <v>0</v>
      </c>
      <c r="I7505" s="38">
        <v>1.1000000000000001</v>
      </c>
      <c r="J7505" s="38">
        <v>0</v>
      </c>
      <c r="K7505" s="38">
        <v>0</v>
      </c>
      <c r="L7505" s="38">
        <v>1.778</v>
      </c>
      <c r="M7505" s="38">
        <v>0.2</v>
      </c>
      <c r="N7505" s="38">
        <v>0</v>
      </c>
      <c r="P7505" s="38">
        <v>0</v>
      </c>
      <c r="Q7505" s="38">
        <v>3.8</v>
      </c>
      <c r="R7505" s="38">
        <v>0</v>
      </c>
      <c r="U7505" s="38">
        <v>0</v>
      </c>
      <c r="V7505" s="38">
        <v>0</v>
      </c>
      <c r="W7505" s="38">
        <v>0</v>
      </c>
      <c r="X7505" s="38" t="s">
        <v>9</v>
      </c>
      <c r="Y7505" s="38">
        <v>0</v>
      </c>
      <c r="Z7505" s="38">
        <v>0</v>
      </c>
      <c r="AA7505" s="38">
        <v>0</v>
      </c>
      <c r="AB7505" s="38">
        <v>1</v>
      </c>
      <c r="AC7505" s="38">
        <v>1</v>
      </c>
      <c r="AD7505" s="38">
        <v>0</v>
      </c>
    </row>
    <row r="7506" spans="1:30" x14ac:dyDescent="0.25">
      <c r="A7506" s="22">
        <v>45857</v>
      </c>
      <c r="B7506" s="38">
        <v>0</v>
      </c>
      <c r="C7506" s="38">
        <v>4.4000000000000004</v>
      </c>
      <c r="D7506" s="38">
        <v>15.2</v>
      </c>
      <c r="E7506" s="38">
        <v>0</v>
      </c>
      <c r="F7506" s="38">
        <v>0</v>
      </c>
      <c r="G7506" s="38">
        <v>1</v>
      </c>
      <c r="H7506" s="38">
        <v>1.1000000000000001</v>
      </c>
      <c r="I7506" s="38">
        <v>0.5</v>
      </c>
      <c r="J7506" s="38">
        <v>8.4</v>
      </c>
      <c r="K7506" s="38">
        <v>8.6</v>
      </c>
      <c r="L7506" s="38">
        <v>0</v>
      </c>
      <c r="M7506" s="38">
        <v>1.8</v>
      </c>
      <c r="N7506" s="38">
        <v>9.3999999999999986</v>
      </c>
      <c r="P7506" s="38">
        <v>8</v>
      </c>
      <c r="Q7506" s="38">
        <v>0</v>
      </c>
      <c r="R7506" s="38">
        <v>6.2</v>
      </c>
      <c r="U7506" s="38">
        <v>8</v>
      </c>
      <c r="V7506" s="38">
        <v>6</v>
      </c>
      <c r="W7506" s="38">
        <v>0</v>
      </c>
      <c r="X7506" s="38">
        <v>3</v>
      </c>
      <c r="Y7506" s="38">
        <v>0.8</v>
      </c>
      <c r="Z7506" s="38">
        <v>2.4</v>
      </c>
      <c r="AA7506" s="38">
        <v>0</v>
      </c>
      <c r="AB7506" s="38">
        <v>5</v>
      </c>
      <c r="AC7506" s="38">
        <v>1.4</v>
      </c>
      <c r="AD7506" s="38">
        <v>0.8</v>
      </c>
    </row>
    <row r="7507" spans="1:30" x14ac:dyDescent="0.25">
      <c r="A7507" s="22">
        <v>45858</v>
      </c>
      <c r="B7507" s="38">
        <v>0</v>
      </c>
      <c r="C7507" s="38">
        <v>0</v>
      </c>
      <c r="D7507" s="38">
        <v>2</v>
      </c>
      <c r="E7507" s="38">
        <v>0</v>
      </c>
      <c r="F7507" s="38">
        <v>3.1</v>
      </c>
      <c r="G7507" s="38">
        <v>8.5</v>
      </c>
      <c r="H7507" s="38">
        <v>3</v>
      </c>
      <c r="I7507" s="38">
        <v>2.2999999999999998</v>
      </c>
      <c r="J7507" s="38">
        <v>4.5</v>
      </c>
      <c r="K7507" s="38">
        <v>0.8</v>
      </c>
      <c r="L7507" s="38">
        <v>0</v>
      </c>
      <c r="M7507" s="38">
        <v>2.8</v>
      </c>
      <c r="N7507" s="38">
        <v>4.4000000000000004</v>
      </c>
      <c r="P7507" s="38">
        <v>0</v>
      </c>
      <c r="Q7507" s="38">
        <v>3.6</v>
      </c>
      <c r="R7507" s="38">
        <v>11</v>
      </c>
      <c r="U7507" s="38">
        <v>5</v>
      </c>
      <c r="V7507" s="38">
        <v>8.1999999999999993</v>
      </c>
      <c r="W7507" s="38">
        <v>14.2</v>
      </c>
      <c r="X7507" s="38">
        <v>8.4</v>
      </c>
      <c r="Y7507" s="38">
        <v>2</v>
      </c>
      <c r="Z7507" s="38">
        <v>2</v>
      </c>
      <c r="AA7507" s="38">
        <v>2</v>
      </c>
      <c r="AB7507" s="38">
        <v>3</v>
      </c>
      <c r="AC7507" s="38">
        <v>0.8</v>
      </c>
      <c r="AD7507" s="38">
        <v>2.4000000000000004</v>
      </c>
    </row>
    <row r="7508" spans="1:30" x14ac:dyDescent="0.25">
      <c r="A7508" s="22">
        <v>45859</v>
      </c>
      <c r="B7508" s="38">
        <v>11</v>
      </c>
      <c r="C7508" s="38">
        <v>7.2</v>
      </c>
      <c r="D7508" s="38">
        <v>2</v>
      </c>
      <c r="E7508" s="38">
        <v>4</v>
      </c>
      <c r="F7508" s="38">
        <v>1.1000000000000001</v>
      </c>
      <c r="G7508" s="38">
        <v>8.5</v>
      </c>
      <c r="H7508" s="38">
        <v>1.2</v>
      </c>
      <c r="I7508" s="38">
        <v>8</v>
      </c>
      <c r="J7508" s="38">
        <v>9</v>
      </c>
      <c r="K7508" s="38">
        <v>10</v>
      </c>
      <c r="L7508" s="38">
        <v>6.8579999999999997</v>
      </c>
      <c r="M7508" s="38">
        <v>4.5999999999999996</v>
      </c>
      <c r="N7508" s="38">
        <v>9.1999999999999993</v>
      </c>
      <c r="P7508" s="38">
        <v>0</v>
      </c>
      <c r="Q7508" s="38">
        <v>22</v>
      </c>
      <c r="R7508" s="38">
        <v>1</v>
      </c>
      <c r="U7508" s="38">
        <v>14</v>
      </c>
      <c r="V7508" s="38">
        <v>10.199999999999999</v>
      </c>
      <c r="W7508" s="38">
        <v>12.5</v>
      </c>
      <c r="X7508" s="38">
        <v>6.5</v>
      </c>
      <c r="Y7508" s="38">
        <v>4</v>
      </c>
      <c r="Z7508" s="38">
        <v>6</v>
      </c>
      <c r="AA7508" s="38">
        <v>8</v>
      </c>
      <c r="AB7508" s="38">
        <v>7</v>
      </c>
      <c r="AC7508" s="38">
        <v>0.8</v>
      </c>
      <c r="AD7508" s="38">
        <v>0</v>
      </c>
    </row>
    <row r="7509" spans="1:30" x14ac:dyDescent="0.25">
      <c r="A7509" s="22">
        <v>45860</v>
      </c>
      <c r="B7509" s="38">
        <v>15</v>
      </c>
      <c r="C7509" s="38">
        <v>39.6</v>
      </c>
      <c r="D7509" s="38">
        <v>34.6</v>
      </c>
      <c r="E7509" s="38">
        <v>10</v>
      </c>
      <c r="F7509" s="38">
        <v>23.1</v>
      </c>
      <c r="G7509" s="38">
        <v>22.5</v>
      </c>
      <c r="H7509" s="38">
        <v>32.799999999999997</v>
      </c>
      <c r="I7509" s="38">
        <v>20.3</v>
      </c>
      <c r="J7509" s="38">
        <v>20</v>
      </c>
      <c r="K7509" s="38">
        <v>12</v>
      </c>
      <c r="L7509" s="38">
        <v>13.715999999999999</v>
      </c>
      <c r="M7509" s="38">
        <v>28</v>
      </c>
      <c r="N7509" s="38">
        <v>26.199999999999992</v>
      </c>
      <c r="P7509" s="38">
        <v>14</v>
      </c>
      <c r="Q7509" s="38">
        <v>8.1</v>
      </c>
      <c r="R7509" s="38">
        <v>5.5</v>
      </c>
      <c r="U7509" s="38">
        <v>38</v>
      </c>
      <c r="V7509" s="38">
        <v>14.2</v>
      </c>
      <c r="W7509" s="38">
        <v>27</v>
      </c>
      <c r="X7509" s="38">
        <v>25</v>
      </c>
      <c r="Y7509" s="38">
        <v>14.2</v>
      </c>
      <c r="Z7509" s="38">
        <v>18.600000000000001</v>
      </c>
      <c r="AA7509" s="38">
        <v>16</v>
      </c>
      <c r="AB7509" s="38">
        <v>4</v>
      </c>
      <c r="AC7509" s="38">
        <v>0.4</v>
      </c>
      <c r="AD7509" s="38">
        <v>11.799999999999992</v>
      </c>
    </row>
    <row r="7510" spans="1:30" x14ac:dyDescent="0.25">
      <c r="A7510" s="22">
        <v>45861</v>
      </c>
      <c r="B7510" s="38">
        <v>13</v>
      </c>
      <c r="C7510" s="38">
        <v>5.2</v>
      </c>
      <c r="D7510" s="38">
        <v>15.8</v>
      </c>
      <c r="E7510" s="38">
        <v>0</v>
      </c>
      <c r="F7510" s="38">
        <v>7.1</v>
      </c>
      <c r="G7510" s="38">
        <v>5.5</v>
      </c>
      <c r="H7510" s="38">
        <v>2.2000000000000002</v>
      </c>
      <c r="I7510" s="38">
        <v>2.9</v>
      </c>
      <c r="J7510" s="38">
        <v>10.1</v>
      </c>
      <c r="K7510" s="38">
        <v>10</v>
      </c>
      <c r="L7510" s="38">
        <v>4.8259999999999996</v>
      </c>
      <c r="M7510" s="38">
        <v>2</v>
      </c>
      <c r="N7510" s="38">
        <v>5</v>
      </c>
      <c r="P7510" s="38">
        <v>6</v>
      </c>
      <c r="Q7510" s="38">
        <v>1.7</v>
      </c>
      <c r="R7510" s="38">
        <v>0</v>
      </c>
      <c r="U7510" s="38">
        <v>6</v>
      </c>
      <c r="V7510" s="38">
        <v>0</v>
      </c>
      <c r="W7510" s="38">
        <v>2</v>
      </c>
      <c r="X7510" s="38">
        <v>4</v>
      </c>
      <c r="Y7510" s="38">
        <v>6</v>
      </c>
      <c r="Z7510" s="38">
        <v>4</v>
      </c>
      <c r="AA7510" s="38">
        <v>2</v>
      </c>
      <c r="AB7510" s="38">
        <v>3</v>
      </c>
      <c r="AC7510" s="38">
        <v>0.8</v>
      </c>
      <c r="AD7510" s="38">
        <v>0.2</v>
      </c>
    </row>
    <row r="7511" spans="1:30" x14ac:dyDescent="0.25">
      <c r="A7511" s="22">
        <v>45862</v>
      </c>
      <c r="B7511" s="38">
        <v>10</v>
      </c>
      <c r="C7511" s="38">
        <v>4.4000000000000004</v>
      </c>
      <c r="D7511" s="38">
        <v>8.4</v>
      </c>
      <c r="E7511" s="38">
        <v>0</v>
      </c>
      <c r="F7511" s="38">
        <v>0</v>
      </c>
      <c r="G7511" s="38">
        <v>3.5</v>
      </c>
      <c r="H7511" s="38" t="s">
        <v>9</v>
      </c>
      <c r="I7511" s="38">
        <v>4.5999999999999996</v>
      </c>
      <c r="J7511" s="38">
        <v>2.4</v>
      </c>
      <c r="K7511" s="38">
        <v>1.8</v>
      </c>
      <c r="L7511" s="38">
        <v>1.778</v>
      </c>
      <c r="M7511" s="38">
        <v>1.5</v>
      </c>
      <c r="N7511" s="38">
        <v>13.4</v>
      </c>
      <c r="P7511" s="38">
        <v>0</v>
      </c>
      <c r="Q7511" s="38">
        <v>2</v>
      </c>
      <c r="R7511" s="38">
        <v>14.9</v>
      </c>
      <c r="U7511" s="38">
        <v>2</v>
      </c>
      <c r="V7511" s="38">
        <v>5.2</v>
      </c>
      <c r="W7511" s="38">
        <v>2.2000000000000002</v>
      </c>
      <c r="X7511" s="38" t="s">
        <v>9</v>
      </c>
      <c r="Y7511" s="38">
        <v>0</v>
      </c>
      <c r="Z7511" s="38">
        <v>4</v>
      </c>
      <c r="AA7511" s="38">
        <v>4</v>
      </c>
      <c r="AB7511" s="38">
        <v>2</v>
      </c>
      <c r="AC7511" s="38">
        <v>23.599999999999998</v>
      </c>
      <c r="AD7511" s="38">
        <v>21.999999999999996</v>
      </c>
    </row>
    <row r="7512" spans="1:30" x14ac:dyDescent="0.25">
      <c r="A7512" s="22">
        <v>45863</v>
      </c>
      <c r="B7512" s="38">
        <v>15</v>
      </c>
      <c r="C7512" s="38">
        <v>4.2</v>
      </c>
      <c r="D7512" s="38">
        <v>7.6</v>
      </c>
      <c r="E7512" s="38">
        <v>12</v>
      </c>
      <c r="F7512" s="38">
        <v>1</v>
      </c>
      <c r="G7512" s="38">
        <v>0</v>
      </c>
      <c r="H7512" s="38">
        <v>3.1</v>
      </c>
      <c r="I7512" s="38">
        <v>1.4</v>
      </c>
      <c r="J7512" s="38">
        <v>4.0999999999999996</v>
      </c>
      <c r="K7512" s="38">
        <v>6.2</v>
      </c>
      <c r="L7512" s="38">
        <v>4.3180000000000005</v>
      </c>
      <c r="M7512" s="38">
        <v>0.9</v>
      </c>
      <c r="N7512" s="38">
        <v>2.4</v>
      </c>
      <c r="P7512" s="38">
        <v>6</v>
      </c>
      <c r="Q7512" s="38">
        <v>26</v>
      </c>
      <c r="R7512" s="38">
        <v>2</v>
      </c>
      <c r="U7512" s="38">
        <v>2</v>
      </c>
      <c r="V7512" s="38">
        <v>0</v>
      </c>
      <c r="W7512" s="38">
        <v>2.5</v>
      </c>
      <c r="X7512" s="38">
        <v>0.4</v>
      </c>
      <c r="Y7512" s="38">
        <v>0.6</v>
      </c>
      <c r="Z7512" s="38">
        <v>0.8</v>
      </c>
      <c r="AA7512" s="38">
        <v>0</v>
      </c>
      <c r="AB7512" s="38">
        <v>0</v>
      </c>
      <c r="AC7512" s="38">
        <v>0</v>
      </c>
      <c r="AD7512" s="38">
        <v>0</v>
      </c>
    </row>
    <row r="7513" spans="1:30" x14ac:dyDescent="0.25">
      <c r="A7513" s="22">
        <v>45864</v>
      </c>
      <c r="B7513" s="38">
        <v>20</v>
      </c>
      <c r="C7513" s="38">
        <v>42.4</v>
      </c>
      <c r="D7513" s="38">
        <v>20.6</v>
      </c>
      <c r="E7513" s="38">
        <v>0</v>
      </c>
      <c r="F7513" s="38">
        <v>13</v>
      </c>
      <c r="G7513" s="38">
        <v>14.5</v>
      </c>
      <c r="H7513" s="38">
        <v>9.1</v>
      </c>
      <c r="I7513" s="38">
        <v>17.2</v>
      </c>
      <c r="J7513" s="38">
        <v>18.399999999999999</v>
      </c>
      <c r="K7513" s="38">
        <v>22</v>
      </c>
      <c r="L7513" s="38">
        <v>22.097999999999999</v>
      </c>
      <c r="M7513" s="38">
        <v>12.6</v>
      </c>
      <c r="N7513" s="38">
        <v>22.799999999999994</v>
      </c>
      <c r="P7513" s="38">
        <v>42</v>
      </c>
      <c r="Q7513" s="38">
        <v>6.2</v>
      </c>
      <c r="R7513" s="38">
        <v>0</v>
      </c>
      <c r="U7513" s="38">
        <v>28</v>
      </c>
      <c r="V7513" s="38">
        <v>14.2</v>
      </c>
      <c r="W7513" s="38">
        <v>22.2</v>
      </c>
      <c r="X7513" s="38">
        <v>14.4</v>
      </c>
      <c r="Y7513" s="38">
        <v>11.8</v>
      </c>
      <c r="Z7513" s="38">
        <v>14.2</v>
      </c>
      <c r="AA7513" s="38">
        <v>8</v>
      </c>
      <c r="AB7513" s="38">
        <v>4</v>
      </c>
      <c r="AC7513" s="38">
        <v>8.8000000000000007</v>
      </c>
      <c r="AD7513" s="38">
        <v>16.399999999999999</v>
      </c>
    </row>
    <row r="7514" spans="1:30" x14ac:dyDescent="0.25">
      <c r="A7514" s="22">
        <v>45865</v>
      </c>
      <c r="B7514" s="38">
        <v>10</v>
      </c>
      <c r="C7514" s="38">
        <v>2.8</v>
      </c>
      <c r="D7514" s="38">
        <v>4</v>
      </c>
      <c r="E7514" s="38">
        <v>35</v>
      </c>
      <c r="F7514" s="38">
        <v>2.1</v>
      </c>
      <c r="G7514" s="38">
        <v>6.5</v>
      </c>
      <c r="H7514" s="38">
        <v>1</v>
      </c>
      <c r="I7514" s="38">
        <v>7.2</v>
      </c>
      <c r="J7514" s="38">
        <v>6.5</v>
      </c>
      <c r="K7514" s="38">
        <v>8.4</v>
      </c>
      <c r="L7514" s="38">
        <v>10.667999999999999</v>
      </c>
      <c r="M7514" s="38">
        <v>0.8</v>
      </c>
      <c r="N7514" s="38">
        <v>19.399999999999999</v>
      </c>
      <c r="P7514" s="38">
        <v>7</v>
      </c>
      <c r="Q7514" s="38">
        <v>2.9</v>
      </c>
      <c r="R7514" s="38">
        <v>2.2000000000000002</v>
      </c>
      <c r="U7514" s="38">
        <v>8</v>
      </c>
      <c r="V7514" s="38">
        <v>4</v>
      </c>
      <c r="W7514" s="38">
        <v>6</v>
      </c>
      <c r="X7514" s="38">
        <v>4</v>
      </c>
      <c r="Y7514" s="38">
        <v>2</v>
      </c>
      <c r="Z7514" s="38">
        <v>2.2000000000000002</v>
      </c>
      <c r="AA7514" s="38">
        <v>6</v>
      </c>
      <c r="AB7514" s="38">
        <v>8</v>
      </c>
      <c r="AC7514" s="38">
        <v>0</v>
      </c>
      <c r="AD7514" s="38">
        <v>1</v>
      </c>
    </row>
    <row r="7515" spans="1:30" x14ac:dyDescent="0.25">
      <c r="A7515" s="22">
        <v>45866</v>
      </c>
      <c r="B7515" s="38">
        <v>22</v>
      </c>
      <c r="C7515" s="38">
        <v>2</v>
      </c>
      <c r="D7515" s="38">
        <v>6</v>
      </c>
      <c r="E7515" s="38">
        <v>0</v>
      </c>
      <c r="F7515" s="38">
        <v>0</v>
      </c>
      <c r="G7515" s="38">
        <v>3</v>
      </c>
      <c r="H7515" s="38">
        <v>0.2</v>
      </c>
      <c r="I7515" s="38">
        <v>3.8</v>
      </c>
      <c r="J7515" s="38">
        <v>4.4000000000000004</v>
      </c>
      <c r="K7515" s="38">
        <v>3</v>
      </c>
      <c r="L7515" s="38">
        <v>0.7619999999999999</v>
      </c>
      <c r="M7515" s="38">
        <v>2.8</v>
      </c>
      <c r="N7515" s="38">
        <v>1.6</v>
      </c>
      <c r="P7515" s="38">
        <v>4</v>
      </c>
      <c r="Q7515" s="38">
        <v>1</v>
      </c>
      <c r="R7515" s="38">
        <v>0</v>
      </c>
      <c r="U7515" s="38">
        <v>6</v>
      </c>
      <c r="V7515" s="38">
        <v>9.1999999999999993</v>
      </c>
      <c r="W7515" s="38">
        <v>6.2</v>
      </c>
      <c r="X7515" s="38">
        <v>3</v>
      </c>
      <c r="Y7515" s="38" t="s">
        <v>9</v>
      </c>
      <c r="Z7515" s="38">
        <v>2</v>
      </c>
      <c r="AA7515" s="38">
        <v>4</v>
      </c>
      <c r="AB7515" s="38">
        <v>1</v>
      </c>
      <c r="AC7515" s="38">
        <v>0.4</v>
      </c>
      <c r="AD7515" s="38">
        <v>0.4</v>
      </c>
    </row>
    <row r="7516" spans="1:30" x14ac:dyDescent="0.25">
      <c r="A7516" s="22">
        <v>45867</v>
      </c>
      <c r="B7516" s="38">
        <v>4</v>
      </c>
      <c r="C7516" s="38">
        <v>3.2</v>
      </c>
      <c r="D7516" s="38">
        <v>2</v>
      </c>
      <c r="E7516" s="38">
        <v>0</v>
      </c>
      <c r="F7516" s="38">
        <v>0</v>
      </c>
      <c r="G7516" s="38">
        <v>24</v>
      </c>
      <c r="H7516" s="38">
        <v>2.2000000000000002</v>
      </c>
      <c r="I7516" s="38">
        <v>2.2000000000000002</v>
      </c>
      <c r="J7516" s="38">
        <v>4.2</v>
      </c>
      <c r="K7516" s="38">
        <v>1</v>
      </c>
      <c r="L7516" s="38">
        <v>0</v>
      </c>
      <c r="M7516" s="38">
        <v>3</v>
      </c>
      <c r="N7516" s="38">
        <v>0.2</v>
      </c>
      <c r="P7516" s="38">
        <v>0</v>
      </c>
      <c r="Q7516" s="38">
        <v>0.6</v>
      </c>
      <c r="R7516" s="38">
        <v>0</v>
      </c>
      <c r="U7516" s="38">
        <v>0</v>
      </c>
      <c r="V7516" s="38">
        <v>0</v>
      </c>
      <c r="W7516" s="38">
        <v>0</v>
      </c>
      <c r="X7516" s="38">
        <v>1</v>
      </c>
      <c r="Y7516" s="38" t="s">
        <v>9</v>
      </c>
      <c r="Z7516" s="38">
        <v>0</v>
      </c>
      <c r="AA7516" s="38">
        <v>0</v>
      </c>
      <c r="AB7516" s="38">
        <v>0</v>
      </c>
      <c r="AC7516" s="38">
        <v>5.1999999999999993</v>
      </c>
      <c r="AD7516" s="38">
        <v>2.4000000000000004</v>
      </c>
    </row>
    <row r="7517" spans="1:30" x14ac:dyDescent="0.25">
      <c r="A7517" s="22">
        <v>45868</v>
      </c>
      <c r="B7517" s="38">
        <v>11</v>
      </c>
      <c r="C7517" s="38">
        <v>0</v>
      </c>
      <c r="D7517" s="38">
        <v>2</v>
      </c>
      <c r="E7517" s="38">
        <v>0</v>
      </c>
      <c r="F7517" s="38">
        <v>6</v>
      </c>
      <c r="G7517" s="38">
        <v>14.5</v>
      </c>
      <c r="H7517" s="38">
        <v>3.8</v>
      </c>
      <c r="I7517" s="38">
        <v>8.1999999999999993</v>
      </c>
      <c r="J7517" s="38">
        <v>2.2000000000000002</v>
      </c>
      <c r="K7517" s="38">
        <v>4</v>
      </c>
      <c r="L7517" s="38">
        <v>0</v>
      </c>
      <c r="M7517" s="38">
        <v>8.1999999999999993</v>
      </c>
      <c r="N7517" s="38">
        <v>13.599999999999998</v>
      </c>
      <c r="P7517" s="38">
        <v>0</v>
      </c>
      <c r="Q7517" s="38">
        <v>12.8</v>
      </c>
      <c r="R7517" s="38">
        <v>0</v>
      </c>
      <c r="U7517" s="38">
        <v>2</v>
      </c>
      <c r="V7517" s="38">
        <v>8</v>
      </c>
      <c r="W7517" s="38">
        <v>11</v>
      </c>
      <c r="X7517" s="38" t="s">
        <v>9</v>
      </c>
      <c r="Y7517" s="38">
        <v>0</v>
      </c>
      <c r="Z7517" s="38">
        <v>0</v>
      </c>
      <c r="AA7517" s="38">
        <v>2</v>
      </c>
      <c r="AB7517" s="38">
        <v>3</v>
      </c>
      <c r="AC7517" s="38">
        <v>3.8</v>
      </c>
      <c r="AD7517" s="38">
        <v>2.2000000000000002</v>
      </c>
    </row>
    <row r="7518" spans="1:30" x14ac:dyDescent="0.25">
      <c r="A7518" s="22">
        <v>45869</v>
      </c>
      <c r="B7518" s="38">
        <v>8</v>
      </c>
      <c r="C7518" s="38">
        <v>4.8</v>
      </c>
      <c r="D7518" s="38">
        <v>10.4</v>
      </c>
      <c r="E7518" s="38">
        <v>11</v>
      </c>
      <c r="F7518" s="38">
        <v>1.3</v>
      </c>
      <c r="G7518" s="38">
        <v>8</v>
      </c>
      <c r="H7518" s="38">
        <v>7.3</v>
      </c>
      <c r="I7518" s="38">
        <v>6</v>
      </c>
      <c r="J7518" s="38">
        <v>12.4</v>
      </c>
      <c r="K7518" s="38">
        <v>8</v>
      </c>
      <c r="L7518" s="38">
        <v>3.8099999999999996</v>
      </c>
      <c r="M7518" s="38">
        <v>4.4000000000000004</v>
      </c>
      <c r="N7518" s="38">
        <v>6.2</v>
      </c>
      <c r="P7518" s="38">
        <v>25</v>
      </c>
      <c r="Q7518" s="38">
        <v>7</v>
      </c>
      <c r="R7518" s="38">
        <v>12</v>
      </c>
      <c r="U7518" s="38">
        <v>10</v>
      </c>
      <c r="V7518" s="38">
        <v>5.2</v>
      </c>
      <c r="W7518" s="38">
        <v>2.4</v>
      </c>
      <c r="X7518" s="38">
        <v>4.8</v>
      </c>
      <c r="Y7518" s="38">
        <v>8</v>
      </c>
      <c r="Z7518" s="38">
        <v>6.5</v>
      </c>
      <c r="AA7518" s="38">
        <v>2</v>
      </c>
      <c r="AB7518" s="38">
        <v>10</v>
      </c>
      <c r="AC7518" s="38">
        <v>0.2</v>
      </c>
      <c r="AD7518" s="38">
        <v>1.7999999999999998</v>
      </c>
    </row>
    <row r="7519" spans="1:30" x14ac:dyDescent="0.25">
      <c r="A7519" s="22">
        <v>45870</v>
      </c>
      <c r="B7519" s="38">
        <v>20</v>
      </c>
      <c r="C7519" s="38">
        <v>8.1999999999999993</v>
      </c>
      <c r="D7519" s="38">
        <v>10</v>
      </c>
      <c r="E7519" s="38">
        <v>17</v>
      </c>
      <c r="F7519" s="38">
        <v>6.2</v>
      </c>
      <c r="G7519" s="38">
        <v>9</v>
      </c>
      <c r="H7519" s="38">
        <v>15</v>
      </c>
      <c r="I7519" s="38">
        <v>0</v>
      </c>
      <c r="J7519" s="38">
        <v>3.5</v>
      </c>
      <c r="K7519" s="38">
        <v>9.5</v>
      </c>
      <c r="L7519" s="38">
        <v>9.3979999999999997</v>
      </c>
      <c r="M7519" s="38">
        <v>14.6</v>
      </c>
      <c r="N7519" s="38">
        <v>9.1999999999999993</v>
      </c>
      <c r="P7519" s="38">
        <v>4</v>
      </c>
      <c r="Q7519" s="38">
        <v>4</v>
      </c>
      <c r="R7519" s="38">
        <v>7.2</v>
      </c>
      <c r="U7519" s="38">
        <v>4</v>
      </c>
      <c r="V7519" s="38">
        <v>3</v>
      </c>
      <c r="W7519" s="38">
        <v>14</v>
      </c>
      <c r="X7519" s="38">
        <v>4</v>
      </c>
      <c r="Y7519" s="38">
        <v>4</v>
      </c>
      <c r="Z7519" s="38">
        <v>5</v>
      </c>
      <c r="AA7519" s="38">
        <v>10</v>
      </c>
      <c r="AB7519" s="38">
        <v>9</v>
      </c>
      <c r="AC7519" s="38">
        <v>1</v>
      </c>
      <c r="AD7519" s="38">
        <v>0.2</v>
      </c>
    </row>
    <row r="7520" spans="1:30" x14ac:dyDescent="0.25">
      <c r="A7520" s="22">
        <v>45871</v>
      </c>
      <c r="B7520" s="38">
        <v>9</v>
      </c>
      <c r="C7520" s="38">
        <v>8.8000000000000007</v>
      </c>
      <c r="D7520" s="38">
        <v>2.8</v>
      </c>
      <c r="E7520" s="38">
        <v>0</v>
      </c>
      <c r="F7520" s="38">
        <v>3.4</v>
      </c>
      <c r="G7520" s="38">
        <v>2</v>
      </c>
      <c r="H7520" s="38" t="s">
        <v>38</v>
      </c>
      <c r="I7520" s="38">
        <v>9.8000000000000007</v>
      </c>
      <c r="J7520" s="38">
        <v>6.2</v>
      </c>
      <c r="K7520" s="38">
        <v>2</v>
      </c>
      <c r="L7520" s="38">
        <v>6.0959999999999992</v>
      </c>
      <c r="M7520" s="38">
        <v>1.4</v>
      </c>
      <c r="N7520" s="38">
        <v>2.4000000000000004</v>
      </c>
      <c r="P7520" s="38">
        <v>6</v>
      </c>
      <c r="Q7520" s="38">
        <v>0.5</v>
      </c>
      <c r="R7520" s="38">
        <v>3.4</v>
      </c>
      <c r="U7520" s="38">
        <v>0</v>
      </c>
      <c r="V7520" s="38">
        <v>0</v>
      </c>
      <c r="W7520" s="38">
        <v>4</v>
      </c>
      <c r="X7520" s="38">
        <v>7</v>
      </c>
      <c r="Y7520" s="38">
        <v>0</v>
      </c>
      <c r="Z7520" s="38">
        <v>0</v>
      </c>
      <c r="AA7520" s="38">
        <v>2</v>
      </c>
      <c r="AB7520" s="38">
        <v>3</v>
      </c>
      <c r="AC7520" s="38">
        <v>0.2</v>
      </c>
      <c r="AD7520" s="38">
        <v>0.2</v>
      </c>
    </row>
    <row r="7521" spans="1:30" x14ac:dyDescent="0.25">
      <c r="A7521" s="22">
        <v>45872</v>
      </c>
      <c r="B7521" s="38">
        <v>0</v>
      </c>
      <c r="C7521" s="38">
        <v>4.4000000000000004</v>
      </c>
      <c r="D7521" s="38">
        <v>4</v>
      </c>
      <c r="E7521" s="38">
        <v>11</v>
      </c>
      <c r="F7521" s="38">
        <v>0</v>
      </c>
      <c r="G7521" s="38">
        <v>4.5</v>
      </c>
      <c r="H7521" s="38" t="s">
        <v>38</v>
      </c>
      <c r="I7521" s="38">
        <v>4</v>
      </c>
      <c r="J7521" s="38">
        <v>0.5</v>
      </c>
      <c r="K7521" s="38">
        <v>0</v>
      </c>
      <c r="L7521" s="38">
        <v>1.016</v>
      </c>
      <c r="M7521" s="38">
        <v>1.8</v>
      </c>
      <c r="N7521" s="38">
        <v>3.2</v>
      </c>
      <c r="P7521" s="38">
        <v>0</v>
      </c>
      <c r="Q7521" s="38">
        <v>5</v>
      </c>
      <c r="R7521" s="38">
        <v>0</v>
      </c>
      <c r="U7521" s="38">
        <v>13</v>
      </c>
      <c r="V7521" s="38">
        <v>3.2</v>
      </c>
      <c r="W7521" s="38">
        <v>4.2</v>
      </c>
      <c r="X7521" s="38">
        <v>1.8</v>
      </c>
      <c r="Y7521" s="38">
        <v>0</v>
      </c>
      <c r="Z7521" s="38">
        <v>0</v>
      </c>
      <c r="AA7521" s="38">
        <v>0</v>
      </c>
      <c r="AB7521" s="38">
        <v>13</v>
      </c>
      <c r="AC7521" s="38">
        <v>3.8000000000000007</v>
      </c>
      <c r="AD7521" s="38">
        <v>1.8</v>
      </c>
    </row>
    <row r="7522" spans="1:30" x14ac:dyDescent="0.25">
      <c r="A7522" s="22">
        <v>45873</v>
      </c>
      <c r="B7522" s="38">
        <v>14</v>
      </c>
      <c r="C7522" s="38">
        <v>11.6</v>
      </c>
      <c r="D7522" s="38">
        <v>12</v>
      </c>
      <c r="E7522" s="38">
        <v>7</v>
      </c>
      <c r="F7522" s="38">
        <v>5.0999999999999996</v>
      </c>
      <c r="G7522" s="38">
        <v>12.5</v>
      </c>
      <c r="H7522" s="38">
        <v>7.8</v>
      </c>
      <c r="I7522" s="38">
        <v>7.2</v>
      </c>
      <c r="J7522" s="38">
        <v>13.8</v>
      </c>
      <c r="K7522" s="38">
        <v>8</v>
      </c>
      <c r="L7522" s="38">
        <v>13.462</v>
      </c>
      <c r="M7522" s="38">
        <v>9.6</v>
      </c>
      <c r="N7522" s="38">
        <v>7.0000000000000018</v>
      </c>
      <c r="P7522" s="38" t="s">
        <v>38</v>
      </c>
      <c r="Q7522" s="38">
        <v>1.2</v>
      </c>
      <c r="R7522" s="38" t="s">
        <v>38</v>
      </c>
      <c r="U7522" s="38">
        <v>5</v>
      </c>
      <c r="V7522" s="38">
        <v>2</v>
      </c>
      <c r="W7522" s="38">
        <v>20</v>
      </c>
      <c r="X7522" s="38">
        <v>0</v>
      </c>
      <c r="Y7522" s="38">
        <v>10</v>
      </c>
      <c r="Z7522" s="38">
        <v>8</v>
      </c>
      <c r="AA7522" s="38">
        <v>10</v>
      </c>
      <c r="AB7522" s="38">
        <v>3</v>
      </c>
      <c r="AC7522" s="38">
        <v>1.6</v>
      </c>
      <c r="AD7522" s="38">
        <v>3.4</v>
      </c>
    </row>
    <row r="7523" spans="1:30" x14ac:dyDescent="0.25">
      <c r="A7523" s="22">
        <v>45874</v>
      </c>
      <c r="B7523" s="38">
        <v>3</v>
      </c>
      <c r="C7523" s="38">
        <v>9.1999999999999993</v>
      </c>
      <c r="D7523" s="38">
        <v>9.4</v>
      </c>
      <c r="E7523" s="38">
        <v>0</v>
      </c>
      <c r="F7523" s="38">
        <v>1.3</v>
      </c>
      <c r="G7523" s="38">
        <v>5.25</v>
      </c>
      <c r="H7523" s="38">
        <v>0.8</v>
      </c>
      <c r="I7523" s="38">
        <v>5.0999999999999996</v>
      </c>
      <c r="J7523" s="38">
        <v>7</v>
      </c>
      <c r="K7523" s="38">
        <v>4.8</v>
      </c>
      <c r="L7523" s="38">
        <v>1.27</v>
      </c>
      <c r="M7523" s="38">
        <v>1.4</v>
      </c>
      <c r="N7523" s="38">
        <v>1.2</v>
      </c>
      <c r="P7523" s="38">
        <v>2</v>
      </c>
      <c r="Q7523" s="38">
        <v>1.9</v>
      </c>
      <c r="R7523" s="38">
        <v>0</v>
      </c>
      <c r="U7523" s="38">
        <v>2</v>
      </c>
      <c r="V7523" s="38">
        <v>2.2000000000000002</v>
      </c>
      <c r="W7523" s="38">
        <v>8</v>
      </c>
      <c r="X7523" s="38">
        <v>0</v>
      </c>
      <c r="Y7523" s="38">
        <v>0</v>
      </c>
      <c r="Z7523" s="38">
        <v>0</v>
      </c>
      <c r="AA7523" s="38">
        <v>0</v>
      </c>
      <c r="AB7523" s="38">
        <v>6</v>
      </c>
      <c r="AC7523" s="38">
        <v>1.2</v>
      </c>
      <c r="AD7523" s="38">
        <v>0.60000000000000009</v>
      </c>
    </row>
    <row r="7524" spans="1:30" x14ac:dyDescent="0.25">
      <c r="A7524" s="22">
        <v>45875</v>
      </c>
      <c r="B7524" s="38">
        <v>0</v>
      </c>
      <c r="C7524" s="38">
        <v>1.6</v>
      </c>
      <c r="D7524" s="38">
        <v>2.2000000000000002</v>
      </c>
      <c r="E7524" s="38">
        <v>4</v>
      </c>
      <c r="F7524" s="38">
        <v>0</v>
      </c>
      <c r="G7524" s="38">
        <v>0</v>
      </c>
      <c r="H7524" s="38" t="s">
        <v>38</v>
      </c>
      <c r="I7524" s="38">
        <v>0.8</v>
      </c>
      <c r="J7524" s="38">
        <v>1.2</v>
      </c>
      <c r="K7524" s="38">
        <v>0</v>
      </c>
      <c r="L7524" s="38">
        <v>0.7619999999999999</v>
      </c>
      <c r="M7524" s="38">
        <v>0.6</v>
      </c>
      <c r="N7524" s="38">
        <v>1.7999999999999998</v>
      </c>
      <c r="P7524" s="38">
        <v>0</v>
      </c>
      <c r="Q7524" s="38">
        <v>1.2</v>
      </c>
      <c r="R7524" s="38">
        <v>2</v>
      </c>
      <c r="U7524" s="38">
        <v>0</v>
      </c>
      <c r="V7524" s="38">
        <v>0</v>
      </c>
      <c r="W7524" s="38">
        <v>0</v>
      </c>
      <c r="X7524" s="38">
        <v>0</v>
      </c>
      <c r="Y7524" s="38">
        <v>0</v>
      </c>
      <c r="Z7524" s="38">
        <v>0</v>
      </c>
      <c r="AA7524" s="38">
        <v>0</v>
      </c>
      <c r="AB7524" s="38">
        <v>0</v>
      </c>
      <c r="AC7524" s="38">
        <v>2.6000000000000005</v>
      </c>
      <c r="AD7524" s="38">
        <v>3.6000000000000005</v>
      </c>
    </row>
    <row r="7525" spans="1:30" x14ac:dyDescent="0.25">
      <c r="A7525" s="22">
        <v>45876</v>
      </c>
      <c r="B7525" s="38">
        <v>3</v>
      </c>
      <c r="C7525" s="38">
        <v>5.2</v>
      </c>
      <c r="D7525" s="38">
        <v>1.2</v>
      </c>
      <c r="E7525" s="38">
        <v>0</v>
      </c>
      <c r="F7525" s="38">
        <v>10</v>
      </c>
      <c r="G7525" s="38">
        <v>7.25</v>
      </c>
      <c r="H7525" s="38">
        <v>7.5</v>
      </c>
      <c r="I7525" s="38">
        <v>7.1</v>
      </c>
      <c r="J7525" s="38">
        <v>3</v>
      </c>
      <c r="K7525" s="38">
        <v>2.2000000000000002</v>
      </c>
      <c r="L7525" s="38">
        <v>6.0959999999999992</v>
      </c>
      <c r="M7525" s="38">
        <v>8.4</v>
      </c>
      <c r="N7525" s="38">
        <v>19.2</v>
      </c>
      <c r="P7525" s="38">
        <v>4</v>
      </c>
      <c r="Q7525" s="38">
        <v>6</v>
      </c>
      <c r="R7525" s="38">
        <v>0</v>
      </c>
      <c r="U7525" s="38">
        <v>0</v>
      </c>
      <c r="V7525" s="38">
        <v>4.4000000000000004</v>
      </c>
      <c r="W7525" s="38">
        <v>6.2</v>
      </c>
      <c r="X7525" s="38">
        <v>0</v>
      </c>
      <c r="Y7525" s="38">
        <v>4</v>
      </c>
      <c r="Z7525" s="38">
        <v>4</v>
      </c>
      <c r="AA7525" s="38">
        <v>0</v>
      </c>
      <c r="AB7525" s="38">
        <v>5</v>
      </c>
      <c r="AC7525" s="38">
        <v>13.4</v>
      </c>
      <c r="AD7525" s="38">
        <v>12.399999999999999</v>
      </c>
    </row>
    <row r="7526" spans="1:30" x14ac:dyDescent="0.25">
      <c r="A7526" s="22">
        <v>45877</v>
      </c>
      <c r="B7526" s="38">
        <v>8</v>
      </c>
      <c r="C7526" s="38">
        <v>19.600000000000001</v>
      </c>
      <c r="D7526" s="38">
        <v>20</v>
      </c>
      <c r="E7526" s="38">
        <v>6</v>
      </c>
      <c r="F7526" s="38">
        <v>10.3</v>
      </c>
      <c r="G7526" s="38">
        <v>15.5</v>
      </c>
      <c r="H7526" s="38">
        <v>6.8</v>
      </c>
      <c r="I7526" s="38">
        <v>14.4</v>
      </c>
      <c r="J7526" s="38">
        <v>16.2</v>
      </c>
      <c r="K7526" s="38">
        <v>22.8</v>
      </c>
      <c r="L7526" s="38">
        <v>3.0479999999999996</v>
      </c>
      <c r="M7526" s="38">
        <v>11</v>
      </c>
      <c r="N7526" s="38">
        <v>5</v>
      </c>
      <c r="P7526" s="38">
        <v>4</v>
      </c>
      <c r="Q7526" s="38">
        <v>0.5</v>
      </c>
      <c r="R7526" s="38">
        <v>7</v>
      </c>
      <c r="U7526" s="38">
        <v>0</v>
      </c>
      <c r="V7526" s="38">
        <v>4</v>
      </c>
      <c r="W7526" s="38">
        <v>15</v>
      </c>
      <c r="X7526" s="38">
        <v>3</v>
      </c>
      <c r="Y7526" s="38">
        <v>8</v>
      </c>
      <c r="Z7526" s="38">
        <v>3</v>
      </c>
      <c r="AA7526" s="38">
        <v>0</v>
      </c>
      <c r="AB7526" s="38">
        <v>8</v>
      </c>
      <c r="AC7526" s="38">
        <v>2.4000000000000004</v>
      </c>
      <c r="AD7526" s="38">
        <v>3.8000000000000007</v>
      </c>
    </row>
    <row r="7527" spans="1:30" x14ac:dyDescent="0.25">
      <c r="A7527" s="22">
        <v>45878</v>
      </c>
      <c r="B7527" s="38">
        <v>10</v>
      </c>
      <c r="C7527" s="38">
        <v>9.6</v>
      </c>
      <c r="D7527" s="38">
        <v>7.2</v>
      </c>
      <c r="E7527" s="38">
        <v>0</v>
      </c>
      <c r="F7527" s="38">
        <v>0</v>
      </c>
      <c r="G7527" s="38">
        <v>4.5</v>
      </c>
      <c r="H7527" s="38">
        <v>0.8</v>
      </c>
      <c r="I7527" s="38">
        <v>4.9000000000000004</v>
      </c>
      <c r="J7527" s="38">
        <v>1.2</v>
      </c>
      <c r="K7527" s="38">
        <v>2</v>
      </c>
      <c r="L7527" s="38">
        <v>3.556</v>
      </c>
      <c r="M7527" s="38">
        <v>3.2</v>
      </c>
      <c r="N7527" s="38">
        <v>6.4</v>
      </c>
      <c r="P7527" s="38">
        <v>2</v>
      </c>
      <c r="Q7527" s="38">
        <v>0</v>
      </c>
      <c r="R7527" s="38">
        <v>2</v>
      </c>
      <c r="U7527" s="38">
        <v>0</v>
      </c>
      <c r="V7527" s="38">
        <v>2.2000000000000002</v>
      </c>
      <c r="W7527" s="38">
        <v>4.2</v>
      </c>
      <c r="X7527" s="38">
        <v>0</v>
      </c>
      <c r="Y7527" s="38">
        <v>0</v>
      </c>
      <c r="Z7527" s="38">
        <v>0</v>
      </c>
      <c r="AA7527" s="38">
        <v>0</v>
      </c>
      <c r="AB7527" s="38">
        <v>3</v>
      </c>
      <c r="AC7527" s="38">
        <v>7.4</v>
      </c>
      <c r="AD7527" s="38">
        <v>0.60000000000000009</v>
      </c>
    </row>
    <row r="7528" spans="1:30" x14ac:dyDescent="0.25">
      <c r="A7528" s="22">
        <v>45879</v>
      </c>
      <c r="B7528" s="38">
        <v>16</v>
      </c>
      <c r="C7528" s="38">
        <v>7.2</v>
      </c>
      <c r="D7528" s="38">
        <v>6</v>
      </c>
      <c r="E7528" s="38">
        <v>0</v>
      </c>
      <c r="F7528" s="38">
        <v>1.3</v>
      </c>
      <c r="G7528" s="38">
        <v>1.5</v>
      </c>
      <c r="H7528" s="38">
        <v>0.4</v>
      </c>
      <c r="I7528" s="38">
        <v>0.6</v>
      </c>
      <c r="J7528" s="38">
        <v>1.8</v>
      </c>
      <c r="K7528" s="38">
        <v>0</v>
      </c>
      <c r="L7528" s="38">
        <v>0.7619999999999999</v>
      </c>
      <c r="M7528" s="38">
        <v>5.8</v>
      </c>
      <c r="N7528" s="38">
        <v>2.6</v>
      </c>
      <c r="P7528" s="38" t="s">
        <v>38</v>
      </c>
      <c r="Q7528" s="38">
        <v>2.2000000000000002</v>
      </c>
      <c r="R7528" s="38">
        <v>0</v>
      </c>
      <c r="U7528" s="38">
        <v>0</v>
      </c>
      <c r="V7528" s="38">
        <v>0</v>
      </c>
      <c r="W7528" s="38">
        <v>6</v>
      </c>
      <c r="X7528" s="38">
        <v>0</v>
      </c>
      <c r="Y7528" s="38">
        <v>6</v>
      </c>
      <c r="Z7528" s="38">
        <v>6</v>
      </c>
      <c r="AA7528" s="38">
        <v>1</v>
      </c>
      <c r="AB7528" s="38">
        <v>0</v>
      </c>
      <c r="AC7528" s="38">
        <v>3.6</v>
      </c>
      <c r="AD7528" s="38">
        <v>4.2000000000000011</v>
      </c>
    </row>
    <row r="7529" spans="1:30" x14ac:dyDescent="0.25">
      <c r="A7529" s="22">
        <v>45880</v>
      </c>
      <c r="B7529" s="38">
        <v>7</v>
      </c>
      <c r="C7529" s="38">
        <v>2.8</v>
      </c>
      <c r="D7529" s="38">
        <v>3.4</v>
      </c>
      <c r="E7529" s="38">
        <v>0</v>
      </c>
      <c r="F7529" s="38">
        <v>1.3</v>
      </c>
      <c r="G7529" s="38">
        <v>7</v>
      </c>
      <c r="H7529" s="38">
        <v>1.6</v>
      </c>
      <c r="I7529" s="38">
        <v>8</v>
      </c>
      <c r="J7529" s="38">
        <v>10</v>
      </c>
      <c r="K7529" s="38">
        <v>12.4</v>
      </c>
      <c r="L7529" s="38">
        <v>4.5719999999999992</v>
      </c>
      <c r="M7529" s="38">
        <v>2.6</v>
      </c>
      <c r="N7529" s="38">
        <v>1.4</v>
      </c>
      <c r="P7529" s="38">
        <v>6</v>
      </c>
      <c r="Q7529" s="38">
        <v>4.5</v>
      </c>
      <c r="R7529" s="38">
        <v>6.5</v>
      </c>
      <c r="U7529" s="38">
        <v>2</v>
      </c>
      <c r="V7529" s="38">
        <v>2.2000000000000002</v>
      </c>
      <c r="W7529" s="38">
        <v>0</v>
      </c>
      <c r="X7529" s="38">
        <v>2</v>
      </c>
      <c r="Y7529" s="38">
        <v>0</v>
      </c>
      <c r="Z7529" s="38">
        <v>0</v>
      </c>
      <c r="AA7529" s="38">
        <v>1</v>
      </c>
      <c r="AB7529" s="38">
        <v>0</v>
      </c>
      <c r="AC7529" s="38">
        <v>0.8</v>
      </c>
      <c r="AD7529" s="38">
        <v>0.4</v>
      </c>
    </row>
    <row r="7530" spans="1:30" x14ac:dyDescent="0.25">
      <c r="A7530" s="22">
        <v>45881</v>
      </c>
      <c r="B7530" s="38">
        <v>0</v>
      </c>
      <c r="C7530" s="38">
        <v>1.2</v>
      </c>
      <c r="D7530" s="38">
        <v>2</v>
      </c>
      <c r="E7530" s="38">
        <v>14</v>
      </c>
      <c r="F7530" s="38">
        <v>1.3</v>
      </c>
      <c r="G7530" s="38">
        <v>0</v>
      </c>
      <c r="H7530" s="38">
        <v>1</v>
      </c>
      <c r="I7530" s="38">
        <v>2.1</v>
      </c>
      <c r="J7530" s="38">
        <v>2.8</v>
      </c>
      <c r="K7530" s="38">
        <v>0</v>
      </c>
      <c r="L7530" s="38">
        <v>1.016</v>
      </c>
      <c r="M7530" s="38">
        <v>0.8</v>
      </c>
      <c r="N7530" s="38">
        <v>1.4000000000000001</v>
      </c>
      <c r="P7530" s="38" t="s">
        <v>38</v>
      </c>
      <c r="Q7530" s="38">
        <v>0.5</v>
      </c>
      <c r="R7530" s="38">
        <v>1.2</v>
      </c>
      <c r="U7530" s="38">
        <v>0</v>
      </c>
      <c r="V7530" s="38">
        <v>3</v>
      </c>
      <c r="W7530" s="38">
        <v>0</v>
      </c>
      <c r="X7530" s="38">
        <v>0</v>
      </c>
      <c r="Y7530" s="38">
        <v>2</v>
      </c>
      <c r="Z7530" s="38">
        <v>3</v>
      </c>
      <c r="AA7530" s="38">
        <v>5</v>
      </c>
      <c r="AB7530" s="38">
        <v>11</v>
      </c>
      <c r="AC7530" s="38">
        <v>0</v>
      </c>
      <c r="AD7530" s="38">
        <v>0.2</v>
      </c>
    </row>
    <row r="7531" spans="1:30" x14ac:dyDescent="0.25">
      <c r="A7531" s="22">
        <v>45882</v>
      </c>
      <c r="B7531" s="38">
        <v>4</v>
      </c>
      <c r="C7531" s="38">
        <v>2</v>
      </c>
      <c r="D7531" s="38">
        <v>2</v>
      </c>
      <c r="E7531" s="38">
        <v>0</v>
      </c>
      <c r="F7531" s="38">
        <v>5.4</v>
      </c>
      <c r="G7531" s="38">
        <v>7</v>
      </c>
      <c r="H7531" s="38">
        <v>3</v>
      </c>
      <c r="I7531" s="38">
        <v>4.4000000000000004</v>
      </c>
      <c r="J7531" s="38">
        <v>1.1000000000000001</v>
      </c>
      <c r="K7531" s="38">
        <v>2</v>
      </c>
      <c r="L7531" s="38">
        <v>1.27</v>
      </c>
      <c r="M7531" s="38">
        <v>3.8</v>
      </c>
      <c r="N7531" s="38">
        <v>3.2</v>
      </c>
      <c r="P7531" s="38">
        <v>2</v>
      </c>
      <c r="Q7531" s="38">
        <v>0</v>
      </c>
      <c r="R7531" s="38">
        <v>1</v>
      </c>
      <c r="U7531" s="38">
        <v>0</v>
      </c>
      <c r="V7531" s="38">
        <v>2</v>
      </c>
      <c r="W7531" s="38">
        <v>12</v>
      </c>
      <c r="X7531" s="38">
        <v>3</v>
      </c>
      <c r="Y7531" s="38">
        <v>10</v>
      </c>
      <c r="Z7531" s="38">
        <v>0</v>
      </c>
      <c r="AA7531" s="38">
        <v>0</v>
      </c>
      <c r="AB7531" s="38">
        <v>5</v>
      </c>
      <c r="AC7531" s="38">
        <v>0.4</v>
      </c>
      <c r="AD7531" s="38">
        <v>0.2</v>
      </c>
    </row>
    <row r="7532" spans="1:30" x14ac:dyDescent="0.25">
      <c r="A7532" s="22">
        <v>45883</v>
      </c>
      <c r="B7532" s="38">
        <v>0</v>
      </c>
      <c r="C7532" s="38">
        <v>0</v>
      </c>
      <c r="D7532" s="38" t="s">
        <v>38</v>
      </c>
      <c r="E7532" s="38">
        <v>0</v>
      </c>
      <c r="F7532" s="38" t="s">
        <v>38</v>
      </c>
      <c r="G7532" s="38">
        <v>2</v>
      </c>
      <c r="H7532" s="38">
        <v>0.3</v>
      </c>
      <c r="I7532" s="38">
        <v>0.4</v>
      </c>
      <c r="J7532" s="38">
        <v>1.2</v>
      </c>
      <c r="K7532" s="38">
        <v>2.6</v>
      </c>
      <c r="L7532" s="38">
        <v>3.302</v>
      </c>
      <c r="M7532" s="38">
        <v>0</v>
      </c>
      <c r="N7532" s="38">
        <v>1.4000000000000001</v>
      </c>
      <c r="P7532" s="38" t="s">
        <v>38</v>
      </c>
      <c r="Q7532" s="38">
        <v>1.4</v>
      </c>
      <c r="R7532" s="38">
        <v>0</v>
      </c>
      <c r="U7532" s="38">
        <v>0</v>
      </c>
      <c r="V7532" s="38">
        <v>0</v>
      </c>
      <c r="W7532" s="38">
        <v>0</v>
      </c>
      <c r="X7532" s="38">
        <v>0</v>
      </c>
      <c r="Y7532" s="38">
        <v>0</v>
      </c>
      <c r="Z7532" s="38">
        <v>3</v>
      </c>
      <c r="AA7532" s="38">
        <v>0</v>
      </c>
      <c r="AB7532" s="38">
        <v>0</v>
      </c>
      <c r="AC7532" s="38">
        <v>0</v>
      </c>
      <c r="AD7532" s="38">
        <v>0</v>
      </c>
    </row>
    <row r="7533" spans="1:30" x14ac:dyDescent="0.25">
      <c r="A7533" s="22">
        <v>45884</v>
      </c>
      <c r="B7533" s="38">
        <v>0</v>
      </c>
      <c r="C7533" s="38">
        <v>1.2</v>
      </c>
      <c r="D7533" s="38">
        <v>4</v>
      </c>
      <c r="E7533" s="38">
        <v>0</v>
      </c>
      <c r="F7533" s="38">
        <v>4</v>
      </c>
      <c r="G7533" s="38">
        <v>0</v>
      </c>
      <c r="H7533" s="38">
        <v>5</v>
      </c>
      <c r="I7533" s="38">
        <v>0</v>
      </c>
      <c r="J7533" s="38">
        <v>0.2</v>
      </c>
      <c r="K7533" s="38">
        <v>2.6</v>
      </c>
      <c r="L7533" s="38">
        <v>3.8099999999999996</v>
      </c>
      <c r="M7533" s="38">
        <v>3</v>
      </c>
      <c r="N7533" s="38">
        <v>79</v>
      </c>
      <c r="P7533" s="38" t="s">
        <v>38</v>
      </c>
      <c r="Q7533" s="38">
        <v>47.5</v>
      </c>
      <c r="R7533" s="38">
        <v>0</v>
      </c>
      <c r="U7533" s="38">
        <v>22</v>
      </c>
      <c r="V7533" s="38">
        <v>0</v>
      </c>
      <c r="W7533" s="38">
        <v>0</v>
      </c>
      <c r="X7533" s="38">
        <v>0</v>
      </c>
      <c r="Y7533" s="38">
        <v>5</v>
      </c>
      <c r="Z7533" s="38">
        <v>50</v>
      </c>
      <c r="AA7533" s="38">
        <v>4</v>
      </c>
      <c r="AB7533" s="38">
        <v>0</v>
      </c>
      <c r="AC7533" s="38">
        <v>0</v>
      </c>
      <c r="AD7533" s="38">
        <v>0</v>
      </c>
    </row>
    <row r="7534" spans="1:30" x14ac:dyDescent="0.25">
      <c r="A7534" s="22">
        <v>45885</v>
      </c>
      <c r="B7534" s="38">
        <v>5</v>
      </c>
      <c r="C7534" s="38">
        <v>18.399999999999999</v>
      </c>
      <c r="D7534" s="38">
        <v>51.2</v>
      </c>
      <c r="E7534" s="38">
        <v>0</v>
      </c>
      <c r="F7534" s="38">
        <v>17.3</v>
      </c>
      <c r="G7534" s="38">
        <v>13</v>
      </c>
      <c r="H7534" s="38">
        <v>25</v>
      </c>
      <c r="I7534" s="38">
        <v>1.8</v>
      </c>
      <c r="J7534" s="38">
        <v>54.3</v>
      </c>
      <c r="K7534" s="38">
        <v>68.2</v>
      </c>
      <c r="L7534" s="38">
        <v>28.701999999999995</v>
      </c>
      <c r="M7534" s="38">
        <v>1.8</v>
      </c>
      <c r="N7534" s="38">
        <v>0.60000000000000009</v>
      </c>
      <c r="P7534" s="38">
        <v>30</v>
      </c>
      <c r="Q7534" s="38">
        <v>0</v>
      </c>
      <c r="R7534" s="38">
        <v>119.2</v>
      </c>
      <c r="U7534" s="38">
        <v>77</v>
      </c>
      <c r="V7534" s="38">
        <v>6</v>
      </c>
      <c r="W7534" s="38">
        <v>13</v>
      </c>
      <c r="X7534" s="38">
        <v>25</v>
      </c>
      <c r="Y7534" s="38">
        <v>26</v>
      </c>
      <c r="Z7534" s="38">
        <v>0</v>
      </c>
      <c r="AA7534" s="38">
        <v>94</v>
      </c>
      <c r="AB7534" s="38">
        <v>32</v>
      </c>
      <c r="AC7534" s="38">
        <v>0</v>
      </c>
      <c r="AD7534" s="38">
        <v>0</v>
      </c>
    </row>
    <row r="7535" spans="1:30" x14ac:dyDescent="0.25">
      <c r="A7535" s="22">
        <v>45886</v>
      </c>
      <c r="B7535" s="38">
        <v>4</v>
      </c>
      <c r="C7535" s="38">
        <v>0</v>
      </c>
      <c r="D7535" s="38">
        <v>0</v>
      </c>
      <c r="E7535" s="38">
        <v>35</v>
      </c>
      <c r="F7535" s="38" t="s">
        <v>38</v>
      </c>
      <c r="G7535" s="38">
        <v>0</v>
      </c>
      <c r="H7535" s="38" t="s">
        <v>38</v>
      </c>
      <c r="I7535" s="38">
        <v>0.1</v>
      </c>
      <c r="J7535" s="38">
        <v>0</v>
      </c>
      <c r="K7535" s="38">
        <v>0</v>
      </c>
      <c r="L7535" s="38">
        <v>1.5239999999999998</v>
      </c>
      <c r="M7535" s="38">
        <v>0</v>
      </c>
      <c r="N7535" s="38">
        <v>1</v>
      </c>
      <c r="P7535" s="38">
        <v>0</v>
      </c>
      <c r="Q7535" s="38">
        <v>0</v>
      </c>
      <c r="R7535" s="38">
        <v>0</v>
      </c>
      <c r="U7535" s="38">
        <v>0</v>
      </c>
      <c r="V7535" s="38">
        <v>0</v>
      </c>
      <c r="W7535" s="38">
        <v>0</v>
      </c>
      <c r="X7535" s="38">
        <v>0</v>
      </c>
      <c r="Y7535" s="38">
        <v>0</v>
      </c>
      <c r="Z7535" s="38">
        <v>0</v>
      </c>
      <c r="AA7535" s="38">
        <v>0</v>
      </c>
      <c r="AB7535" s="38">
        <v>0</v>
      </c>
      <c r="AC7535" s="38">
        <v>0</v>
      </c>
      <c r="AD7535" s="38">
        <v>0</v>
      </c>
    </row>
    <row r="7536" spans="1:30" x14ac:dyDescent="0.25">
      <c r="A7536" s="22">
        <v>45887</v>
      </c>
      <c r="B7536" s="38">
        <v>5</v>
      </c>
      <c r="C7536" s="38">
        <v>0.8</v>
      </c>
      <c r="D7536" s="38">
        <v>2.6</v>
      </c>
      <c r="E7536" s="38">
        <v>0</v>
      </c>
      <c r="F7536" s="38">
        <v>0</v>
      </c>
      <c r="G7536" s="38">
        <v>0</v>
      </c>
      <c r="H7536" s="38" t="s">
        <v>38</v>
      </c>
      <c r="I7536" s="38">
        <v>0.2</v>
      </c>
      <c r="J7536" s="38">
        <v>2.4</v>
      </c>
      <c r="K7536" s="38">
        <v>2</v>
      </c>
      <c r="L7536" s="38">
        <v>3.302</v>
      </c>
      <c r="M7536" s="38">
        <v>0.2</v>
      </c>
      <c r="N7536" s="38">
        <v>0.2</v>
      </c>
      <c r="P7536" s="38" t="s">
        <v>38</v>
      </c>
      <c r="Q7536" s="38">
        <v>0</v>
      </c>
      <c r="R7536" s="38">
        <v>0.2</v>
      </c>
      <c r="U7536" s="38">
        <v>0</v>
      </c>
      <c r="V7536" s="38">
        <v>0</v>
      </c>
      <c r="W7536" s="38">
        <v>0</v>
      </c>
      <c r="X7536" s="38">
        <v>0</v>
      </c>
      <c r="Y7536" s="38">
        <v>0</v>
      </c>
      <c r="Z7536" s="38">
        <v>0</v>
      </c>
      <c r="AA7536" s="38">
        <v>0</v>
      </c>
      <c r="AB7536" s="38">
        <v>0</v>
      </c>
      <c r="AC7536" s="38">
        <v>0</v>
      </c>
      <c r="AD7536" s="38">
        <v>0</v>
      </c>
    </row>
    <row r="7537" spans="1:30" x14ac:dyDescent="0.25">
      <c r="A7537" s="22">
        <v>45888</v>
      </c>
      <c r="B7537" s="38">
        <v>0</v>
      </c>
      <c r="C7537" s="38" t="s">
        <v>38</v>
      </c>
      <c r="D7537" s="38">
        <v>2</v>
      </c>
      <c r="E7537" s="38">
        <v>0</v>
      </c>
      <c r="F7537" s="38">
        <v>0</v>
      </c>
      <c r="G7537" s="38">
        <v>0</v>
      </c>
      <c r="H7537" s="38" t="s">
        <v>38</v>
      </c>
      <c r="I7537" s="38">
        <v>0.1</v>
      </c>
      <c r="J7537" s="38">
        <v>0</v>
      </c>
      <c r="K7537" s="38">
        <v>0</v>
      </c>
      <c r="L7537" s="38">
        <v>0</v>
      </c>
      <c r="M7537" s="38">
        <v>0.2</v>
      </c>
      <c r="N7537" s="38">
        <v>0</v>
      </c>
      <c r="P7537" s="38">
        <v>0</v>
      </c>
      <c r="Q7537" s="38">
        <v>3.8</v>
      </c>
      <c r="R7537" s="38">
        <v>1</v>
      </c>
      <c r="U7537" s="38">
        <v>0</v>
      </c>
      <c r="V7537" s="38">
        <v>0</v>
      </c>
      <c r="W7537" s="38">
        <v>0</v>
      </c>
      <c r="X7537" s="38">
        <v>0</v>
      </c>
      <c r="Y7537" s="38">
        <v>0</v>
      </c>
      <c r="Z7537" s="38">
        <v>0</v>
      </c>
      <c r="AA7537" s="38">
        <v>0</v>
      </c>
      <c r="AB7537" s="38">
        <v>0</v>
      </c>
      <c r="AC7537" s="38">
        <v>0</v>
      </c>
      <c r="AD7537" s="38">
        <v>0</v>
      </c>
    </row>
    <row r="7538" spans="1:30" x14ac:dyDescent="0.25">
      <c r="A7538" s="22">
        <v>45889</v>
      </c>
      <c r="B7538" s="38">
        <v>0</v>
      </c>
      <c r="C7538" s="38">
        <v>1.6</v>
      </c>
      <c r="D7538" s="38">
        <v>2.4</v>
      </c>
      <c r="E7538" s="38">
        <v>0</v>
      </c>
      <c r="F7538" s="38">
        <v>4.0999999999999996</v>
      </c>
      <c r="G7538" s="38">
        <v>4.5</v>
      </c>
      <c r="H7538" s="38">
        <v>2.4</v>
      </c>
      <c r="I7538" s="38">
        <v>3.2</v>
      </c>
      <c r="J7538" s="38">
        <v>1.2</v>
      </c>
      <c r="K7538" s="38">
        <v>4.8</v>
      </c>
      <c r="L7538" s="38">
        <v>3.302</v>
      </c>
      <c r="M7538" s="38">
        <v>1.2</v>
      </c>
      <c r="N7538" s="38">
        <v>9.9999999999999982</v>
      </c>
      <c r="P7538" s="38">
        <v>2</v>
      </c>
      <c r="Q7538" s="38">
        <v>1.3</v>
      </c>
      <c r="R7538" s="38">
        <v>8</v>
      </c>
      <c r="U7538" s="38">
        <v>5</v>
      </c>
      <c r="V7538" s="38">
        <v>0</v>
      </c>
      <c r="W7538" s="38">
        <v>2.1</v>
      </c>
      <c r="X7538" s="38">
        <v>11</v>
      </c>
      <c r="Y7538" s="38">
        <v>0</v>
      </c>
      <c r="Z7538" s="38">
        <v>0</v>
      </c>
      <c r="AA7538" s="38">
        <v>3</v>
      </c>
      <c r="AB7538" s="38">
        <v>0</v>
      </c>
      <c r="AC7538" s="38">
        <v>9.6</v>
      </c>
      <c r="AD7538" s="38">
        <v>4.5999999999999996</v>
      </c>
    </row>
    <row r="7539" spans="1:30" x14ac:dyDescent="0.25">
      <c r="A7539" s="22">
        <v>45890</v>
      </c>
      <c r="B7539" s="38">
        <v>0</v>
      </c>
      <c r="C7539" s="38">
        <v>1.2</v>
      </c>
      <c r="D7539" s="38">
        <v>3</v>
      </c>
      <c r="E7539" s="38">
        <v>6</v>
      </c>
      <c r="F7539" s="38">
        <v>1.4</v>
      </c>
      <c r="G7539" s="38">
        <v>2.5</v>
      </c>
      <c r="H7539" s="38">
        <v>2</v>
      </c>
      <c r="I7539" s="38">
        <v>1.5</v>
      </c>
      <c r="J7539" s="38">
        <v>0</v>
      </c>
      <c r="K7539" s="38">
        <v>0</v>
      </c>
      <c r="L7539" s="38">
        <v>2.794</v>
      </c>
      <c r="M7539" s="38">
        <v>1.2</v>
      </c>
      <c r="N7539" s="38">
        <v>1.2</v>
      </c>
      <c r="P7539" s="38">
        <v>3</v>
      </c>
      <c r="Q7539" s="38">
        <v>6.2</v>
      </c>
      <c r="R7539" s="38">
        <v>2</v>
      </c>
      <c r="U7539" s="38">
        <v>2</v>
      </c>
      <c r="V7539" s="38">
        <v>0</v>
      </c>
      <c r="W7539" s="38">
        <v>1</v>
      </c>
      <c r="X7539" s="38">
        <v>0</v>
      </c>
      <c r="Y7539" s="38">
        <v>0</v>
      </c>
      <c r="Z7539" s="38">
        <v>0</v>
      </c>
      <c r="AA7539" s="38">
        <v>5</v>
      </c>
      <c r="AB7539" s="38">
        <v>1</v>
      </c>
      <c r="AC7539" s="38">
        <v>0</v>
      </c>
      <c r="AD7539" s="38">
        <v>0</v>
      </c>
    </row>
    <row r="7540" spans="1:30" x14ac:dyDescent="0.25">
      <c r="A7540" s="22">
        <v>45891</v>
      </c>
      <c r="B7540" s="38">
        <v>6.5</v>
      </c>
      <c r="C7540" s="38" t="s">
        <v>38</v>
      </c>
      <c r="D7540" s="38">
        <v>0</v>
      </c>
      <c r="E7540" s="38">
        <v>77</v>
      </c>
      <c r="F7540" s="38" t="s">
        <v>38</v>
      </c>
      <c r="G7540" s="38">
        <v>5.5</v>
      </c>
      <c r="H7540" s="38">
        <v>2</v>
      </c>
      <c r="I7540" s="38">
        <v>12.1</v>
      </c>
      <c r="J7540" s="38">
        <v>4.4000000000000004</v>
      </c>
      <c r="K7540" s="38">
        <v>3</v>
      </c>
      <c r="L7540" s="38">
        <v>11.937999999999999</v>
      </c>
      <c r="M7540" s="38">
        <v>7.2</v>
      </c>
      <c r="N7540" s="38">
        <v>4</v>
      </c>
      <c r="P7540" s="38">
        <v>8</v>
      </c>
      <c r="Q7540" s="38">
        <v>2.1</v>
      </c>
      <c r="R7540" s="38">
        <v>7.1</v>
      </c>
      <c r="U7540" s="38">
        <v>2</v>
      </c>
      <c r="V7540" s="38">
        <v>2.4</v>
      </c>
      <c r="W7540" s="38">
        <v>1.4</v>
      </c>
      <c r="X7540" s="38">
        <v>0</v>
      </c>
      <c r="Y7540" s="38">
        <v>0</v>
      </c>
      <c r="Z7540" s="38">
        <v>4</v>
      </c>
      <c r="AA7540" s="38">
        <v>0</v>
      </c>
      <c r="AB7540" s="38">
        <v>0</v>
      </c>
      <c r="AC7540" s="38">
        <v>6.6</v>
      </c>
      <c r="AD7540" s="38">
        <v>4.2</v>
      </c>
    </row>
    <row r="7541" spans="1:30" x14ac:dyDescent="0.25">
      <c r="A7541" s="22">
        <v>45892</v>
      </c>
      <c r="B7541" s="38">
        <v>0</v>
      </c>
      <c r="C7541" s="38">
        <v>4.8</v>
      </c>
      <c r="D7541" s="38">
        <v>0</v>
      </c>
      <c r="E7541" s="38">
        <v>0</v>
      </c>
      <c r="F7541" s="38">
        <v>3.2</v>
      </c>
      <c r="G7541" s="38">
        <v>0.8</v>
      </c>
      <c r="H7541" s="38" t="s">
        <v>38</v>
      </c>
      <c r="I7541" s="38">
        <v>1.5</v>
      </c>
      <c r="J7541" s="38">
        <v>0</v>
      </c>
      <c r="K7541" s="38">
        <v>0</v>
      </c>
      <c r="L7541" s="38">
        <v>1.778</v>
      </c>
      <c r="M7541" s="38">
        <v>0</v>
      </c>
      <c r="N7541" s="38">
        <v>0</v>
      </c>
      <c r="P7541" s="38">
        <v>4</v>
      </c>
      <c r="Q7541" s="38">
        <v>3.1</v>
      </c>
      <c r="R7541" s="38">
        <v>3</v>
      </c>
      <c r="U7541" s="38">
        <v>7</v>
      </c>
      <c r="V7541" s="38">
        <v>0</v>
      </c>
      <c r="W7541" s="38">
        <v>0</v>
      </c>
      <c r="X7541" s="38">
        <v>9</v>
      </c>
      <c r="Y7541" s="38">
        <v>3</v>
      </c>
      <c r="Z7541" s="38">
        <v>0</v>
      </c>
      <c r="AA7541" s="38">
        <v>0</v>
      </c>
      <c r="AB7541" s="38">
        <v>3</v>
      </c>
      <c r="AC7541" s="38">
        <v>3.4</v>
      </c>
      <c r="AD7541" s="38">
        <v>4.2</v>
      </c>
    </row>
    <row r="7542" spans="1:30" x14ac:dyDescent="0.25">
      <c r="A7542" s="22">
        <v>45893</v>
      </c>
      <c r="B7542" s="38">
        <v>5</v>
      </c>
      <c r="C7542" s="38">
        <v>6.4</v>
      </c>
      <c r="D7542" s="38">
        <v>4</v>
      </c>
      <c r="E7542" s="38">
        <v>0</v>
      </c>
      <c r="F7542" s="38">
        <v>0</v>
      </c>
      <c r="G7542" s="38">
        <v>0</v>
      </c>
      <c r="H7542" s="38" t="s">
        <v>38</v>
      </c>
      <c r="I7542" s="38">
        <v>0.2</v>
      </c>
      <c r="J7542" s="38">
        <v>2.2999999999999998</v>
      </c>
      <c r="K7542" s="38">
        <v>8</v>
      </c>
      <c r="L7542" s="38">
        <v>8.1280000000000001</v>
      </c>
      <c r="M7542" s="38">
        <v>0.3</v>
      </c>
      <c r="N7542" s="38">
        <v>13.200000000000001</v>
      </c>
      <c r="P7542" s="38">
        <v>1</v>
      </c>
      <c r="Q7542" s="38">
        <v>4.7</v>
      </c>
      <c r="R7542" s="38">
        <v>0</v>
      </c>
      <c r="U7542" s="38">
        <v>0</v>
      </c>
      <c r="V7542" s="38">
        <v>0</v>
      </c>
      <c r="W7542" s="38">
        <v>0</v>
      </c>
      <c r="X7542" s="38">
        <v>0</v>
      </c>
      <c r="Y7542" s="38">
        <v>0</v>
      </c>
      <c r="Z7542" s="38">
        <v>8</v>
      </c>
      <c r="AA7542" s="38">
        <v>0</v>
      </c>
      <c r="AB7542" s="38">
        <v>2</v>
      </c>
      <c r="AC7542" s="38">
        <v>9</v>
      </c>
      <c r="AD7542" s="38">
        <v>10.799999999999999</v>
      </c>
    </row>
    <row r="7543" spans="1:30" x14ac:dyDescent="0.25">
      <c r="A7543" s="22">
        <v>45894</v>
      </c>
      <c r="B7543" s="38">
        <v>10</v>
      </c>
      <c r="C7543" s="38">
        <v>10.8</v>
      </c>
      <c r="D7543" s="38">
        <v>24</v>
      </c>
      <c r="E7543" s="38">
        <v>13</v>
      </c>
      <c r="F7543" s="38">
        <v>1.2</v>
      </c>
      <c r="G7543" s="38">
        <v>8</v>
      </c>
      <c r="H7543" s="38">
        <v>3</v>
      </c>
      <c r="I7543" s="38">
        <v>7.6</v>
      </c>
      <c r="J7543" s="38">
        <v>16.3</v>
      </c>
      <c r="K7543" s="38">
        <v>12.2</v>
      </c>
      <c r="L7543" s="38">
        <v>1.016</v>
      </c>
      <c r="M7543" s="38">
        <v>6.2</v>
      </c>
      <c r="N7543" s="38">
        <v>6.2000000000000011</v>
      </c>
      <c r="P7543" s="38">
        <v>3</v>
      </c>
      <c r="Q7543" s="38">
        <v>1.1000000000000001</v>
      </c>
      <c r="R7543" s="38">
        <v>0</v>
      </c>
      <c r="U7543" s="38">
        <v>14</v>
      </c>
      <c r="V7543" s="38">
        <v>3</v>
      </c>
      <c r="W7543" s="38">
        <v>24</v>
      </c>
      <c r="X7543" s="38">
        <v>6</v>
      </c>
      <c r="Y7543" s="38">
        <v>6</v>
      </c>
      <c r="Z7543" s="38">
        <v>0</v>
      </c>
      <c r="AA7543" s="38">
        <v>0</v>
      </c>
      <c r="AB7543" s="38">
        <v>6</v>
      </c>
      <c r="AC7543" s="38">
        <v>1</v>
      </c>
      <c r="AD7543" s="38">
        <v>1</v>
      </c>
    </row>
    <row r="7544" spans="1:30" x14ac:dyDescent="0.25">
      <c r="A7544" s="22">
        <v>45895</v>
      </c>
      <c r="B7544" s="38">
        <v>0</v>
      </c>
      <c r="C7544" s="38">
        <v>1.2</v>
      </c>
      <c r="D7544" s="38">
        <v>0</v>
      </c>
      <c r="E7544" s="38">
        <v>0</v>
      </c>
      <c r="F7544" s="38">
        <v>1.1000000000000001</v>
      </c>
      <c r="G7544" s="38">
        <v>1.5</v>
      </c>
      <c r="H7544" s="38">
        <v>1.6</v>
      </c>
      <c r="I7544" s="38">
        <v>2</v>
      </c>
      <c r="J7544" s="38">
        <v>4.2</v>
      </c>
      <c r="K7544" s="38">
        <v>2.2000000000000002</v>
      </c>
      <c r="L7544" s="38">
        <v>1.016</v>
      </c>
      <c r="M7544" s="38">
        <v>2.6</v>
      </c>
      <c r="N7544" s="38">
        <v>2</v>
      </c>
      <c r="P7544" s="38" t="s">
        <v>38</v>
      </c>
      <c r="Q7544" s="38">
        <v>0.4</v>
      </c>
      <c r="R7544" s="38">
        <v>0</v>
      </c>
      <c r="U7544" s="38">
        <v>0</v>
      </c>
      <c r="V7544" s="38">
        <v>0</v>
      </c>
      <c r="W7544" s="38">
        <v>1.4</v>
      </c>
      <c r="X7544" s="38">
        <v>6</v>
      </c>
      <c r="Y7544" s="38">
        <v>0</v>
      </c>
      <c r="Z7544" s="38">
        <v>0</v>
      </c>
      <c r="AA7544" s="38">
        <v>0</v>
      </c>
      <c r="AB7544" s="38">
        <v>0</v>
      </c>
      <c r="AC7544" s="38">
        <v>0</v>
      </c>
      <c r="AD7544" s="38">
        <v>0</v>
      </c>
    </row>
    <row r="7545" spans="1:30" x14ac:dyDescent="0.25">
      <c r="A7545" s="22">
        <v>45896</v>
      </c>
      <c r="B7545" s="38">
        <v>12</v>
      </c>
      <c r="C7545" s="38">
        <v>2.4</v>
      </c>
      <c r="D7545" s="38">
        <v>2</v>
      </c>
      <c r="E7545" s="38">
        <v>0</v>
      </c>
      <c r="F7545" s="38">
        <v>0</v>
      </c>
      <c r="G7545" s="38">
        <v>3</v>
      </c>
      <c r="H7545" s="38">
        <v>2.6</v>
      </c>
      <c r="I7545" s="38">
        <v>3</v>
      </c>
      <c r="J7545" s="38">
        <v>4.4000000000000004</v>
      </c>
      <c r="K7545" s="38">
        <v>2.2000000000000002</v>
      </c>
      <c r="L7545" s="38">
        <v>0</v>
      </c>
      <c r="M7545" s="38">
        <v>2.2000000000000002</v>
      </c>
      <c r="N7545" s="38">
        <v>2.4000000000000004</v>
      </c>
      <c r="P7545" s="38">
        <v>0</v>
      </c>
      <c r="Q7545" s="38">
        <v>7.8</v>
      </c>
      <c r="R7545" s="38">
        <v>0</v>
      </c>
      <c r="U7545" s="38">
        <v>0</v>
      </c>
      <c r="V7545" s="38">
        <v>1</v>
      </c>
      <c r="W7545" s="38">
        <v>1.4</v>
      </c>
      <c r="X7545" s="38">
        <v>0</v>
      </c>
      <c r="Y7545" s="38">
        <v>0</v>
      </c>
      <c r="Z7545" s="38">
        <v>0</v>
      </c>
      <c r="AA7545" s="38">
        <v>0</v>
      </c>
      <c r="AB7545" s="38">
        <v>3</v>
      </c>
      <c r="AC7545" s="38">
        <v>1.2</v>
      </c>
      <c r="AD7545" s="38">
        <v>7.2000000000000011</v>
      </c>
    </row>
    <row r="7546" spans="1:30" x14ac:dyDescent="0.25">
      <c r="A7546" s="22">
        <v>45897</v>
      </c>
      <c r="B7546" s="38">
        <v>26</v>
      </c>
      <c r="C7546" s="38">
        <v>2</v>
      </c>
      <c r="D7546" s="38">
        <v>41</v>
      </c>
      <c r="E7546" s="38">
        <v>9</v>
      </c>
      <c r="F7546" s="38">
        <v>0.4</v>
      </c>
      <c r="G7546" s="38">
        <v>4.5</v>
      </c>
      <c r="H7546" s="38" t="s">
        <v>38</v>
      </c>
      <c r="I7546" s="38">
        <v>2.2000000000000002</v>
      </c>
      <c r="J7546" s="38">
        <v>3.2</v>
      </c>
      <c r="K7546" s="38">
        <v>0</v>
      </c>
      <c r="L7546" s="38">
        <v>13.462</v>
      </c>
      <c r="M7546" s="38">
        <v>2.9</v>
      </c>
      <c r="N7546" s="38">
        <v>0.2</v>
      </c>
      <c r="P7546" s="38">
        <v>2</v>
      </c>
      <c r="Q7546" s="38">
        <v>3.4</v>
      </c>
      <c r="R7546" s="38">
        <v>2</v>
      </c>
      <c r="U7546" s="38">
        <v>6</v>
      </c>
      <c r="V7546" s="38">
        <v>0</v>
      </c>
      <c r="W7546" s="38">
        <v>0</v>
      </c>
      <c r="X7546" s="38">
        <v>7</v>
      </c>
      <c r="Y7546" s="38">
        <v>0</v>
      </c>
      <c r="Z7546" s="38">
        <v>4</v>
      </c>
      <c r="AA7546" s="38">
        <v>0</v>
      </c>
      <c r="AB7546" s="38">
        <v>3</v>
      </c>
      <c r="AC7546" s="38">
        <v>0</v>
      </c>
      <c r="AD7546" s="38">
        <v>0</v>
      </c>
    </row>
    <row r="7547" spans="1:30" x14ac:dyDescent="0.25">
      <c r="A7547" s="22">
        <v>45898</v>
      </c>
      <c r="B7547" s="38">
        <v>8</v>
      </c>
      <c r="C7547" s="38">
        <v>12.8</v>
      </c>
      <c r="D7547" s="38">
        <v>16</v>
      </c>
      <c r="E7547" s="38">
        <v>0</v>
      </c>
      <c r="F7547" s="38">
        <v>0</v>
      </c>
      <c r="G7547" s="38">
        <v>3</v>
      </c>
      <c r="H7547" s="38" t="s">
        <v>38</v>
      </c>
      <c r="I7547" s="38">
        <v>7.3</v>
      </c>
      <c r="J7547" s="38">
        <v>1.1000000000000001</v>
      </c>
      <c r="K7547" s="38">
        <v>3</v>
      </c>
      <c r="L7547" s="38">
        <v>11.43</v>
      </c>
      <c r="M7547" s="38">
        <v>2</v>
      </c>
      <c r="N7547" s="38">
        <v>47.6</v>
      </c>
      <c r="P7547" s="38">
        <v>6</v>
      </c>
      <c r="Q7547" s="38">
        <v>0.8</v>
      </c>
      <c r="R7547" s="38">
        <v>0</v>
      </c>
      <c r="U7547" s="38">
        <v>0</v>
      </c>
      <c r="V7547" s="38">
        <v>6.8</v>
      </c>
      <c r="W7547" s="38">
        <v>8.1999999999999993</v>
      </c>
      <c r="X7547" s="38">
        <v>0</v>
      </c>
      <c r="Y7547" s="38">
        <v>3</v>
      </c>
      <c r="Z7547" s="38">
        <v>0</v>
      </c>
      <c r="AA7547" s="38">
        <v>5</v>
      </c>
      <c r="AB7547" s="38">
        <v>15</v>
      </c>
      <c r="AC7547" s="38">
        <v>15.2</v>
      </c>
      <c r="AD7547" s="38">
        <v>16.799999999999994</v>
      </c>
    </row>
    <row r="7548" spans="1:30" x14ac:dyDescent="0.25">
      <c r="A7548" s="22">
        <v>45899</v>
      </c>
      <c r="B7548" s="38">
        <v>4</v>
      </c>
      <c r="C7548" s="38">
        <v>13.2</v>
      </c>
      <c r="D7548" s="38">
        <v>9.6</v>
      </c>
      <c r="E7548" s="38">
        <v>0</v>
      </c>
      <c r="F7548" s="38">
        <v>0</v>
      </c>
      <c r="G7548" s="38">
        <v>51.5</v>
      </c>
      <c r="H7548" s="38">
        <v>36.4</v>
      </c>
      <c r="I7548" s="38">
        <v>33.200000000000003</v>
      </c>
      <c r="J7548" s="38">
        <v>46.2</v>
      </c>
      <c r="K7548" s="38">
        <v>43.3</v>
      </c>
      <c r="L7548" s="38">
        <v>4.8259999999999996</v>
      </c>
      <c r="M7548" s="38">
        <v>38</v>
      </c>
      <c r="N7548" s="38">
        <v>0</v>
      </c>
      <c r="P7548" s="38">
        <v>0</v>
      </c>
      <c r="Q7548" s="38">
        <v>0</v>
      </c>
      <c r="R7548" s="38">
        <v>0</v>
      </c>
      <c r="U7548" s="38">
        <v>0</v>
      </c>
      <c r="V7548" s="38">
        <v>26.2</v>
      </c>
      <c r="W7548" s="38">
        <v>36.4</v>
      </c>
      <c r="X7548" s="38">
        <v>8</v>
      </c>
      <c r="Y7548" s="38">
        <v>35</v>
      </c>
      <c r="Z7548" s="38">
        <v>32</v>
      </c>
      <c r="AA7548" s="38">
        <v>0</v>
      </c>
      <c r="AB7548" s="38">
        <v>0</v>
      </c>
      <c r="AC7548" s="38">
        <v>0.2</v>
      </c>
      <c r="AD7548" s="38">
        <v>0.2</v>
      </c>
    </row>
    <row r="7549" spans="1:30" x14ac:dyDescent="0.25">
      <c r="A7549" s="22">
        <v>45900</v>
      </c>
      <c r="B7549" s="38">
        <v>3.5</v>
      </c>
      <c r="C7549" s="38">
        <v>1.2</v>
      </c>
      <c r="D7549" s="38">
        <v>2</v>
      </c>
      <c r="E7549" s="38">
        <v>6</v>
      </c>
      <c r="F7549" s="38">
        <v>1</v>
      </c>
      <c r="G7549" s="38">
        <v>2.5</v>
      </c>
      <c r="H7549" s="38">
        <v>2.8</v>
      </c>
      <c r="I7549" s="38">
        <v>0.2</v>
      </c>
      <c r="J7549" s="38">
        <v>6.2</v>
      </c>
      <c r="K7549" s="38">
        <v>4.2</v>
      </c>
      <c r="L7549" s="38">
        <v>0.7619999999999999</v>
      </c>
      <c r="M7549" s="38">
        <v>1</v>
      </c>
      <c r="N7549" s="38">
        <v>2.4000000000000004</v>
      </c>
      <c r="P7549" s="38">
        <v>1</v>
      </c>
      <c r="Q7549" s="38">
        <v>0</v>
      </c>
      <c r="R7549" s="38">
        <v>0</v>
      </c>
      <c r="U7549" s="38">
        <v>16</v>
      </c>
      <c r="V7549" s="38">
        <v>0</v>
      </c>
      <c r="W7549" s="38">
        <v>26.2</v>
      </c>
      <c r="X7549" s="38">
        <v>5</v>
      </c>
      <c r="Y7549" s="38">
        <v>0</v>
      </c>
      <c r="Z7549" s="38">
        <v>0</v>
      </c>
      <c r="AA7549" s="38">
        <v>10</v>
      </c>
      <c r="AB7549" s="38">
        <v>0</v>
      </c>
      <c r="AC7549" s="38">
        <v>4</v>
      </c>
      <c r="AD7549" s="38">
        <v>8.1999999999999993</v>
      </c>
    </row>
    <row r="7550" spans="1:30" x14ac:dyDescent="0.25">
      <c r="A7550" s="22">
        <v>45901</v>
      </c>
      <c r="B7550" s="38">
        <v>15</v>
      </c>
      <c r="C7550" s="38" t="s">
        <v>38</v>
      </c>
      <c r="D7550" s="38">
        <v>0</v>
      </c>
      <c r="E7550" s="38">
        <v>0</v>
      </c>
      <c r="F7550" s="38">
        <v>0.4</v>
      </c>
      <c r="G7550" s="38">
        <v>5.5</v>
      </c>
      <c r="H7550" s="38">
        <v>1</v>
      </c>
      <c r="I7550" s="38">
        <v>8.4</v>
      </c>
      <c r="J7550" s="38">
        <v>6.1</v>
      </c>
      <c r="K7550" s="38">
        <v>6.2</v>
      </c>
      <c r="L7550" s="38">
        <v>0.7619999999999999</v>
      </c>
      <c r="M7550" s="38">
        <v>8</v>
      </c>
      <c r="N7550" s="38">
        <v>20.199999999999996</v>
      </c>
      <c r="P7550" s="38">
        <v>0</v>
      </c>
      <c r="Q7550" s="38">
        <v>7.6</v>
      </c>
      <c r="R7550" s="38">
        <v>0</v>
      </c>
      <c r="U7550" s="38">
        <v>0</v>
      </c>
      <c r="V7550" s="38">
        <v>6</v>
      </c>
      <c r="W7550" s="38">
        <v>16</v>
      </c>
      <c r="X7550" s="38">
        <v>0</v>
      </c>
      <c r="Y7550" s="38">
        <v>0</v>
      </c>
      <c r="Z7550" s="38">
        <v>3</v>
      </c>
      <c r="AA7550" s="38">
        <v>0</v>
      </c>
      <c r="AB7550" s="38">
        <v>0</v>
      </c>
      <c r="AC7550" s="38">
        <v>11.199999999999998</v>
      </c>
      <c r="AD7550" s="38">
        <v>4.0000000000000009</v>
      </c>
    </row>
    <row r="7551" spans="1:30" x14ac:dyDescent="0.25">
      <c r="A7551" s="22">
        <v>45902</v>
      </c>
      <c r="B7551" s="38">
        <v>0</v>
      </c>
      <c r="C7551" s="38">
        <v>5.6</v>
      </c>
      <c r="D7551" s="38">
        <v>14</v>
      </c>
      <c r="E7551" s="38">
        <v>11</v>
      </c>
      <c r="F7551" s="38">
        <v>4.3</v>
      </c>
      <c r="G7551" s="38">
        <v>15.5</v>
      </c>
      <c r="H7551" s="38">
        <v>8.4</v>
      </c>
      <c r="I7551" s="38">
        <v>5.4</v>
      </c>
      <c r="J7551" s="38">
        <v>8</v>
      </c>
      <c r="K7551" s="38">
        <v>13</v>
      </c>
      <c r="L7551" s="38">
        <v>22.097999999999999</v>
      </c>
      <c r="M7551" s="38">
        <v>10</v>
      </c>
      <c r="N7551" s="38">
        <v>10.199999999999999</v>
      </c>
      <c r="P7551" s="38">
        <v>8</v>
      </c>
      <c r="Q7551" s="38">
        <v>3.5</v>
      </c>
      <c r="R7551" s="38">
        <v>8.1999999999999993</v>
      </c>
      <c r="U7551" s="38">
        <v>16</v>
      </c>
      <c r="V7551" s="38">
        <v>6</v>
      </c>
      <c r="W7551" s="38">
        <v>10.199999999999999</v>
      </c>
      <c r="X7551" s="38">
        <v>3</v>
      </c>
      <c r="Y7551" s="38">
        <v>0</v>
      </c>
      <c r="Z7551" s="38">
        <v>0</v>
      </c>
      <c r="AA7551" s="38">
        <v>0</v>
      </c>
      <c r="AB7551" s="38">
        <v>2</v>
      </c>
      <c r="AC7551" s="38">
        <v>1.8</v>
      </c>
      <c r="AD7551" s="38">
        <v>2.2000000000000002</v>
      </c>
    </row>
    <row r="7552" spans="1:30" x14ac:dyDescent="0.25">
      <c r="A7552" s="22">
        <v>45903</v>
      </c>
      <c r="B7552" s="38">
        <v>1</v>
      </c>
      <c r="C7552" s="38">
        <v>16.2</v>
      </c>
      <c r="D7552" s="38">
        <v>12</v>
      </c>
      <c r="E7552" s="38">
        <v>5</v>
      </c>
      <c r="F7552" s="38">
        <v>7.4</v>
      </c>
      <c r="G7552" s="38">
        <v>10.5</v>
      </c>
      <c r="H7552" s="38">
        <v>11</v>
      </c>
      <c r="I7552" s="38">
        <v>23.2</v>
      </c>
      <c r="J7552" s="38">
        <v>36.1</v>
      </c>
      <c r="K7552" s="38">
        <v>36.4</v>
      </c>
      <c r="L7552" s="38">
        <v>8.1280000000000001</v>
      </c>
      <c r="M7552" s="38">
        <v>22.1</v>
      </c>
      <c r="N7552" s="38">
        <v>32.600000000000009</v>
      </c>
      <c r="P7552" s="38">
        <v>5</v>
      </c>
      <c r="Q7552" s="38">
        <v>8.3000000000000007</v>
      </c>
      <c r="R7552" s="38">
        <v>3</v>
      </c>
      <c r="U7552" s="38">
        <v>15</v>
      </c>
      <c r="V7552" s="38">
        <v>10.199999999999999</v>
      </c>
      <c r="W7552" s="38">
        <v>18.8</v>
      </c>
      <c r="X7552" s="38">
        <v>16</v>
      </c>
      <c r="Y7552" s="38">
        <v>18</v>
      </c>
      <c r="Z7552" s="38">
        <v>10</v>
      </c>
      <c r="AA7552" s="38">
        <v>20</v>
      </c>
      <c r="AB7552" s="38">
        <v>1</v>
      </c>
      <c r="AC7552" s="38">
        <v>16.399999999999999</v>
      </c>
      <c r="AD7552" s="38">
        <v>15.6</v>
      </c>
    </row>
    <row r="7553" spans="1:30" x14ac:dyDescent="0.25">
      <c r="A7553" s="22">
        <v>45904</v>
      </c>
      <c r="B7553" s="38">
        <v>11</v>
      </c>
      <c r="C7553" s="38">
        <v>6.6</v>
      </c>
      <c r="D7553" s="38">
        <v>6</v>
      </c>
      <c r="E7553" s="38">
        <v>0</v>
      </c>
      <c r="F7553" s="38">
        <v>13.5</v>
      </c>
      <c r="G7553" s="38">
        <v>13.5</v>
      </c>
      <c r="H7553" s="38">
        <v>5.7</v>
      </c>
      <c r="I7553" s="38">
        <v>2.4</v>
      </c>
      <c r="J7553" s="38">
        <v>12.4</v>
      </c>
      <c r="K7553" s="38">
        <v>12</v>
      </c>
      <c r="L7553" s="38">
        <v>9.1439999999999984</v>
      </c>
      <c r="M7553" s="38">
        <v>6.1</v>
      </c>
      <c r="N7553" s="38">
        <v>13.799999999999999</v>
      </c>
      <c r="P7553" s="38">
        <v>4</v>
      </c>
      <c r="Q7553" s="38">
        <v>3.8</v>
      </c>
      <c r="R7553" s="38">
        <v>12.1</v>
      </c>
      <c r="U7553" s="38">
        <v>4</v>
      </c>
      <c r="V7553" s="38">
        <v>10</v>
      </c>
      <c r="W7553" s="38">
        <v>4.8</v>
      </c>
      <c r="X7553" s="38">
        <v>3</v>
      </c>
      <c r="Y7553" s="38">
        <v>6</v>
      </c>
      <c r="Z7553" s="38">
        <v>4</v>
      </c>
      <c r="AA7553" s="38">
        <v>0</v>
      </c>
      <c r="AB7553" s="38">
        <v>3</v>
      </c>
      <c r="AC7553" s="38">
        <v>6.2</v>
      </c>
      <c r="AD7553" s="38">
        <v>6</v>
      </c>
    </row>
    <row r="7554" spans="1:30" x14ac:dyDescent="0.25">
      <c r="A7554" s="22">
        <v>45905</v>
      </c>
      <c r="B7554" s="38">
        <v>9</v>
      </c>
      <c r="C7554" s="38">
        <v>6.2</v>
      </c>
      <c r="D7554" s="38">
        <v>4.8</v>
      </c>
      <c r="E7554" s="38">
        <v>0</v>
      </c>
      <c r="F7554" s="38">
        <v>1.5</v>
      </c>
      <c r="G7554" s="38">
        <v>1.5</v>
      </c>
      <c r="H7554" s="38">
        <v>1.2</v>
      </c>
      <c r="I7554" s="38">
        <v>1</v>
      </c>
      <c r="J7554" s="38">
        <v>4.2</v>
      </c>
      <c r="K7554" s="38">
        <v>0</v>
      </c>
      <c r="L7554" s="38">
        <v>8.1280000000000001</v>
      </c>
      <c r="M7554" s="38">
        <v>1.6</v>
      </c>
      <c r="N7554" s="38">
        <v>14.799999999999999</v>
      </c>
      <c r="P7554" s="38">
        <v>3</v>
      </c>
      <c r="Q7554" s="38">
        <v>1.2</v>
      </c>
      <c r="R7554" s="38">
        <v>4</v>
      </c>
      <c r="U7554" s="38">
        <v>0</v>
      </c>
      <c r="V7554" s="38">
        <v>16</v>
      </c>
      <c r="W7554" s="38">
        <v>2.2000000000000002</v>
      </c>
      <c r="X7554" s="38">
        <v>0</v>
      </c>
      <c r="Y7554" s="38">
        <v>0</v>
      </c>
      <c r="Z7554" s="38">
        <v>0</v>
      </c>
      <c r="AA7554" s="38">
        <v>0</v>
      </c>
      <c r="AB7554" s="38">
        <v>0</v>
      </c>
      <c r="AC7554" s="38">
        <v>1.2</v>
      </c>
      <c r="AD7554" s="38">
        <v>0.4</v>
      </c>
    </row>
    <row r="7555" spans="1:30" x14ac:dyDescent="0.25">
      <c r="A7555" s="22">
        <v>45906</v>
      </c>
      <c r="B7555" s="38">
        <v>6</v>
      </c>
      <c r="C7555" s="38">
        <v>11.2</v>
      </c>
      <c r="D7555" s="38">
        <v>17.2</v>
      </c>
      <c r="E7555" s="38">
        <v>0</v>
      </c>
      <c r="F7555" s="38">
        <v>10</v>
      </c>
      <c r="G7555" s="38">
        <v>10</v>
      </c>
      <c r="H7555" s="38">
        <v>5.4</v>
      </c>
      <c r="I7555" s="38">
        <v>4.8</v>
      </c>
      <c r="J7555" s="38">
        <v>18.399999999999999</v>
      </c>
      <c r="K7555" s="38">
        <v>26.1</v>
      </c>
      <c r="L7555" s="38">
        <v>6.35</v>
      </c>
      <c r="M7555" s="38">
        <v>7.4</v>
      </c>
      <c r="N7555" s="38">
        <v>16.8</v>
      </c>
      <c r="P7555" s="38">
        <v>4</v>
      </c>
      <c r="Q7555" s="38">
        <v>12.8</v>
      </c>
      <c r="R7555" s="38">
        <v>1.2</v>
      </c>
      <c r="U7555" s="38">
        <v>2</v>
      </c>
      <c r="V7555" s="38">
        <v>0</v>
      </c>
      <c r="W7555" s="38">
        <v>8</v>
      </c>
      <c r="X7555" s="38">
        <v>5</v>
      </c>
      <c r="Y7555" s="38">
        <v>20</v>
      </c>
      <c r="Z7555" s="38">
        <v>6</v>
      </c>
      <c r="AA7555" s="38">
        <v>1</v>
      </c>
      <c r="AB7555" s="38">
        <v>5</v>
      </c>
      <c r="AC7555" s="38">
        <v>6.8000000000000007</v>
      </c>
      <c r="AD7555" s="38">
        <v>8.8000000000000007</v>
      </c>
    </row>
    <row r="7556" spans="1:30" x14ac:dyDescent="0.25">
      <c r="A7556" s="22">
        <v>45907</v>
      </c>
      <c r="B7556" s="38">
        <v>5</v>
      </c>
      <c r="C7556" s="38">
        <v>32.4</v>
      </c>
      <c r="D7556" s="38">
        <v>12</v>
      </c>
      <c r="E7556" s="38">
        <v>0</v>
      </c>
      <c r="F7556" s="38">
        <v>10.5</v>
      </c>
      <c r="G7556" s="38">
        <v>10</v>
      </c>
      <c r="H7556" s="38">
        <v>9</v>
      </c>
      <c r="I7556" s="38">
        <v>14</v>
      </c>
      <c r="J7556" s="38">
        <v>22.3</v>
      </c>
      <c r="K7556" s="38">
        <v>16.8</v>
      </c>
      <c r="L7556" s="38">
        <v>3.8099999999999996</v>
      </c>
      <c r="M7556" s="38">
        <v>6.8</v>
      </c>
      <c r="N7556" s="38">
        <v>4.4000000000000004</v>
      </c>
      <c r="P7556" s="38">
        <v>14</v>
      </c>
      <c r="Q7556" s="38">
        <v>4</v>
      </c>
      <c r="R7556" s="38">
        <v>1.5</v>
      </c>
      <c r="U7556" s="38">
        <v>28</v>
      </c>
      <c r="V7556" s="38">
        <v>9</v>
      </c>
      <c r="W7556" s="38">
        <v>4.2</v>
      </c>
      <c r="X7556" s="38">
        <v>16</v>
      </c>
      <c r="Y7556" s="38">
        <v>8</v>
      </c>
      <c r="Z7556" s="38">
        <v>5</v>
      </c>
      <c r="AA7556" s="38">
        <v>0</v>
      </c>
      <c r="AB7556" s="38">
        <v>16</v>
      </c>
      <c r="AC7556" s="38">
        <v>0.6</v>
      </c>
      <c r="AD7556" s="38">
        <v>0.8</v>
      </c>
    </row>
    <row r="7557" spans="1:30" x14ac:dyDescent="0.25">
      <c r="A7557" s="22">
        <v>45908</v>
      </c>
      <c r="B7557" s="38">
        <v>0</v>
      </c>
      <c r="C7557" s="38" t="s">
        <v>38</v>
      </c>
      <c r="D7557" s="38">
        <v>6</v>
      </c>
      <c r="E7557" s="38">
        <v>0</v>
      </c>
      <c r="F7557" s="38">
        <v>0</v>
      </c>
      <c r="G7557" s="38">
        <v>10</v>
      </c>
      <c r="H7557" s="38" t="s">
        <v>38</v>
      </c>
      <c r="I7557" s="38">
        <v>0.5</v>
      </c>
      <c r="J7557" s="38">
        <v>1.1000000000000001</v>
      </c>
      <c r="K7557" s="38">
        <v>2.2000000000000002</v>
      </c>
      <c r="L7557" s="38">
        <v>1.016</v>
      </c>
      <c r="M7557" s="38" t="s">
        <v>38</v>
      </c>
      <c r="N7557" s="38">
        <v>1.2</v>
      </c>
      <c r="P7557" s="38">
        <v>0</v>
      </c>
      <c r="Q7557" s="38">
        <v>4.3</v>
      </c>
      <c r="R7557" s="38">
        <v>15</v>
      </c>
      <c r="U7557" s="38">
        <v>2</v>
      </c>
      <c r="V7557" s="38">
        <v>0</v>
      </c>
      <c r="W7557" s="38">
        <v>22</v>
      </c>
      <c r="X7557" s="38">
        <v>0</v>
      </c>
      <c r="Y7557" s="38">
        <v>0</v>
      </c>
      <c r="Z7557" s="38">
        <v>0</v>
      </c>
      <c r="AA7557" s="38">
        <v>6</v>
      </c>
      <c r="AB7557" s="38">
        <v>10</v>
      </c>
      <c r="AC7557" s="38">
        <v>7.8</v>
      </c>
      <c r="AD7557" s="38">
        <v>2.4</v>
      </c>
    </row>
    <row r="7558" spans="1:30" x14ac:dyDescent="0.25">
      <c r="A7558" s="22">
        <v>45909</v>
      </c>
      <c r="B7558" s="38">
        <v>4</v>
      </c>
      <c r="C7558" s="38">
        <v>2.4</v>
      </c>
      <c r="D7558" s="38">
        <v>6.6</v>
      </c>
      <c r="E7558" s="38">
        <v>0</v>
      </c>
      <c r="F7558" s="38">
        <v>2</v>
      </c>
      <c r="G7558" s="38">
        <v>1.5</v>
      </c>
      <c r="H7558" s="38" t="s">
        <v>38</v>
      </c>
      <c r="I7558" s="38">
        <v>1.1000000000000001</v>
      </c>
      <c r="J7558" s="38">
        <v>0</v>
      </c>
      <c r="K7558" s="38">
        <v>0</v>
      </c>
      <c r="L7558" s="38">
        <v>2.794</v>
      </c>
      <c r="M7558" s="38">
        <v>0</v>
      </c>
      <c r="N7558" s="38">
        <v>6.4</v>
      </c>
      <c r="P7558" s="38" t="s">
        <v>38</v>
      </c>
      <c r="Q7558" s="38">
        <v>12</v>
      </c>
      <c r="R7558" s="38">
        <v>1.1000000000000001</v>
      </c>
      <c r="U7558" s="38">
        <v>9</v>
      </c>
      <c r="V7558" s="38">
        <v>0</v>
      </c>
      <c r="W7558" s="38">
        <v>9</v>
      </c>
      <c r="X7558" s="38">
        <v>2</v>
      </c>
      <c r="Y7558" s="38">
        <v>2</v>
      </c>
      <c r="Z7558" s="38">
        <v>2.8</v>
      </c>
      <c r="AA7558" s="38">
        <v>8</v>
      </c>
      <c r="AB7558" s="38">
        <v>0</v>
      </c>
      <c r="AC7558" s="38">
        <v>0.4</v>
      </c>
      <c r="AD7558" s="38">
        <v>0</v>
      </c>
    </row>
    <row r="7559" spans="1:30" x14ac:dyDescent="0.25">
      <c r="A7559" s="22">
        <v>45910</v>
      </c>
      <c r="B7559" s="38">
        <v>0</v>
      </c>
      <c r="C7559" s="38">
        <v>4</v>
      </c>
      <c r="D7559" s="38">
        <v>5.6</v>
      </c>
      <c r="E7559" s="38">
        <v>6</v>
      </c>
      <c r="F7559" s="38">
        <v>0</v>
      </c>
      <c r="G7559" s="38">
        <v>2</v>
      </c>
      <c r="H7559" s="38">
        <v>0</v>
      </c>
      <c r="I7559" s="38">
        <v>0</v>
      </c>
      <c r="J7559" s="38">
        <v>6</v>
      </c>
      <c r="K7559" s="38">
        <v>0</v>
      </c>
      <c r="L7559" s="38">
        <v>1.27</v>
      </c>
      <c r="M7559" s="38">
        <v>0.2</v>
      </c>
      <c r="N7559" s="38">
        <v>5.6</v>
      </c>
      <c r="P7559" s="38" t="s">
        <v>38</v>
      </c>
      <c r="Q7559" s="38">
        <v>2</v>
      </c>
      <c r="R7559" s="38">
        <v>9</v>
      </c>
      <c r="U7559" s="38">
        <v>0</v>
      </c>
      <c r="V7559" s="38">
        <v>0</v>
      </c>
      <c r="W7559" s="38">
        <v>3.2</v>
      </c>
      <c r="X7559" s="38">
        <v>2</v>
      </c>
      <c r="Y7559" s="38">
        <v>2</v>
      </c>
      <c r="Z7559" s="38">
        <v>3.2</v>
      </c>
      <c r="AA7559" s="38">
        <v>0</v>
      </c>
      <c r="AB7559" s="38">
        <v>20</v>
      </c>
      <c r="AC7559" s="38">
        <v>0</v>
      </c>
      <c r="AD7559" s="38">
        <v>0</v>
      </c>
    </row>
    <row r="7560" spans="1:30" x14ac:dyDescent="0.25">
      <c r="A7560" s="22">
        <v>45911</v>
      </c>
      <c r="B7560" s="38">
        <v>0</v>
      </c>
      <c r="C7560" s="38">
        <v>2.4</v>
      </c>
      <c r="D7560" s="38">
        <v>12</v>
      </c>
      <c r="E7560" s="38">
        <v>6</v>
      </c>
      <c r="F7560" s="38">
        <v>0</v>
      </c>
      <c r="G7560" s="38">
        <v>3</v>
      </c>
      <c r="H7560" s="38">
        <v>0.5</v>
      </c>
      <c r="I7560" s="38">
        <v>3.4</v>
      </c>
      <c r="J7560" s="38">
        <v>4.2</v>
      </c>
      <c r="K7560" s="38">
        <v>2.6</v>
      </c>
      <c r="L7560" s="38">
        <v>0</v>
      </c>
      <c r="M7560" s="38">
        <v>2.1</v>
      </c>
      <c r="N7560" s="38">
        <v>1.8</v>
      </c>
      <c r="P7560" s="38" t="s">
        <v>38</v>
      </c>
      <c r="Q7560" s="38">
        <v>7</v>
      </c>
      <c r="R7560" s="38">
        <v>2.2000000000000002</v>
      </c>
      <c r="U7560" s="38">
        <v>7</v>
      </c>
      <c r="V7560" s="38">
        <v>0</v>
      </c>
      <c r="W7560" s="38">
        <v>1</v>
      </c>
      <c r="X7560" s="38">
        <v>1</v>
      </c>
      <c r="Y7560" s="38">
        <v>0</v>
      </c>
      <c r="Z7560" s="38">
        <v>0</v>
      </c>
      <c r="AA7560" s="38">
        <v>4</v>
      </c>
      <c r="AB7560" s="38">
        <v>4</v>
      </c>
      <c r="AC7560" s="38">
        <v>1.4</v>
      </c>
      <c r="AD7560" s="38">
        <v>0.2</v>
      </c>
    </row>
    <row r="7561" spans="1:30" x14ac:dyDescent="0.25">
      <c r="A7561" s="22">
        <v>45912</v>
      </c>
      <c r="B7561" s="38">
        <v>25</v>
      </c>
      <c r="C7561" s="38">
        <v>4.4000000000000004</v>
      </c>
      <c r="D7561" s="38">
        <v>2</v>
      </c>
      <c r="E7561" s="38">
        <v>0</v>
      </c>
      <c r="F7561" s="38">
        <v>1.4</v>
      </c>
      <c r="G7561" s="38">
        <v>1</v>
      </c>
      <c r="H7561" s="38" t="s">
        <v>38</v>
      </c>
      <c r="I7561" s="38">
        <v>3</v>
      </c>
      <c r="J7561" s="38">
        <v>0.2</v>
      </c>
      <c r="K7561" s="38">
        <v>23.9</v>
      </c>
      <c r="L7561" s="38">
        <v>14.731999999999998</v>
      </c>
      <c r="M7561" s="38">
        <v>0</v>
      </c>
      <c r="N7561" s="38">
        <v>4.2</v>
      </c>
      <c r="P7561" s="38">
        <v>26</v>
      </c>
      <c r="Q7561" s="38">
        <v>0</v>
      </c>
      <c r="R7561" s="38">
        <v>6</v>
      </c>
      <c r="U7561" s="38">
        <v>10</v>
      </c>
      <c r="V7561" s="38">
        <v>0</v>
      </c>
      <c r="W7561" s="38">
        <v>0</v>
      </c>
      <c r="X7561" s="38">
        <v>16</v>
      </c>
      <c r="Y7561" s="38">
        <v>2.8</v>
      </c>
      <c r="Z7561" s="38">
        <v>4</v>
      </c>
      <c r="AA7561" s="38">
        <v>10</v>
      </c>
      <c r="AB7561" s="38">
        <v>16</v>
      </c>
      <c r="AC7561" s="38">
        <v>1</v>
      </c>
      <c r="AD7561" s="38">
        <v>0</v>
      </c>
    </row>
    <row r="7562" spans="1:30" x14ac:dyDescent="0.25">
      <c r="A7562" s="22">
        <v>45913</v>
      </c>
      <c r="B7562" s="38">
        <v>3</v>
      </c>
      <c r="C7562" s="38" t="s">
        <v>38</v>
      </c>
      <c r="D7562" s="38" t="s">
        <v>38</v>
      </c>
      <c r="E7562" s="38">
        <v>0</v>
      </c>
      <c r="F7562" s="38">
        <v>0</v>
      </c>
      <c r="G7562" s="38">
        <v>35.5</v>
      </c>
      <c r="H7562" s="38" t="s">
        <v>38</v>
      </c>
      <c r="I7562" s="38">
        <v>0</v>
      </c>
      <c r="J7562" s="38">
        <v>2.2000000000000002</v>
      </c>
      <c r="K7562" s="38">
        <v>0</v>
      </c>
      <c r="L7562" s="38">
        <v>0</v>
      </c>
      <c r="M7562" s="38">
        <v>0</v>
      </c>
      <c r="N7562" s="38">
        <v>48.6</v>
      </c>
      <c r="P7562" s="38">
        <v>6</v>
      </c>
      <c r="Q7562" s="38">
        <v>19</v>
      </c>
      <c r="R7562" s="38">
        <v>10</v>
      </c>
      <c r="U7562" s="38">
        <v>0</v>
      </c>
      <c r="V7562" s="38">
        <v>0</v>
      </c>
      <c r="W7562" s="38">
        <v>0</v>
      </c>
      <c r="X7562" s="38">
        <v>0</v>
      </c>
      <c r="Y7562" s="38" t="s">
        <v>38</v>
      </c>
      <c r="Z7562" s="38" t="s">
        <v>38</v>
      </c>
      <c r="AA7562" s="38">
        <v>22</v>
      </c>
      <c r="AB7562" s="38">
        <v>4</v>
      </c>
      <c r="AC7562" s="38">
        <v>0</v>
      </c>
      <c r="AD7562" s="38">
        <v>0</v>
      </c>
    </row>
    <row r="7563" spans="1:30" x14ac:dyDescent="0.25">
      <c r="A7563" s="22">
        <v>45914</v>
      </c>
      <c r="B7563" s="38">
        <v>4</v>
      </c>
      <c r="C7563" s="38">
        <v>7.6</v>
      </c>
      <c r="D7563" s="38">
        <v>6</v>
      </c>
      <c r="E7563" s="38">
        <v>0</v>
      </c>
      <c r="F7563" s="38">
        <v>1.2</v>
      </c>
      <c r="G7563" s="38">
        <v>35.5</v>
      </c>
      <c r="H7563" s="38">
        <v>8</v>
      </c>
      <c r="I7563" s="38">
        <v>2</v>
      </c>
      <c r="J7563" s="38">
        <v>0</v>
      </c>
      <c r="K7563" s="38">
        <v>35</v>
      </c>
      <c r="L7563" s="38">
        <v>61.722000000000001</v>
      </c>
      <c r="M7563" s="38">
        <v>1</v>
      </c>
      <c r="N7563" s="38">
        <v>6.4</v>
      </c>
      <c r="P7563" s="38">
        <v>24</v>
      </c>
      <c r="Q7563" s="38">
        <v>0.2</v>
      </c>
      <c r="R7563" s="38">
        <v>59</v>
      </c>
      <c r="U7563" s="38">
        <v>31</v>
      </c>
      <c r="V7563" s="38">
        <v>16.2</v>
      </c>
      <c r="W7563" s="38">
        <v>0</v>
      </c>
      <c r="X7563" s="38">
        <v>12.2</v>
      </c>
      <c r="Y7563" s="38">
        <v>2</v>
      </c>
      <c r="Z7563" s="38">
        <v>2</v>
      </c>
      <c r="AA7563" s="38">
        <v>10</v>
      </c>
      <c r="AB7563" s="38">
        <v>2</v>
      </c>
      <c r="AC7563" s="38">
        <v>26.8</v>
      </c>
      <c r="AD7563" s="38">
        <v>9.1999999999999993</v>
      </c>
    </row>
    <row r="7564" spans="1:30" x14ac:dyDescent="0.25">
      <c r="A7564" s="22">
        <v>45915</v>
      </c>
      <c r="B7564" s="38">
        <v>0</v>
      </c>
      <c r="C7564" s="38">
        <v>1.2</v>
      </c>
      <c r="D7564" s="38">
        <v>2</v>
      </c>
      <c r="E7564" s="38">
        <v>0</v>
      </c>
      <c r="F7564" s="38">
        <v>2.4</v>
      </c>
      <c r="G7564" s="38">
        <v>3.5</v>
      </c>
      <c r="H7564" s="38" t="s">
        <v>38</v>
      </c>
      <c r="I7564" s="38">
        <v>2</v>
      </c>
      <c r="J7564" s="38">
        <v>4</v>
      </c>
      <c r="K7564" s="38">
        <v>7.2</v>
      </c>
      <c r="L7564" s="38">
        <v>0.50800000000000001</v>
      </c>
      <c r="M7564" s="38">
        <v>0.4</v>
      </c>
      <c r="N7564" s="38">
        <v>4.2</v>
      </c>
      <c r="P7564" s="38">
        <v>1</v>
      </c>
      <c r="Q7564" s="38">
        <v>0.7</v>
      </c>
      <c r="R7564" s="38">
        <v>0</v>
      </c>
      <c r="U7564" s="38">
        <v>2</v>
      </c>
      <c r="V7564" s="38">
        <v>0</v>
      </c>
      <c r="W7564" s="38">
        <v>0</v>
      </c>
      <c r="X7564" s="38" t="s">
        <v>38</v>
      </c>
      <c r="Y7564" s="38">
        <v>8</v>
      </c>
      <c r="Z7564" s="38">
        <v>10.8</v>
      </c>
      <c r="AA7564" s="38">
        <v>4</v>
      </c>
      <c r="AB7564" s="38">
        <v>0</v>
      </c>
      <c r="AC7564" s="38">
        <v>0.2</v>
      </c>
      <c r="AD7564" s="38">
        <v>0</v>
      </c>
    </row>
    <row r="7565" spans="1:30" x14ac:dyDescent="0.25">
      <c r="A7565" s="22">
        <v>45916</v>
      </c>
      <c r="B7565" s="38">
        <v>0</v>
      </c>
      <c r="C7565" s="38">
        <v>0</v>
      </c>
      <c r="D7565" s="38">
        <v>2</v>
      </c>
      <c r="E7565" s="38">
        <v>0</v>
      </c>
      <c r="F7565" s="38">
        <v>0</v>
      </c>
      <c r="G7565" s="38">
        <v>0</v>
      </c>
      <c r="H7565" s="38" t="s">
        <v>38</v>
      </c>
      <c r="I7565" s="38">
        <v>1</v>
      </c>
      <c r="J7565" s="38">
        <v>0</v>
      </c>
      <c r="K7565" s="38">
        <v>2</v>
      </c>
      <c r="L7565" s="38">
        <v>0</v>
      </c>
      <c r="M7565" s="38">
        <v>0</v>
      </c>
      <c r="N7565" s="38">
        <v>1</v>
      </c>
      <c r="P7565" s="38">
        <v>0</v>
      </c>
      <c r="Q7565" s="38">
        <v>0</v>
      </c>
      <c r="R7565" s="38">
        <v>0</v>
      </c>
      <c r="U7565" s="38">
        <v>2</v>
      </c>
      <c r="V7565" s="38">
        <v>0</v>
      </c>
      <c r="W7565" s="38">
        <v>0</v>
      </c>
      <c r="X7565" s="38" t="s">
        <v>38</v>
      </c>
      <c r="Y7565" s="38">
        <v>0</v>
      </c>
      <c r="Z7565" s="38">
        <v>0</v>
      </c>
      <c r="AA7565" s="38">
        <v>4</v>
      </c>
      <c r="AB7565" s="38">
        <v>0</v>
      </c>
      <c r="AC7565" s="38">
        <v>0.8</v>
      </c>
      <c r="AD7565" s="38">
        <v>0.4</v>
      </c>
    </row>
    <row r="7566" spans="1:30" x14ac:dyDescent="0.25">
      <c r="A7566" s="22">
        <v>45917</v>
      </c>
      <c r="B7566" s="38">
        <v>0</v>
      </c>
      <c r="C7566" s="38">
        <v>0</v>
      </c>
      <c r="D7566" s="38" t="s">
        <v>38</v>
      </c>
      <c r="E7566" s="38">
        <v>0</v>
      </c>
      <c r="F7566" s="38">
        <v>0</v>
      </c>
      <c r="G7566" s="38">
        <v>0</v>
      </c>
      <c r="H7566" s="38" t="s">
        <v>38</v>
      </c>
      <c r="I7566" s="38">
        <v>0</v>
      </c>
      <c r="J7566" s="38">
        <v>0</v>
      </c>
      <c r="K7566" s="38">
        <v>0</v>
      </c>
      <c r="L7566" s="38">
        <v>0.7619999999999999</v>
      </c>
      <c r="M7566" s="38">
        <v>0</v>
      </c>
      <c r="N7566" s="38">
        <v>4.8000000000000007</v>
      </c>
      <c r="P7566" s="38">
        <v>2</v>
      </c>
      <c r="Q7566" s="38">
        <v>0.5</v>
      </c>
      <c r="R7566" s="38">
        <v>1</v>
      </c>
      <c r="U7566" s="38">
        <v>0</v>
      </c>
      <c r="V7566" s="38">
        <v>0</v>
      </c>
      <c r="W7566" s="38">
        <v>0</v>
      </c>
      <c r="X7566" s="38" t="s">
        <v>38</v>
      </c>
      <c r="Y7566" s="38">
        <v>0</v>
      </c>
      <c r="Z7566" s="38">
        <v>0</v>
      </c>
      <c r="AA7566" s="38">
        <v>0</v>
      </c>
      <c r="AB7566" s="38">
        <v>0</v>
      </c>
      <c r="AC7566" s="38">
        <v>0</v>
      </c>
      <c r="AD7566" s="38">
        <v>0.2</v>
      </c>
    </row>
    <row r="7567" spans="1:30" x14ac:dyDescent="0.25">
      <c r="A7567" s="22">
        <v>45918</v>
      </c>
      <c r="B7567" s="38">
        <v>0</v>
      </c>
      <c r="C7567" s="38">
        <v>4</v>
      </c>
      <c r="D7567" s="38">
        <v>0</v>
      </c>
      <c r="E7567" s="38">
        <v>0</v>
      </c>
      <c r="F7567" s="38">
        <v>0</v>
      </c>
      <c r="G7567" s="38">
        <v>0</v>
      </c>
      <c r="H7567" s="38" t="s">
        <v>38</v>
      </c>
      <c r="I7567" s="38">
        <v>0</v>
      </c>
      <c r="J7567" s="38">
        <v>1.1000000000000001</v>
      </c>
      <c r="K7567" s="38">
        <v>1</v>
      </c>
      <c r="L7567" s="38">
        <v>0</v>
      </c>
      <c r="M7567" s="38">
        <v>0</v>
      </c>
      <c r="N7567" s="38">
        <v>1.7999999999999998</v>
      </c>
      <c r="P7567" s="38" t="s">
        <v>38</v>
      </c>
      <c r="Q7567" s="38">
        <v>0.5</v>
      </c>
      <c r="R7567" s="38">
        <v>0</v>
      </c>
      <c r="U7567" s="38">
        <v>4</v>
      </c>
      <c r="V7567" s="38">
        <v>0</v>
      </c>
      <c r="W7567" s="38">
        <v>1.4</v>
      </c>
      <c r="X7567" s="38" t="s">
        <v>38</v>
      </c>
      <c r="Y7567" s="38" t="s">
        <v>38</v>
      </c>
      <c r="Z7567" s="38">
        <v>2</v>
      </c>
      <c r="AA7567" s="38">
        <v>2</v>
      </c>
      <c r="AB7567" s="38">
        <v>1</v>
      </c>
      <c r="AC7567" s="38">
        <v>4.6000000000000005</v>
      </c>
      <c r="AD7567" s="38">
        <v>0</v>
      </c>
    </row>
    <row r="7568" spans="1:30" x14ac:dyDescent="0.25">
      <c r="A7568" s="22">
        <v>45919</v>
      </c>
      <c r="B7568" s="38">
        <v>4</v>
      </c>
      <c r="C7568" s="38">
        <v>0</v>
      </c>
      <c r="D7568" s="38">
        <v>0</v>
      </c>
      <c r="E7568" s="38">
        <v>0</v>
      </c>
      <c r="F7568" s="38">
        <v>0</v>
      </c>
      <c r="G7568" s="38">
        <v>0</v>
      </c>
      <c r="H7568" s="38">
        <v>3</v>
      </c>
      <c r="I7568" s="38">
        <v>0</v>
      </c>
      <c r="J7568" s="38">
        <v>6.4</v>
      </c>
      <c r="K7568" s="38">
        <v>12.4</v>
      </c>
      <c r="L7568" s="38">
        <v>1.27</v>
      </c>
      <c r="M7568" s="38">
        <v>2.8</v>
      </c>
      <c r="N7568" s="38">
        <v>16.799999999999997</v>
      </c>
      <c r="P7568" s="38">
        <v>1</v>
      </c>
      <c r="Q7568" s="38">
        <v>7</v>
      </c>
      <c r="R7568" s="38">
        <v>0</v>
      </c>
      <c r="U7568" s="38">
        <v>0</v>
      </c>
      <c r="V7568" s="38">
        <v>1</v>
      </c>
      <c r="W7568" s="38">
        <v>0</v>
      </c>
      <c r="X7568" s="38">
        <v>1</v>
      </c>
      <c r="Y7568" s="38" t="s">
        <v>38</v>
      </c>
      <c r="Z7568" s="38" t="s">
        <v>38</v>
      </c>
      <c r="AA7568" s="38">
        <v>0</v>
      </c>
      <c r="AB7568" s="38">
        <v>0</v>
      </c>
      <c r="AC7568" s="38">
        <v>0.2</v>
      </c>
      <c r="AD7568" s="38">
        <v>0</v>
      </c>
    </row>
    <row r="7569" spans="1:30" x14ac:dyDescent="0.25">
      <c r="A7569" s="22">
        <v>45920</v>
      </c>
      <c r="B7569" s="38">
        <v>3</v>
      </c>
      <c r="C7569" s="38">
        <v>2.4</v>
      </c>
      <c r="D7569" s="38">
        <v>3</v>
      </c>
      <c r="E7569" s="38">
        <v>0</v>
      </c>
      <c r="F7569" s="38">
        <v>0</v>
      </c>
      <c r="G7569" s="38">
        <v>0</v>
      </c>
      <c r="H7569" s="38" t="s">
        <v>38</v>
      </c>
      <c r="I7569" s="38">
        <v>0</v>
      </c>
      <c r="J7569" s="38">
        <v>0</v>
      </c>
      <c r="K7569" s="38">
        <v>0</v>
      </c>
      <c r="L7569" s="38">
        <v>6.8579999999999997</v>
      </c>
      <c r="M7569" s="38">
        <v>0.8</v>
      </c>
      <c r="N7569" s="38">
        <v>89.6</v>
      </c>
      <c r="P7569" s="38">
        <v>2</v>
      </c>
      <c r="Q7569" s="38">
        <v>29.8</v>
      </c>
      <c r="R7569" s="38">
        <v>0</v>
      </c>
      <c r="U7569" s="38">
        <v>8</v>
      </c>
      <c r="V7569" s="38">
        <v>0</v>
      </c>
      <c r="W7569" s="38">
        <v>0</v>
      </c>
      <c r="X7569" s="38">
        <v>16</v>
      </c>
      <c r="Y7569" s="38" t="s">
        <v>38</v>
      </c>
      <c r="Z7569" s="38" t="s">
        <v>38</v>
      </c>
      <c r="AA7569" s="38">
        <v>0</v>
      </c>
      <c r="AB7569" s="38">
        <v>2</v>
      </c>
      <c r="AC7569" s="38">
        <v>17.600000000000001</v>
      </c>
      <c r="AD7569" s="38">
        <v>27.200000000000003</v>
      </c>
    </row>
    <row r="7570" spans="1:30" x14ac:dyDescent="0.25">
      <c r="A7570" s="22">
        <v>45921</v>
      </c>
      <c r="B7570" s="38">
        <v>6</v>
      </c>
      <c r="C7570" s="38">
        <v>8.1999999999999993</v>
      </c>
      <c r="D7570" s="38">
        <v>20</v>
      </c>
      <c r="E7570" s="38">
        <v>38.4</v>
      </c>
      <c r="F7570" s="38">
        <v>0</v>
      </c>
      <c r="G7570" s="38">
        <v>43</v>
      </c>
      <c r="H7570" s="38">
        <v>37.6</v>
      </c>
      <c r="I7570" s="38">
        <v>21</v>
      </c>
      <c r="J7570" s="38">
        <v>0</v>
      </c>
      <c r="K7570" s="38">
        <v>100.2</v>
      </c>
      <c r="L7570" s="38">
        <v>16.509999999999998</v>
      </c>
      <c r="M7570" s="38">
        <v>38.4</v>
      </c>
      <c r="N7570" s="38">
        <v>0.4</v>
      </c>
      <c r="P7570" s="38">
        <v>5</v>
      </c>
      <c r="Q7570" s="38">
        <v>3.6</v>
      </c>
      <c r="R7570" s="38">
        <v>30</v>
      </c>
      <c r="U7570" s="38">
        <v>60</v>
      </c>
      <c r="V7570" s="38">
        <v>0</v>
      </c>
      <c r="W7570" s="38">
        <v>0</v>
      </c>
      <c r="X7570" s="38">
        <v>18.3</v>
      </c>
      <c r="Y7570" s="38">
        <v>26</v>
      </c>
      <c r="Z7570" s="38">
        <v>28.6</v>
      </c>
      <c r="AA7570" s="38">
        <v>82</v>
      </c>
      <c r="AB7570" s="38">
        <v>0</v>
      </c>
      <c r="AC7570" s="38">
        <v>0.4</v>
      </c>
      <c r="AD7570" s="38">
        <v>1.2</v>
      </c>
    </row>
    <row r="7571" spans="1:30" x14ac:dyDescent="0.25">
      <c r="A7571" s="22">
        <v>45922</v>
      </c>
      <c r="B7571" s="38">
        <v>0</v>
      </c>
      <c r="C7571" s="38">
        <v>2.8</v>
      </c>
      <c r="D7571" s="38">
        <v>2</v>
      </c>
      <c r="E7571" s="38">
        <v>0</v>
      </c>
      <c r="F7571" s="38">
        <v>0.5</v>
      </c>
      <c r="G7571" s="38">
        <v>1.5</v>
      </c>
      <c r="H7571" s="38" t="s">
        <v>38</v>
      </c>
      <c r="I7571" s="38">
        <v>1.6</v>
      </c>
      <c r="J7571" s="38">
        <v>4.4000000000000004</v>
      </c>
      <c r="K7571" s="38">
        <v>0</v>
      </c>
      <c r="L7571" s="38">
        <v>1.5239999999999998</v>
      </c>
      <c r="M7571" s="38">
        <v>0.4</v>
      </c>
      <c r="N7571" s="38">
        <v>2.8000000000000003</v>
      </c>
      <c r="P7571" s="38" t="s">
        <v>38</v>
      </c>
      <c r="Q7571" s="38">
        <v>0</v>
      </c>
      <c r="R7571" s="38">
        <v>4.0999999999999996</v>
      </c>
      <c r="U7571" s="38">
        <v>0</v>
      </c>
      <c r="V7571" s="38">
        <v>3.4</v>
      </c>
      <c r="W7571" s="38">
        <v>1.2</v>
      </c>
      <c r="X7571" s="38" t="s">
        <v>38</v>
      </c>
      <c r="Y7571" s="38">
        <v>6.2</v>
      </c>
      <c r="Z7571" s="38">
        <v>4.5999999999999996</v>
      </c>
      <c r="AA7571" s="38">
        <v>0</v>
      </c>
      <c r="AB7571" s="38">
        <v>0</v>
      </c>
      <c r="AC7571" s="38">
        <v>0.8</v>
      </c>
      <c r="AD7571" s="38">
        <v>0</v>
      </c>
    </row>
    <row r="7572" spans="1:30" x14ac:dyDescent="0.25">
      <c r="A7572" s="22">
        <v>45923</v>
      </c>
      <c r="B7572" s="38">
        <v>4</v>
      </c>
      <c r="C7572" s="38">
        <v>0.8</v>
      </c>
      <c r="D7572" s="38">
        <v>0</v>
      </c>
      <c r="E7572" s="38">
        <v>0</v>
      </c>
      <c r="F7572" s="38">
        <v>0</v>
      </c>
      <c r="G7572" s="38">
        <v>0.5</v>
      </c>
      <c r="H7572" s="38" t="s">
        <v>38</v>
      </c>
      <c r="I7572" s="38">
        <v>2.1</v>
      </c>
      <c r="J7572" s="38">
        <v>1.2</v>
      </c>
      <c r="K7572" s="38">
        <v>5</v>
      </c>
      <c r="L7572" s="38">
        <v>0.7619999999999999</v>
      </c>
      <c r="M7572" s="38">
        <v>0.4</v>
      </c>
      <c r="N7572" s="38">
        <v>10.399999999999999</v>
      </c>
      <c r="P7572" s="38" t="s">
        <v>38</v>
      </c>
      <c r="Q7572" s="38">
        <v>14.9</v>
      </c>
      <c r="R7572" s="38">
        <v>0</v>
      </c>
      <c r="U7572" s="38">
        <v>7</v>
      </c>
      <c r="V7572" s="38">
        <v>0</v>
      </c>
      <c r="W7572" s="38">
        <v>0</v>
      </c>
      <c r="X7572" s="38">
        <v>2</v>
      </c>
      <c r="Y7572" s="38">
        <v>0.8</v>
      </c>
      <c r="Z7572" s="38">
        <v>2.6</v>
      </c>
      <c r="AA7572" s="38">
        <v>6</v>
      </c>
      <c r="AB7572" s="38">
        <v>1</v>
      </c>
      <c r="AC7572" s="38">
        <v>0.4</v>
      </c>
      <c r="AD7572" s="38">
        <v>0.60000000000000009</v>
      </c>
    </row>
    <row r="7573" spans="1:30" x14ac:dyDescent="0.25">
      <c r="A7573" s="22">
        <v>45924</v>
      </c>
      <c r="B7573" s="38">
        <v>7</v>
      </c>
      <c r="C7573" s="38">
        <v>7.2</v>
      </c>
      <c r="D7573" s="38">
        <v>6</v>
      </c>
      <c r="E7573" s="38">
        <v>12</v>
      </c>
      <c r="F7573" s="38">
        <v>4</v>
      </c>
      <c r="G7573" s="38">
        <v>20</v>
      </c>
      <c r="H7573" s="38">
        <v>8.1</v>
      </c>
      <c r="I7573" s="38">
        <v>8.4</v>
      </c>
      <c r="J7573" s="38">
        <v>20.2</v>
      </c>
      <c r="K7573" s="38">
        <v>23</v>
      </c>
      <c r="L7573" s="38">
        <v>5.5880000000000001</v>
      </c>
      <c r="M7573" s="38">
        <v>16.8</v>
      </c>
      <c r="N7573" s="38">
        <v>2.4000000000000004</v>
      </c>
      <c r="P7573" s="38">
        <v>10</v>
      </c>
      <c r="Q7573" s="38">
        <v>0</v>
      </c>
      <c r="R7573" s="38">
        <v>19.2</v>
      </c>
      <c r="U7573" s="38">
        <v>0</v>
      </c>
      <c r="V7573" s="38">
        <v>6</v>
      </c>
      <c r="W7573" s="38">
        <v>10</v>
      </c>
      <c r="X7573" s="38">
        <v>8</v>
      </c>
      <c r="Y7573" s="38">
        <v>3.6</v>
      </c>
      <c r="Z7573" s="38">
        <v>4.2</v>
      </c>
      <c r="AA7573" s="38">
        <v>6</v>
      </c>
      <c r="AB7573" s="38">
        <v>2</v>
      </c>
      <c r="AC7573" s="38">
        <v>0</v>
      </c>
      <c r="AD7573" s="38">
        <v>0.2</v>
      </c>
    </row>
    <row r="7574" spans="1:30" x14ac:dyDescent="0.25">
      <c r="A7574" s="22">
        <v>45925</v>
      </c>
      <c r="B7574" s="38">
        <v>0</v>
      </c>
      <c r="C7574" s="38">
        <v>0</v>
      </c>
      <c r="D7574" s="38">
        <v>0</v>
      </c>
      <c r="E7574" s="38">
        <v>0</v>
      </c>
      <c r="F7574" s="38">
        <v>0</v>
      </c>
      <c r="G7574" s="38">
        <v>1</v>
      </c>
      <c r="H7574" s="38" t="s">
        <v>38</v>
      </c>
      <c r="I7574" s="38">
        <v>0.1</v>
      </c>
      <c r="J7574" s="38">
        <v>0</v>
      </c>
      <c r="K7574" s="38">
        <v>0</v>
      </c>
      <c r="L7574" s="38">
        <v>0</v>
      </c>
      <c r="M7574" s="38">
        <v>0.4</v>
      </c>
      <c r="N7574" s="38">
        <v>0</v>
      </c>
      <c r="P7574" s="38" t="s">
        <v>38</v>
      </c>
      <c r="Q7574" s="38">
        <v>0</v>
      </c>
      <c r="R7574" s="38">
        <v>0</v>
      </c>
      <c r="U7574" s="38">
        <v>0</v>
      </c>
      <c r="V7574" s="38">
        <v>3.2</v>
      </c>
      <c r="W7574" s="38">
        <v>0</v>
      </c>
      <c r="X7574" s="38" t="s">
        <v>38</v>
      </c>
      <c r="Y7574" s="38">
        <v>0</v>
      </c>
      <c r="Z7574" s="38">
        <v>0</v>
      </c>
      <c r="AA7574" s="38">
        <v>0</v>
      </c>
      <c r="AB7574" s="38">
        <v>1</v>
      </c>
      <c r="AC7574" s="38">
        <v>0</v>
      </c>
      <c r="AD7574" s="38">
        <v>0</v>
      </c>
    </row>
    <row r="7575" spans="1:30" x14ac:dyDescent="0.25">
      <c r="A7575" s="22">
        <v>45926</v>
      </c>
      <c r="B7575" s="38">
        <v>0</v>
      </c>
      <c r="C7575" s="38">
        <v>0</v>
      </c>
      <c r="D7575" s="38">
        <v>0</v>
      </c>
      <c r="E7575" s="38">
        <v>0</v>
      </c>
      <c r="F7575" s="38">
        <v>0</v>
      </c>
      <c r="G7575" s="38">
        <v>0</v>
      </c>
      <c r="H7575" s="38" t="s">
        <v>38</v>
      </c>
      <c r="I7575" s="38">
        <v>0</v>
      </c>
      <c r="J7575" s="38">
        <v>0</v>
      </c>
      <c r="K7575" s="38">
        <v>0</v>
      </c>
      <c r="L7575" s="38">
        <v>0.7619999999999999</v>
      </c>
      <c r="M7575" s="38">
        <v>0</v>
      </c>
      <c r="N7575" s="38">
        <v>0</v>
      </c>
      <c r="P7575" s="38">
        <v>0</v>
      </c>
      <c r="Q7575" s="38">
        <v>0</v>
      </c>
      <c r="R7575" s="38">
        <v>0</v>
      </c>
      <c r="U7575" s="38">
        <v>0</v>
      </c>
      <c r="V7575" s="38">
        <v>0</v>
      </c>
      <c r="W7575" s="38">
        <v>0</v>
      </c>
      <c r="X7575" s="38" t="s">
        <v>38</v>
      </c>
      <c r="Y7575" s="38">
        <v>0</v>
      </c>
      <c r="Z7575" s="38">
        <v>0</v>
      </c>
      <c r="AA7575" s="38">
        <v>0</v>
      </c>
      <c r="AB7575" s="38">
        <v>0</v>
      </c>
      <c r="AC7575" s="38">
        <v>0</v>
      </c>
      <c r="AD7575" s="38">
        <v>0</v>
      </c>
    </row>
    <row r="7576" spans="1:30" x14ac:dyDescent="0.25">
      <c r="A7576" s="22">
        <v>45927</v>
      </c>
      <c r="B7576" s="38">
        <v>2</v>
      </c>
      <c r="C7576" s="38">
        <v>0</v>
      </c>
      <c r="D7576" s="38">
        <v>0</v>
      </c>
      <c r="E7576" s="38">
        <v>0</v>
      </c>
      <c r="F7576" s="38">
        <v>0</v>
      </c>
      <c r="G7576" s="38">
        <v>0</v>
      </c>
      <c r="H7576" s="38" t="s">
        <v>38</v>
      </c>
      <c r="I7576" s="38">
        <v>0</v>
      </c>
      <c r="J7576" s="38">
        <v>0</v>
      </c>
      <c r="K7576" s="38">
        <v>0</v>
      </c>
      <c r="L7576" s="38">
        <v>0</v>
      </c>
      <c r="M7576" s="38">
        <v>0</v>
      </c>
      <c r="N7576" s="38">
        <v>0</v>
      </c>
      <c r="P7576" s="38">
        <v>0</v>
      </c>
      <c r="Q7576" s="38">
        <v>0</v>
      </c>
      <c r="R7576" s="38">
        <v>0</v>
      </c>
      <c r="U7576" s="38">
        <v>0</v>
      </c>
      <c r="V7576" s="38">
        <v>0</v>
      </c>
      <c r="W7576" s="38">
        <v>0</v>
      </c>
      <c r="X7576" s="38" t="s">
        <v>38</v>
      </c>
      <c r="Y7576" s="38">
        <v>0</v>
      </c>
      <c r="Z7576" s="38">
        <v>0</v>
      </c>
      <c r="AA7576" s="38">
        <v>0</v>
      </c>
      <c r="AB7576" s="38">
        <v>0</v>
      </c>
      <c r="AC7576" s="38">
        <v>0</v>
      </c>
      <c r="AD7576" s="38">
        <v>0</v>
      </c>
    </row>
    <row r="7577" spans="1:30" x14ac:dyDescent="0.25">
      <c r="A7577" s="22">
        <v>45928</v>
      </c>
      <c r="B7577" s="38">
        <v>0</v>
      </c>
      <c r="C7577" s="38">
        <v>0</v>
      </c>
      <c r="D7577" s="38">
        <v>0</v>
      </c>
      <c r="E7577" s="38">
        <v>0</v>
      </c>
      <c r="F7577" s="38">
        <v>0</v>
      </c>
      <c r="G7577" s="38">
        <v>0</v>
      </c>
      <c r="H7577" s="38" t="s">
        <v>38</v>
      </c>
      <c r="I7577" s="38">
        <v>0.2</v>
      </c>
      <c r="J7577" s="38">
        <v>0</v>
      </c>
      <c r="K7577" s="38">
        <v>0</v>
      </c>
      <c r="L7577" s="38">
        <v>0</v>
      </c>
      <c r="M7577" s="38">
        <v>0</v>
      </c>
      <c r="N7577" s="38">
        <v>7.4</v>
      </c>
      <c r="P7577" s="38">
        <v>0</v>
      </c>
      <c r="Q7577" s="38">
        <v>3.5</v>
      </c>
      <c r="R7577" s="38">
        <v>0</v>
      </c>
      <c r="U7577" s="38">
        <v>0</v>
      </c>
      <c r="V7577" s="38">
        <v>0</v>
      </c>
      <c r="W7577" s="38">
        <v>1.4</v>
      </c>
      <c r="X7577" s="38" t="s">
        <v>38</v>
      </c>
      <c r="Y7577" s="38">
        <v>0</v>
      </c>
      <c r="Z7577" s="38">
        <v>0</v>
      </c>
      <c r="AA7577" s="38">
        <v>0</v>
      </c>
      <c r="AB7577" s="38">
        <v>0</v>
      </c>
      <c r="AC7577" s="38">
        <v>2.2000000000000002</v>
      </c>
      <c r="AD7577" s="38">
        <v>0.2</v>
      </c>
    </row>
    <row r="7578" spans="1:30" x14ac:dyDescent="0.25">
      <c r="A7578" s="22">
        <v>45929</v>
      </c>
      <c r="B7578" s="38">
        <v>7</v>
      </c>
      <c r="C7578" s="38">
        <v>2.4</v>
      </c>
      <c r="D7578" s="38">
        <v>4</v>
      </c>
      <c r="E7578" s="38">
        <v>4</v>
      </c>
      <c r="F7578" s="38">
        <v>2.8</v>
      </c>
      <c r="G7578" s="38">
        <v>4.5</v>
      </c>
      <c r="H7578" s="38">
        <v>0.2</v>
      </c>
      <c r="I7578" s="38">
        <v>2.8</v>
      </c>
      <c r="J7578" s="38">
        <v>11</v>
      </c>
      <c r="K7578" s="38">
        <v>2</v>
      </c>
      <c r="L7578" s="38">
        <v>3.0479999999999996</v>
      </c>
      <c r="M7578" s="38">
        <v>4.5999999999999996</v>
      </c>
      <c r="N7578" s="38">
        <v>3</v>
      </c>
      <c r="P7578" s="38">
        <v>5</v>
      </c>
      <c r="Q7578" s="38">
        <v>7.8</v>
      </c>
      <c r="R7578" s="38">
        <v>2</v>
      </c>
      <c r="U7578" s="38">
        <v>6</v>
      </c>
      <c r="V7578" s="38">
        <v>0</v>
      </c>
      <c r="W7578" s="38">
        <v>1</v>
      </c>
      <c r="X7578" s="38">
        <v>0</v>
      </c>
      <c r="Y7578" s="38" t="s">
        <v>38</v>
      </c>
      <c r="Z7578" s="38" t="s">
        <v>38</v>
      </c>
      <c r="AA7578" s="38">
        <v>4</v>
      </c>
      <c r="AB7578" s="38">
        <v>2</v>
      </c>
      <c r="AC7578" s="38">
        <v>13.599999999999998</v>
      </c>
      <c r="AD7578" s="38">
        <v>23.599999999999998</v>
      </c>
    </row>
    <row r="7579" spans="1:30" x14ac:dyDescent="0.25">
      <c r="A7579" s="22">
        <v>45930</v>
      </c>
      <c r="B7579" s="38">
        <v>17</v>
      </c>
      <c r="C7579" s="38">
        <v>38.4</v>
      </c>
      <c r="D7579" s="38">
        <v>22</v>
      </c>
      <c r="E7579" s="38">
        <v>14</v>
      </c>
      <c r="F7579" s="38">
        <v>1</v>
      </c>
      <c r="G7579" s="38">
        <v>20.5</v>
      </c>
      <c r="H7579" s="38">
        <v>2.5</v>
      </c>
      <c r="I7579" s="38">
        <v>18.100000000000001</v>
      </c>
      <c r="J7579" s="38">
        <v>19</v>
      </c>
      <c r="K7579" s="38">
        <v>6</v>
      </c>
      <c r="L7579" s="38">
        <v>2.2859999999999996</v>
      </c>
      <c r="M7579" s="38">
        <v>10</v>
      </c>
      <c r="N7579" s="38">
        <v>0</v>
      </c>
      <c r="P7579" s="38">
        <v>4</v>
      </c>
      <c r="Q7579" s="38">
        <v>0</v>
      </c>
      <c r="R7579" s="38">
        <v>0</v>
      </c>
      <c r="U7579" s="38">
        <v>6</v>
      </c>
      <c r="V7579" s="38">
        <v>6</v>
      </c>
      <c r="W7579" s="38">
        <v>16.399999999999999</v>
      </c>
      <c r="X7579" s="38">
        <v>4</v>
      </c>
      <c r="Y7579" s="38">
        <v>0</v>
      </c>
      <c r="Z7579" s="38">
        <v>0</v>
      </c>
      <c r="AA7579" s="38">
        <v>4</v>
      </c>
      <c r="AB7579" s="38">
        <v>2</v>
      </c>
      <c r="AC7579" s="38">
        <v>1.5999999999999999</v>
      </c>
      <c r="AD7579" s="38">
        <v>3.4000000000000008</v>
      </c>
    </row>
    <row r="7580" spans="1:30" x14ac:dyDescent="0.25">
      <c r="A7580" s="22">
        <v>45931</v>
      </c>
      <c r="B7580" s="38">
        <v>0</v>
      </c>
      <c r="C7580" s="38" t="s">
        <v>9</v>
      </c>
      <c r="D7580" s="38">
        <v>0</v>
      </c>
      <c r="E7580" s="38">
        <v>0</v>
      </c>
      <c r="F7580" s="38">
        <v>0</v>
      </c>
      <c r="G7580" s="38">
        <v>0</v>
      </c>
      <c r="H7580" s="38" t="s">
        <v>9</v>
      </c>
      <c r="I7580" s="38">
        <v>0.1</v>
      </c>
      <c r="J7580" s="38">
        <v>0</v>
      </c>
      <c r="K7580" s="38">
        <v>0</v>
      </c>
      <c r="L7580" s="38">
        <v>0</v>
      </c>
      <c r="M7580" s="38">
        <v>0</v>
      </c>
      <c r="N7580" s="38">
        <v>0</v>
      </c>
      <c r="P7580" s="38" t="s">
        <v>9</v>
      </c>
      <c r="Q7580" s="38">
        <v>0</v>
      </c>
      <c r="R7580" s="38">
        <v>0</v>
      </c>
      <c r="U7580" s="38">
        <v>0</v>
      </c>
      <c r="V7580" s="38">
        <v>0</v>
      </c>
      <c r="W7580" s="38">
        <v>0</v>
      </c>
      <c r="X7580" s="38" t="s">
        <v>9</v>
      </c>
      <c r="Y7580" s="38" t="s">
        <v>9</v>
      </c>
      <c r="Z7580" s="38" t="s">
        <v>9</v>
      </c>
      <c r="AA7580" s="38">
        <v>0</v>
      </c>
      <c r="AB7580" s="38">
        <v>0</v>
      </c>
      <c r="AC7580" s="38">
        <v>0</v>
      </c>
      <c r="AD7580" s="38">
        <v>0</v>
      </c>
    </row>
    <row r="7581" spans="1:30" x14ac:dyDescent="0.25">
      <c r="A7581" s="22">
        <v>45932</v>
      </c>
      <c r="B7581" s="38">
        <v>0</v>
      </c>
      <c r="C7581" s="38" t="s">
        <v>9</v>
      </c>
      <c r="D7581" s="38">
        <v>0</v>
      </c>
      <c r="E7581" s="38">
        <v>5</v>
      </c>
      <c r="F7581" s="38">
        <v>0</v>
      </c>
      <c r="G7581" s="38">
        <v>0</v>
      </c>
      <c r="H7581" s="38" t="s">
        <v>9</v>
      </c>
      <c r="I7581" s="38">
        <v>0</v>
      </c>
      <c r="J7581" s="38">
        <v>0</v>
      </c>
      <c r="K7581" s="38">
        <v>0</v>
      </c>
      <c r="L7581" s="38">
        <v>0</v>
      </c>
      <c r="M7581" s="38">
        <v>0</v>
      </c>
      <c r="N7581" s="38">
        <v>0</v>
      </c>
      <c r="P7581" s="38">
        <v>0</v>
      </c>
      <c r="Q7581" s="38">
        <v>0</v>
      </c>
      <c r="R7581" s="38">
        <v>0</v>
      </c>
      <c r="U7581" s="38">
        <v>0</v>
      </c>
      <c r="V7581" s="38">
        <v>0</v>
      </c>
      <c r="W7581" s="38">
        <v>0</v>
      </c>
      <c r="X7581" s="38" t="s">
        <v>9</v>
      </c>
      <c r="Y7581" s="38">
        <v>0</v>
      </c>
      <c r="Z7581" s="38">
        <v>0</v>
      </c>
      <c r="AA7581" s="38">
        <v>0</v>
      </c>
      <c r="AB7581" s="38">
        <v>0</v>
      </c>
      <c r="AC7581" s="38">
        <v>0</v>
      </c>
      <c r="AD7581" s="38">
        <v>0</v>
      </c>
    </row>
    <row r="7582" spans="1:30" x14ac:dyDescent="0.25">
      <c r="A7582" s="22">
        <v>45933</v>
      </c>
      <c r="B7582" s="38">
        <v>0</v>
      </c>
      <c r="C7582" s="38" t="s">
        <v>9</v>
      </c>
      <c r="D7582" s="38">
        <v>0</v>
      </c>
      <c r="E7582" s="38">
        <v>0</v>
      </c>
      <c r="F7582" s="38">
        <v>0</v>
      </c>
      <c r="G7582" s="38">
        <v>0</v>
      </c>
      <c r="H7582" s="38" t="s">
        <v>9</v>
      </c>
      <c r="I7582" s="38">
        <v>0</v>
      </c>
      <c r="J7582" s="38">
        <v>0</v>
      </c>
      <c r="K7582" s="38">
        <v>0</v>
      </c>
      <c r="L7582" s="38">
        <v>0</v>
      </c>
      <c r="M7582" s="38">
        <v>0</v>
      </c>
      <c r="N7582" s="38">
        <v>0</v>
      </c>
      <c r="P7582" s="38">
        <v>0</v>
      </c>
      <c r="Q7582" s="38">
        <v>0</v>
      </c>
      <c r="R7582" s="38">
        <v>0</v>
      </c>
      <c r="U7582" s="38">
        <v>0</v>
      </c>
      <c r="V7582" s="38">
        <v>0</v>
      </c>
      <c r="W7582" s="38">
        <v>0</v>
      </c>
      <c r="X7582" s="38" t="s">
        <v>9</v>
      </c>
      <c r="Y7582" s="38">
        <v>0</v>
      </c>
      <c r="Z7582" s="38">
        <v>0</v>
      </c>
      <c r="AA7582" s="38">
        <v>0</v>
      </c>
      <c r="AB7582" s="38">
        <v>0</v>
      </c>
      <c r="AC7582" s="38">
        <v>0</v>
      </c>
      <c r="AD7582" s="38">
        <v>0</v>
      </c>
    </row>
    <row r="7583" spans="1:30" x14ac:dyDescent="0.25">
      <c r="A7583" s="22">
        <v>45934</v>
      </c>
      <c r="B7583" s="38">
        <v>0</v>
      </c>
      <c r="C7583" s="38" t="s">
        <v>9</v>
      </c>
      <c r="D7583" s="38">
        <v>18.399999999999999</v>
      </c>
      <c r="E7583" s="38">
        <v>0</v>
      </c>
      <c r="F7583" s="38">
        <v>0</v>
      </c>
      <c r="G7583" s="38">
        <v>0</v>
      </c>
      <c r="H7583" s="38" t="s">
        <v>9</v>
      </c>
      <c r="I7583" s="38">
        <v>0.2</v>
      </c>
      <c r="J7583" s="38">
        <v>2.2000000000000002</v>
      </c>
      <c r="K7583" s="38">
        <v>0</v>
      </c>
      <c r="L7583" s="38">
        <v>0</v>
      </c>
      <c r="M7583" s="38">
        <v>0</v>
      </c>
      <c r="N7583" s="38">
        <v>3.6</v>
      </c>
      <c r="P7583" s="38">
        <v>0</v>
      </c>
      <c r="Q7583" s="38">
        <v>2.8</v>
      </c>
      <c r="R7583" s="38">
        <v>0</v>
      </c>
      <c r="U7583" s="38">
        <v>0</v>
      </c>
      <c r="V7583" s="38">
        <v>0</v>
      </c>
      <c r="W7583" s="38">
        <v>0</v>
      </c>
      <c r="X7583" s="38">
        <v>0</v>
      </c>
      <c r="Y7583" s="38">
        <v>4.8</v>
      </c>
      <c r="Z7583" s="38">
        <v>5.4</v>
      </c>
      <c r="AA7583" s="38">
        <v>0</v>
      </c>
      <c r="AB7583" s="38">
        <v>0</v>
      </c>
      <c r="AC7583" s="38">
        <v>0.2</v>
      </c>
      <c r="AD7583" s="38">
        <v>0</v>
      </c>
    </row>
    <row r="7584" spans="1:30" x14ac:dyDescent="0.25">
      <c r="A7584" s="22">
        <v>45935</v>
      </c>
      <c r="B7584" s="38">
        <v>0</v>
      </c>
      <c r="C7584" s="38" t="s">
        <v>9</v>
      </c>
      <c r="D7584" s="38">
        <v>0</v>
      </c>
      <c r="E7584" s="38">
        <v>0</v>
      </c>
      <c r="F7584" s="38">
        <v>13</v>
      </c>
      <c r="G7584" s="38">
        <v>20.5</v>
      </c>
      <c r="H7584" s="38">
        <v>14.8</v>
      </c>
      <c r="I7584" s="38">
        <v>5</v>
      </c>
      <c r="J7584" s="38">
        <v>10</v>
      </c>
      <c r="K7584" s="38">
        <v>0</v>
      </c>
      <c r="L7584" s="38">
        <v>0</v>
      </c>
      <c r="M7584" s="38">
        <v>14.4</v>
      </c>
      <c r="N7584" s="38">
        <v>17.399999999999995</v>
      </c>
      <c r="P7584" s="38">
        <v>0</v>
      </c>
      <c r="Q7584" s="38">
        <v>1.4</v>
      </c>
      <c r="R7584" s="38">
        <v>1.2</v>
      </c>
      <c r="U7584" s="38">
        <v>6</v>
      </c>
      <c r="V7584" s="38">
        <v>1.2</v>
      </c>
      <c r="W7584" s="38">
        <v>2</v>
      </c>
      <c r="X7584" s="38">
        <v>27</v>
      </c>
      <c r="Y7584" s="38">
        <v>0</v>
      </c>
      <c r="Z7584" s="38">
        <v>0</v>
      </c>
      <c r="AA7584" s="38">
        <v>7</v>
      </c>
      <c r="AB7584" s="38">
        <v>0</v>
      </c>
      <c r="AC7584" s="38">
        <v>15.600000000000001</v>
      </c>
      <c r="AD7584" s="38">
        <v>9.7999999999999989</v>
      </c>
    </row>
    <row r="7585" spans="1:30" x14ac:dyDescent="0.25">
      <c r="A7585" s="22">
        <v>45936</v>
      </c>
      <c r="B7585" s="38">
        <v>10</v>
      </c>
      <c r="C7585" s="38">
        <v>8.4</v>
      </c>
      <c r="D7585" s="38">
        <v>8</v>
      </c>
      <c r="E7585" s="38">
        <v>0</v>
      </c>
      <c r="F7585" s="38">
        <v>24</v>
      </c>
      <c r="G7585" s="38">
        <v>9</v>
      </c>
      <c r="H7585" s="38">
        <v>18</v>
      </c>
      <c r="I7585" s="38">
        <v>8.1999999999999993</v>
      </c>
      <c r="J7585" s="38">
        <v>18.100000000000001</v>
      </c>
      <c r="K7585" s="38">
        <v>5.4</v>
      </c>
      <c r="L7585" s="38">
        <v>0</v>
      </c>
      <c r="M7585" s="38">
        <v>9</v>
      </c>
      <c r="N7585" s="38">
        <v>4.0000000000000009</v>
      </c>
      <c r="P7585" s="38">
        <v>0</v>
      </c>
      <c r="Q7585" s="38">
        <v>0</v>
      </c>
      <c r="R7585" s="38">
        <v>0</v>
      </c>
      <c r="U7585" s="38">
        <v>4</v>
      </c>
      <c r="V7585" s="38">
        <v>10.4</v>
      </c>
      <c r="W7585" s="38">
        <v>4</v>
      </c>
      <c r="X7585" s="38">
        <v>0</v>
      </c>
      <c r="Y7585" s="38">
        <v>16.399999999999999</v>
      </c>
      <c r="Z7585" s="38">
        <v>26</v>
      </c>
      <c r="AA7585" s="38">
        <v>8</v>
      </c>
      <c r="AB7585" s="38">
        <v>8</v>
      </c>
      <c r="AC7585" s="38">
        <v>0.8</v>
      </c>
      <c r="AD7585" s="38">
        <v>1.8</v>
      </c>
    </row>
    <row r="7586" spans="1:30" x14ac:dyDescent="0.25">
      <c r="A7586" s="22">
        <v>45937</v>
      </c>
      <c r="B7586" s="38">
        <v>0</v>
      </c>
      <c r="C7586" s="38" t="s">
        <v>9</v>
      </c>
      <c r="D7586" s="38">
        <v>0</v>
      </c>
      <c r="E7586" s="38">
        <v>0</v>
      </c>
      <c r="F7586" s="38">
        <v>0</v>
      </c>
      <c r="G7586" s="38">
        <v>0</v>
      </c>
      <c r="H7586" s="38">
        <v>0</v>
      </c>
      <c r="I7586" s="38">
        <v>0</v>
      </c>
      <c r="J7586" s="38">
        <v>0</v>
      </c>
      <c r="K7586" s="38">
        <v>0</v>
      </c>
      <c r="L7586" s="38">
        <v>1.5239999999999998</v>
      </c>
      <c r="M7586" s="38">
        <v>0</v>
      </c>
      <c r="N7586" s="38">
        <v>0.8</v>
      </c>
      <c r="P7586" s="38">
        <v>0</v>
      </c>
      <c r="Q7586" s="38">
        <v>25.8</v>
      </c>
      <c r="R7586" s="38">
        <v>19.100000000000001</v>
      </c>
      <c r="U7586" s="38">
        <v>0</v>
      </c>
      <c r="V7586" s="38">
        <v>0</v>
      </c>
      <c r="W7586" s="38">
        <v>0</v>
      </c>
      <c r="X7586" s="38">
        <v>5</v>
      </c>
      <c r="Y7586" s="38" t="s">
        <v>9</v>
      </c>
      <c r="Z7586" s="38" t="s">
        <v>9</v>
      </c>
      <c r="AA7586" s="38">
        <v>0</v>
      </c>
      <c r="AB7586" s="38">
        <v>0</v>
      </c>
      <c r="AC7586" s="38">
        <v>0</v>
      </c>
      <c r="AD7586" s="38">
        <v>0</v>
      </c>
    </row>
    <row r="7587" spans="1:30" x14ac:dyDescent="0.25">
      <c r="A7587" s="22">
        <v>45938</v>
      </c>
      <c r="B7587" s="38">
        <v>0</v>
      </c>
      <c r="C7587" s="38">
        <v>20</v>
      </c>
      <c r="D7587" s="38">
        <v>15.2</v>
      </c>
      <c r="E7587" s="38">
        <v>0</v>
      </c>
      <c r="F7587" s="38">
        <v>0</v>
      </c>
      <c r="G7587" s="38">
        <v>3</v>
      </c>
      <c r="H7587" s="38">
        <v>0.9</v>
      </c>
      <c r="I7587" s="38">
        <v>6.8</v>
      </c>
      <c r="J7587" s="38">
        <v>4.4000000000000004</v>
      </c>
      <c r="K7587" s="38">
        <v>13.9</v>
      </c>
      <c r="L7587" s="38">
        <v>2.2859999999999996</v>
      </c>
      <c r="M7587" s="38">
        <v>1.4</v>
      </c>
      <c r="N7587" s="38">
        <v>28.799999999999997</v>
      </c>
      <c r="P7587" s="38">
        <v>6</v>
      </c>
      <c r="Q7587" s="38">
        <v>13.5</v>
      </c>
      <c r="R7587" s="38">
        <v>18</v>
      </c>
      <c r="U7587" s="38">
        <v>5</v>
      </c>
      <c r="V7587" s="38">
        <v>2</v>
      </c>
      <c r="W7587" s="38">
        <v>3.2</v>
      </c>
      <c r="X7587" s="38">
        <v>8</v>
      </c>
      <c r="Y7587" s="38">
        <v>3</v>
      </c>
      <c r="Z7587" s="38">
        <v>2.4</v>
      </c>
      <c r="AA7587" s="38">
        <v>7</v>
      </c>
      <c r="AB7587" s="38">
        <v>0</v>
      </c>
      <c r="AC7587" s="38">
        <v>0.4</v>
      </c>
      <c r="AD7587" s="38">
        <v>2.2000000000000002</v>
      </c>
    </row>
    <row r="7588" spans="1:30" x14ac:dyDescent="0.25">
      <c r="A7588" s="22">
        <v>45939</v>
      </c>
      <c r="B7588" s="38">
        <v>6</v>
      </c>
      <c r="C7588" s="38">
        <v>6.2</v>
      </c>
      <c r="D7588" s="38">
        <v>6</v>
      </c>
      <c r="E7588" s="38">
        <v>8</v>
      </c>
      <c r="F7588" s="38">
        <v>17.399999999999999</v>
      </c>
      <c r="G7588" s="38">
        <v>8</v>
      </c>
      <c r="H7588" s="38">
        <v>21.8</v>
      </c>
      <c r="I7588" s="38">
        <v>2.1</v>
      </c>
      <c r="J7588" s="38">
        <v>8.4</v>
      </c>
      <c r="K7588" s="38">
        <v>16.2</v>
      </c>
      <c r="L7588" s="38">
        <v>3.556</v>
      </c>
      <c r="M7588" s="38">
        <v>17.3</v>
      </c>
      <c r="N7588" s="38">
        <v>4</v>
      </c>
      <c r="P7588" s="38">
        <v>2</v>
      </c>
      <c r="Q7588" s="38">
        <v>0.9</v>
      </c>
      <c r="R7588" s="38">
        <v>0</v>
      </c>
      <c r="U7588" s="38">
        <v>4</v>
      </c>
      <c r="V7588" s="38">
        <v>0</v>
      </c>
      <c r="W7588" s="38">
        <v>3</v>
      </c>
      <c r="X7588" s="38" t="s">
        <v>9</v>
      </c>
      <c r="Y7588" s="38">
        <v>4</v>
      </c>
      <c r="Z7588" s="38">
        <v>3</v>
      </c>
      <c r="AA7588" s="38">
        <v>5</v>
      </c>
      <c r="AB7588" s="38">
        <v>0</v>
      </c>
      <c r="AC7588" s="38">
        <v>2.8000000000000003</v>
      </c>
      <c r="AD7588" s="38">
        <v>2.8000000000000003</v>
      </c>
    </row>
    <row r="7589" spans="1:30" x14ac:dyDescent="0.25">
      <c r="A7589" s="22">
        <v>45940</v>
      </c>
      <c r="B7589" s="38">
        <v>0</v>
      </c>
      <c r="C7589" s="38">
        <v>4.2</v>
      </c>
      <c r="D7589" s="38">
        <v>4</v>
      </c>
      <c r="E7589" s="38">
        <v>3</v>
      </c>
      <c r="F7589" s="38">
        <v>0</v>
      </c>
      <c r="G7589" s="38">
        <v>1.5</v>
      </c>
      <c r="H7589" s="38">
        <v>0</v>
      </c>
      <c r="I7589" s="38">
        <v>1.1000000000000001</v>
      </c>
      <c r="J7589" s="38">
        <v>0</v>
      </c>
      <c r="K7589" s="38">
        <v>0</v>
      </c>
      <c r="L7589" s="38">
        <v>12.953999999999999</v>
      </c>
      <c r="M7589" s="38">
        <v>1</v>
      </c>
      <c r="N7589" s="38">
        <v>0.2</v>
      </c>
      <c r="P7589" s="38">
        <v>22</v>
      </c>
      <c r="Q7589" s="38">
        <v>6.9</v>
      </c>
      <c r="R7589" s="38">
        <v>2</v>
      </c>
      <c r="U7589" s="38">
        <v>0</v>
      </c>
      <c r="V7589" s="38">
        <v>0</v>
      </c>
      <c r="W7589" s="38">
        <v>0</v>
      </c>
      <c r="X7589" s="38">
        <v>4</v>
      </c>
      <c r="Y7589" s="38">
        <v>0.2</v>
      </c>
      <c r="Z7589" s="38">
        <v>0.8</v>
      </c>
      <c r="AA7589" s="38">
        <v>0</v>
      </c>
      <c r="AB7589" s="38">
        <v>0</v>
      </c>
      <c r="AC7589" s="38">
        <v>2.4</v>
      </c>
      <c r="AD7589" s="38">
        <v>1.2</v>
      </c>
    </row>
    <row r="7590" spans="1:30" x14ac:dyDescent="0.25">
      <c r="A7590" s="22">
        <v>45941</v>
      </c>
      <c r="B7590" s="38">
        <v>10</v>
      </c>
      <c r="C7590" s="38">
        <v>6.4</v>
      </c>
      <c r="D7590" s="38">
        <v>6</v>
      </c>
      <c r="E7590" s="38">
        <v>3</v>
      </c>
      <c r="F7590" s="38">
        <v>1.1000000000000001</v>
      </c>
      <c r="G7590" s="38">
        <v>6.5</v>
      </c>
      <c r="H7590" s="38">
        <v>0.5</v>
      </c>
      <c r="I7590" s="38">
        <v>1.2</v>
      </c>
      <c r="J7590" s="38">
        <v>1</v>
      </c>
      <c r="K7590" s="38">
        <v>3.5</v>
      </c>
      <c r="L7590" s="38">
        <v>4.3180000000000005</v>
      </c>
      <c r="M7590" s="38">
        <v>4.5999999999999996</v>
      </c>
      <c r="N7590" s="38">
        <v>10.399999999999999</v>
      </c>
      <c r="P7590" s="38">
        <v>8</v>
      </c>
      <c r="Q7590" s="38">
        <v>8.4</v>
      </c>
      <c r="R7590" s="38">
        <v>2.5</v>
      </c>
      <c r="U7590" s="38">
        <v>4</v>
      </c>
      <c r="V7590" s="38">
        <v>2.2000000000000002</v>
      </c>
      <c r="W7590" s="38">
        <v>4</v>
      </c>
      <c r="X7590" s="38">
        <v>6.2</v>
      </c>
      <c r="Y7590" s="38">
        <v>0.4</v>
      </c>
      <c r="Z7590" s="38" t="s">
        <v>9</v>
      </c>
      <c r="AA7590" s="38">
        <v>5</v>
      </c>
      <c r="AB7590" s="38">
        <v>0</v>
      </c>
      <c r="AC7590" s="38">
        <v>0</v>
      </c>
      <c r="AD7590" s="38">
        <v>0.4</v>
      </c>
    </row>
    <row r="7591" spans="1:30" x14ac:dyDescent="0.25">
      <c r="A7591" s="22">
        <v>45942</v>
      </c>
      <c r="B7591" s="38">
        <v>0</v>
      </c>
      <c r="C7591" s="38">
        <v>10.199999999999999</v>
      </c>
      <c r="D7591" s="38">
        <v>16</v>
      </c>
      <c r="E7591" s="38">
        <v>3</v>
      </c>
      <c r="F7591" s="38">
        <v>3.1</v>
      </c>
      <c r="G7591" s="38">
        <v>6.5</v>
      </c>
      <c r="H7591" s="38">
        <v>2.8</v>
      </c>
      <c r="I7591" s="38">
        <v>9</v>
      </c>
      <c r="J7591" s="38">
        <v>24</v>
      </c>
      <c r="K7591" s="38">
        <v>12.8</v>
      </c>
      <c r="L7591" s="38">
        <v>4.8259999999999996</v>
      </c>
      <c r="M7591" s="38">
        <v>4</v>
      </c>
      <c r="N7591" s="38">
        <v>10.999999999999998</v>
      </c>
      <c r="P7591" s="38">
        <v>3</v>
      </c>
      <c r="Q7591" s="38">
        <v>7.4</v>
      </c>
      <c r="R7591" s="38">
        <v>4.5</v>
      </c>
      <c r="U7591" s="38">
        <v>15</v>
      </c>
      <c r="V7591" s="38">
        <v>8</v>
      </c>
      <c r="W7591" s="38">
        <v>14</v>
      </c>
      <c r="X7591" s="38">
        <v>17</v>
      </c>
      <c r="Y7591" s="38">
        <v>0</v>
      </c>
      <c r="Z7591" s="38">
        <v>0</v>
      </c>
      <c r="AA7591" s="38">
        <v>7</v>
      </c>
      <c r="AB7591" s="38">
        <v>0</v>
      </c>
      <c r="AC7591" s="38">
        <v>5.4</v>
      </c>
      <c r="AD7591" s="38">
        <v>7.0000000000000018</v>
      </c>
    </row>
    <row r="7592" spans="1:30" x14ac:dyDescent="0.25">
      <c r="A7592" s="22">
        <v>45943</v>
      </c>
      <c r="B7592" s="38">
        <v>24</v>
      </c>
      <c r="C7592" s="38">
        <v>44.2</v>
      </c>
      <c r="D7592" s="38">
        <v>10</v>
      </c>
      <c r="E7592" s="38">
        <v>12</v>
      </c>
      <c r="F7592" s="38">
        <v>5</v>
      </c>
      <c r="G7592" s="38">
        <v>18.5</v>
      </c>
      <c r="H7592" s="38">
        <v>4.5999999999999996</v>
      </c>
      <c r="I7592" s="38">
        <v>8.6</v>
      </c>
      <c r="J7592" s="38">
        <v>14.2</v>
      </c>
      <c r="K7592" s="38">
        <v>4.8</v>
      </c>
      <c r="L7592" s="38">
        <v>0</v>
      </c>
      <c r="M7592" s="38">
        <v>3.8</v>
      </c>
      <c r="N7592" s="38">
        <v>16.599999999999998</v>
      </c>
      <c r="P7592" s="38">
        <v>0</v>
      </c>
      <c r="Q7592" s="38">
        <v>18.399999999999999</v>
      </c>
      <c r="R7592" s="38">
        <v>25.1</v>
      </c>
      <c r="U7592" s="38">
        <v>12</v>
      </c>
      <c r="V7592" s="38">
        <v>6</v>
      </c>
      <c r="W7592" s="38">
        <v>14.2</v>
      </c>
      <c r="X7592" s="38">
        <v>32</v>
      </c>
      <c r="Y7592" s="38">
        <v>16.600000000000001</v>
      </c>
      <c r="Z7592" s="38">
        <v>38</v>
      </c>
      <c r="AA7592" s="38">
        <v>0</v>
      </c>
      <c r="AB7592" s="38">
        <v>0</v>
      </c>
      <c r="AC7592" s="38">
        <v>6.6000000000000014</v>
      </c>
      <c r="AD7592" s="38">
        <v>3.4000000000000008</v>
      </c>
    </row>
    <row r="7593" spans="1:30" x14ac:dyDescent="0.25">
      <c r="A7593" s="22">
        <v>45944</v>
      </c>
      <c r="B7593" s="38">
        <v>25</v>
      </c>
      <c r="C7593" s="38">
        <v>12.2</v>
      </c>
      <c r="D7593" s="38">
        <v>14</v>
      </c>
      <c r="E7593" s="38">
        <v>24</v>
      </c>
      <c r="F7593" s="38">
        <v>10.3</v>
      </c>
      <c r="G7593" s="38">
        <v>10.5</v>
      </c>
      <c r="H7593" s="38">
        <v>15.1</v>
      </c>
      <c r="I7593" s="38">
        <v>4.8</v>
      </c>
      <c r="J7593" s="38">
        <v>12</v>
      </c>
      <c r="K7593" s="38">
        <v>22.5</v>
      </c>
      <c r="L7593" s="38">
        <v>35.813999999999993</v>
      </c>
      <c r="M7593" s="38">
        <v>10</v>
      </c>
      <c r="N7593" s="38">
        <v>29.2</v>
      </c>
      <c r="P7593" s="38">
        <v>36</v>
      </c>
      <c r="Q7593" s="38">
        <v>2.8</v>
      </c>
      <c r="R7593" s="38">
        <v>19.100000000000001</v>
      </c>
      <c r="U7593" s="38">
        <v>0</v>
      </c>
      <c r="V7593" s="38">
        <v>4.5999999999999996</v>
      </c>
      <c r="W7593" s="38">
        <v>6.8</v>
      </c>
      <c r="X7593" s="38">
        <v>4</v>
      </c>
      <c r="Y7593" s="38">
        <v>15.8</v>
      </c>
      <c r="Z7593" s="38">
        <v>26.2</v>
      </c>
      <c r="AA7593" s="38">
        <v>5</v>
      </c>
      <c r="AB7593" s="38">
        <v>0</v>
      </c>
      <c r="AC7593" s="38">
        <v>0</v>
      </c>
      <c r="AD7593" s="38">
        <v>4.2</v>
      </c>
    </row>
    <row r="7594" spans="1:30" x14ac:dyDescent="0.25">
      <c r="A7594" s="22">
        <v>45945</v>
      </c>
      <c r="B7594" s="38">
        <v>0</v>
      </c>
      <c r="C7594" s="38">
        <v>0</v>
      </c>
      <c r="D7594" s="38">
        <v>0</v>
      </c>
      <c r="E7594" s="38">
        <v>24</v>
      </c>
      <c r="F7594" s="38">
        <v>0</v>
      </c>
      <c r="G7594" s="38">
        <v>6.5</v>
      </c>
      <c r="H7594" s="38">
        <v>0</v>
      </c>
      <c r="I7594" s="38">
        <v>4.4000000000000004</v>
      </c>
      <c r="J7594" s="38">
        <v>2.2000000000000002</v>
      </c>
      <c r="K7594" s="38">
        <v>1.8</v>
      </c>
      <c r="L7594" s="38">
        <v>10.413999999999998</v>
      </c>
      <c r="M7594" s="38">
        <v>2.4</v>
      </c>
      <c r="N7594" s="38">
        <v>0</v>
      </c>
      <c r="P7594" s="38">
        <v>6</v>
      </c>
      <c r="Q7594" s="38">
        <v>0</v>
      </c>
      <c r="R7594" s="38">
        <v>0</v>
      </c>
      <c r="U7594" s="38">
        <v>0</v>
      </c>
      <c r="V7594" s="38">
        <v>0</v>
      </c>
      <c r="W7594" s="38">
        <v>2</v>
      </c>
      <c r="X7594" s="38" t="s">
        <v>9</v>
      </c>
      <c r="Y7594" s="38">
        <v>19.2</v>
      </c>
      <c r="Z7594" s="38">
        <v>24.6</v>
      </c>
      <c r="AA7594" s="38">
        <v>5</v>
      </c>
      <c r="AB7594" s="38">
        <v>0</v>
      </c>
      <c r="AC7594" s="38">
        <v>0</v>
      </c>
      <c r="AD7594" s="38">
        <v>0</v>
      </c>
    </row>
    <row r="7595" spans="1:30" x14ac:dyDescent="0.25">
      <c r="A7595" s="22">
        <v>45946</v>
      </c>
      <c r="B7595" s="38">
        <v>0</v>
      </c>
      <c r="C7595" s="38">
        <v>0</v>
      </c>
      <c r="D7595" s="38">
        <v>0</v>
      </c>
      <c r="E7595" s="38">
        <v>24</v>
      </c>
      <c r="F7595" s="38">
        <v>0</v>
      </c>
      <c r="G7595" s="38">
        <v>0</v>
      </c>
      <c r="H7595" s="38">
        <v>1.6</v>
      </c>
      <c r="I7595" s="38">
        <v>0</v>
      </c>
      <c r="J7595" s="38">
        <v>0</v>
      </c>
      <c r="K7595" s="38">
        <v>0</v>
      </c>
      <c r="L7595" s="38">
        <v>0</v>
      </c>
      <c r="M7595" s="38">
        <v>0.4</v>
      </c>
      <c r="N7595" s="38">
        <v>0</v>
      </c>
      <c r="P7595" s="38" t="s">
        <v>9</v>
      </c>
      <c r="Q7595" s="38">
        <v>0</v>
      </c>
      <c r="R7595" s="38">
        <v>0</v>
      </c>
      <c r="U7595" s="38">
        <v>0</v>
      </c>
      <c r="V7595" s="38">
        <v>0</v>
      </c>
      <c r="W7595" s="38">
        <v>0</v>
      </c>
      <c r="X7595" s="38">
        <v>0</v>
      </c>
      <c r="Y7595" s="38">
        <v>0</v>
      </c>
      <c r="Z7595" s="38" t="s">
        <v>9</v>
      </c>
      <c r="AA7595" s="38">
        <v>0</v>
      </c>
      <c r="AB7595" s="38">
        <v>0</v>
      </c>
      <c r="AC7595" s="38">
        <v>0</v>
      </c>
      <c r="AD7595" s="38">
        <v>0</v>
      </c>
    </row>
    <row r="7596" spans="1:30" x14ac:dyDescent="0.25">
      <c r="A7596" s="22">
        <v>45947</v>
      </c>
      <c r="B7596" s="38">
        <v>0</v>
      </c>
      <c r="C7596" s="38">
        <v>0</v>
      </c>
      <c r="D7596" s="38">
        <v>0</v>
      </c>
      <c r="E7596" s="38">
        <v>0</v>
      </c>
      <c r="F7596" s="38">
        <v>0</v>
      </c>
      <c r="G7596" s="38">
        <v>0</v>
      </c>
      <c r="H7596" s="38">
        <v>0</v>
      </c>
      <c r="I7596" s="38">
        <v>0</v>
      </c>
      <c r="J7596" s="38">
        <v>0</v>
      </c>
      <c r="K7596" s="38">
        <v>0</v>
      </c>
      <c r="L7596" s="38">
        <v>0</v>
      </c>
      <c r="M7596" s="38">
        <v>0</v>
      </c>
      <c r="N7596" s="38">
        <v>0</v>
      </c>
      <c r="P7596" s="38">
        <v>0</v>
      </c>
      <c r="Q7596" s="38">
        <v>0.3</v>
      </c>
      <c r="R7596" s="38">
        <v>0</v>
      </c>
      <c r="U7596" s="38">
        <v>0</v>
      </c>
      <c r="V7596" s="38">
        <v>0</v>
      </c>
      <c r="W7596" s="38">
        <v>0</v>
      </c>
      <c r="X7596" s="38">
        <v>0</v>
      </c>
      <c r="Y7596" s="38">
        <v>0</v>
      </c>
      <c r="Z7596" s="38">
        <v>0</v>
      </c>
      <c r="AA7596" s="38">
        <v>0</v>
      </c>
      <c r="AB7596" s="38">
        <v>0</v>
      </c>
      <c r="AC7596" s="38">
        <v>0</v>
      </c>
      <c r="AD7596" s="38">
        <v>0</v>
      </c>
    </row>
    <row r="7597" spans="1:30" x14ac:dyDescent="0.25">
      <c r="A7597" s="22">
        <v>45948</v>
      </c>
      <c r="B7597" s="38">
        <v>0</v>
      </c>
      <c r="C7597" s="38">
        <v>0</v>
      </c>
      <c r="D7597" s="38">
        <v>0</v>
      </c>
      <c r="E7597" s="38">
        <v>0</v>
      </c>
      <c r="F7597" s="38">
        <v>0</v>
      </c>
      <c r="G7597" s="38">
        <v>0</v>
      </c>
      <c r="H7597" s="38">
        <v>0</v>
      </c>
      <c r="I7597" s="38">
        <v>0.2</v>
      </c>
      <c r="J7597" s="38">
        <v>2.2000000000000002</v>
      </c>
      <c r="K7597" s="38">
        <v>1</v>
      </c>
      <c r="L7597" s="38">
        <v>1.5239999999999998</v>
      </c>
      <c r="M7597" s="38">
        <v>0</v>
      </c>
      <c r="N7597" s="38">
        <v>1.2000000000000002</v>
      </c>
      <c r="P7597" s="38" t="s">
        <v>9</v>
      </c>
      <c r="Q7597" s="38">
        <v>21.3</v>
      </c>
      <c r="R7597" s="38">
        <v>5.2</v>
      </c>
      <c r="U7597" s="38">
        <v>0</v>
      </c>
      <c r="V7597" s="38">
        <v>0</v>
      </c>
      <c r="W7597" s="38">
        <v>2.6</v>
      </c>
      <c r="X7597" s="38">
        <v>32</v>
      </c>
      <c r="Y7597" s="38">
        <v>0</v>
      </c>
      <c r="Z7597" s="38">
        <v>0</v>
      </c>
      <c r="AA7597" s="38">
        <v>0</v>
      </c>
      <c r="AB7597" s="38">
        <v>0</v>
      </c>
      <c r="AC7597" s="38">
        <v>0</v>
      </c>
      <c r="AD7597" s="38">
        <v>0</v>
      </c>
    </row>
    <row r="7598" spans="1:30" x14ac:dyDescent="0.25">
      <c r="A7598" s="22">
        <v>45949</v>
      </c>
      <c r="B7598" s="38">
        <v>7.5</v>
      </c>
      <c r="C7598" s="38">
        <v>40.200000000000003</v>
      </c>
      <c r="D7598" s="38">
        <v>28</v>
      </c>
      <c r="E7598" s="38">
        <v>0</v>
      </c>
      <c r="F7598" s="38">
        <v>0</v>
      </c>
      <c r="G7598" s="38">
        <v>65</v>
      </c>
      <c r="H7598" s="38">
        <v>52.2</v>
      </c>
      <c r="I7598" s="38">
        <v>19</v>
      </c>
      <c r="J7598" s="38">
        <v>14.2</v>
      </c>
      <c r="K7598" s="38">
        <v>7.5</v>
      </c>
      <c r="L7598" s="38">
        <v>18.287999999999997</v>
      </c>
      <c r="M7598" s="38">
        <v>54</v>
      </c>
      <c r="N7598" s="38">
        <v>57.400000000000041</v>
      </c>
      <c r="P7598" s="38">
        <v>34</v>
      </c>
      <c r="Q7598" s="38">
        <v>46.6</v>
      </c>
      <c r="R7598" s="38">
        <v>2.1</v>
      </c>
      <c r="U7598" s="38">
        <v>10</v>
      </c>
      <c r="V7598" s="38">
        <v>0</v>
      </c>
      <c r="W7598" s="38">
        <v>8</v>
      </c>
      <c r="X7598" s="38">
        <v>5</v>
      </c>
      <c r="Y7598" s="38">
        <v>62</v>
      </c>
      <c r="Z7598" s="38">
        <v>45</v>
      </c>
      <c r="AA7598" s="38">
        <v>0</v>
      </c>
      <c r="AB7598" s="38">
        <v>0</v>
      </c>
      <c r="AC7598" s="38">
        <v>52.600000000000037</v>
      </c>
      <c r="AD7598" s="38">
        <v>58.000000000000092</v>
      </c>
    </row>
    <row r="7599" spans="1:30" x14ac:dyDescent="0.25">
      <c r="A7599" s="22">
        <v>45950</v>
      </c>
      <c r="B7599" s="38">
        <v>33</v>
      </c>
      <c r="C7599" s="38">
        <v>54.2</v>
      </c>
      <c r="D7599" s="38">
        <v>20</v>
      </c>
      <c r="E7599" s="38">
        <v>0</v>
      </c>
      <c r="F7599" s="38">
        <v>15.5</v>
      </c>
      <c r="G7599" s="38">
        <v>15.5</v>
      </c>
      <c r="H7599" s="38">
        <v>15.2</v>
      </c>
      <c r="I7599" s="38">
        <v>8.3000000000000007</v>
      </c>
      <c r="J7599" s="38">
        <v>16</v>
      </c>
      <c r="K7599" s="38">
        <v>11.8</v>
      </c>
      <c r="L7599" s="38">
        <v>41.148000000000003</v>
      </c>
      <c r="M7599" s="38">
        <v>12</v>
      </c>
      <c r="N7599" s="38">
        <v>3.8000000000000003</v>
      </c>
      <c r="P7599" s="38">
        <v>24</v>
      </c>
      <c r="Q7599" s="38">
        <v>0.6</v>
      </c>
      <c r="R7599" s="38">
        <v>0</v>
      </c>
      <c r="U7599" s="38">
        <v>57</v>
      </c>
      <c r="V7599" s="38">
        <v>0</v>
      </c>
      <c r="W7599" s="38">
        <v>12</v>
      </c>
      <c r="X7599" s="38">
        <v>0</v>
      </c>
      <c r="Y7599" s="38">
        <v>22</v>
      </c>
      <c r="Z7599" s="38">
        <v>18</v>
      </c>
      <c r="AA7599" s="38">
        <v>0</v>
      </c>
      <c r="AB7599" s="38">
        <v>30</v>
      </c>
      <c r="AC7599" s="38">
        <v>3.8000000000000007</v>
      </c>
      <c r="AD7599" s="38">
        <v>6</v>
      </c>
    </row>
    <row r="7600" spans="1:30" x14ac:dyDescent="0.25">
      <c r="A7600" s="22">
        <v>45951</v>
      </c>
      <c r="B7600" s="38">
        <v>5</v>
      </c>
      <c r="C7600" s="38">
        <v>12.8</v>
      </c>
      <c r="D7600" s="38">
        <v>10</v>
      </c>
      <c r="E7600" s="38">
        <v>8</v>
      </c>
      <c r="F7600" s="38">
        <v>0</v>
      </c>
      <c r="G7600" s="38">
        <v>13</v>
      </c>
      <c r="H7600" s="38">
        <v>2</v>
      </c>
      <c r="I7600" s="38">
        <v>9.1</v>
      </c>
      <c r="J7600" s="38">
        <v>8.1</v>
      </c>
      <c r="K7600" s="38">
        <v>4.4000000000000004</v>
      </c>
      <c r="L7600" s="38">
        <v>10.413999999999998</v>
      </c>
      <c r="M7600" s="38">
        <v>7.8</v>
      </c>
      <c r="N7600" s="38">
        <v>0.60000000000000009</v>
      </c>
      <c r="P7600" s="38">
        <v>7</v>
      </c>
      <c r="Q7600" s="38">
        <v>0</v>
      </c>
      <c r="R7600" s="38">
        <v>1.2</v>
      </c>
      <c r="U7600" s="38">
        <v>5</v>
      </c>
      <c r="V7600" s="38">
        <v>2</v>
      </c>
      <c r="W7600" s="38">
        <v>15.2</v>
      </c>
      <c r="X7600" s="38">
        <v>8</v>
      </c>
      <c r="Y7600" s="38">
        <v>0.2</v>
      </c>
      <c r="Z7600" s="38">
        <v>0.8</v>
      </c>
      <c r="AA7600" s="38">
        <v>0</v>
      </c>
      <c r="AB7600" s="38">
        <v>2</v>
      </c>
      <c r="AC7600" s="38">
        <v>8.9999999999999982</v>
      </c>
      <c r="AD7600" s="38">
        <v>6.0000000000000009</v>
      </c>
    </row>
    <row r="7601" spans="1:30" x14ac:dyDescent="0.25">
      <c r="A7601" s="22">
        <v>45952</v>
      </c>
      <c r="B7601" s="38">
        <v>8</v>
      </c>
      <c r="C7601" s="38">
        <v>1.4</v>
      </c>
      <c r="D7601" s="38">
        <v>2</v>
      </c>
      <c r="E7601" s="38">
        <v>0</v>
      </c>
      <c r="F7601" s="38">
        <v>0</v>
      </c>
      <c r="G7601" s="38">
        <v>4</v>
      </c>
      <c r="H7601" s="38">
        <v>2.4</v>
      </c>
      <c r="I7601" s="38">
        <v>1.8</v>
      </c>
      <c r="J7601" s="38">
        <v>1.2</v>
      </c>
      <c r="K7601" s="38">
        <v>1.6</v>
      </c>
      <c r="L7601" s="38">
        <v>1.778</v>
      </c>
      <c r="M7601" s="38">
        <v>0.6</v>
      </c>
      <c r="N7601" s="38">
        <v>6.2</v>
      </c>
      <c r="P7601" s="38">
        <v>0</v>
      </c>
      <c r="Q7601" s="38">
        <v>8.9</v>
      </c>
      <c r="R7601" s="38">
        <v>4</v>
      </c>
      <c r="U7601" s="38">
        <v>0</v>
      </c>
      <c r="V7601" s="38">
        <v>0</v>
      </c>
      <c r="W7601" s="38">
        <v>0</v>
      </c>
      <c r="X7601" s="38" t="s">
        <v>9</v>
      </c>
      <c r="Y7601" s="38">
        <v>2</v>
      </c>
      <c r="Z7601" s="38" t="s">
        <v>9</v>
      </c>
      <c r="AA7601" s="38">
        <v>2.11</v>
      </c>
      <c r="AB7601" s="38">
        <v>2</v>
      </c>
      <c r="AC7601" s="38">
        <v>2.8000000000000003</v>
      </c>
      <c r="AD7601" s="38">
        <v>0.60000000000000009</v>
      </c>
    </row>
    <row r="7602" spans="1:30" x14ac:dyDescent="0.25">
      <c r="A7602" s="22">
        <v>45953</v>
      </c>
      <c r="B7602" s="38">
        <v>10</v>
      </c>
      <c r="C7602" s="38">
        <v>8</v>
      </c>
      <c r="D7602" s="38">
        <v>4.8</v>
      </c>
      <c r="E7602" s="38">
        <v>0</v>
      </c>
      <c r="F7602" s="38">
        <v>2.2999999999999998</v>
      </c>
      <c r="G7602" s="38">
        <v>1</v>
      </c>
      <c r="H7602" s="38">
        <v>0.3</v>
      </c>
      <c r="I7602" s="38">
        <v>0</v>
      </c>
      <c r="J7602" s="38">
        <v>2.2999999999999998</v>
      </c>
      <c r="K7602" s="38">
        <v>2</v>
      </c>
      <c r="L7602" s="38">
        <v>1.27</v>
      </c>
      <c r="M7602" s="38">
        <v>4.2</v>
      </c>
      <c r="N7602" s="38">
        <v>0.2</v>
      </c>
      <c r="P7602" s="38" t="s">
        <v>9</v>
      </c>
      <c r="Q7602" s="38">
        <v>0</v>
      </c>
      <c r="R7602" s="38">
        <v>1</v>
      </c>
      <c r="U7602" s="38">
        <v>6</v>
      </c>
      <c r="V7602" s="38">
        <v>0</v>
      </c>
      <c r="W7602" s="38">
        <v>1.2</v>
      </c>
      <c r="X7602" s="38">
        <v>2</v>
      </c>
      <c r="Y7602" s="38">
        <v>5.8</v>
      </c>
      <c r="Z7602" s="38">
        <v>6.8</v>
      </c>
      <c r="AA7602" s="38">
        <v>6</v>
      </c>
      <c r="AB7602" s="38">
        <v>2</v>
      </c>
      <c r="AC7602" s="38">
        <v>0</v>
      </c>
      <c r="AD7602" s="38">
        <v>0</v>
      </c>
    </row>
    <row r="7603" spans="1:30" x14ac:dyDescent="0.25">
      <c r="A7603" s="22">
        <v>45954</v>
      </c>
      <c r="B7603" s="38">
        <v>0</v>
      </c>
      <c r="C7603" s="38" t="s">
        <v>9</v>
      </c>
      <c r="D7603" s="38">
        <v>25</v>
      </c>
      <c r="E7603" s="38">
        <v>0</v>
      </c>
      <c r="F7603" s="38">
        <v>0</v>
      </c>
      <c r="G7603" s="38">
        <v>0</v>
      </c>
      <c r="H7603" s="38">
        <v>1</v>
      </c>
      <c r="I7603" s="38">
        <v>0</v>
      </c>
      <c r="J7603" s="38">
        <v>1</v>
      </c>
      <c r="K7603" s="38">
        <v>0</v>
      </c>
      <c r="L7603" s="38">
        <v>3.556</v>
      </c>
      <c r="M7603" s="38">
        <v>0</v>
      </c>
      <c r="N7603" s="38">
        <v>0</v>
      </c>
      <c r="P7603" s="38">
        <v>2</v>
      </c>
      <c r="Q7603" s="38">
        <v>0</v>
      </c>
      <c r="R7603" s="38">
        <v>0</v>
      </c>
      <c r="U7603" s="38">
        <v>0</v>
      </c>
      <c r="V7603" s="38">
        <v>4</v>
      </c>
      <c r="W7603" s="38">
        <v>0</v>
      </c>
      <c r="X7603" s="38" t="s">
        <v>9</v>
      </c>
      <c r="Y7603" s="38">
        <v>0</v>
      </c>
      <c r="Z7603" s="38">
        <v>0</v>
      </c>
      <c r="AA7603" s="38">
        <v>0</v>
      </c>
      <c r="AB7603" s="38">
        <v>0</v>
      </c>
      <c r="AC7603" s="38">
        <v>3.5999999999999996</v>
      </c>
      <c r="AD7603" s="38">
        <v>3.6</v>
      </c>
    </row>
    <row r="7604" spans="1:30" x14ac:dyDescent="0.25">
      <c r="A7604" s="22">
        <v>45955</v>
      </c>
      <c r="B7604" s="38">
        <v>0</v>
      </c>
      <c r="C7604" s="38">
        <v>4.2</v>
      </c>
      <c r="D7604" s="38" t="s">
        <v>9</v>
      </c>
      <c r="E7604" s="38">
        <v>0</v>
      </c>
      <c r="F7604" s="38">
        <v>1.5</v>
      </c>
      <c r="G7604" s="38">
        <v>1.5</v>
      </c>
      <c r="H7604" s="38" t="s">
        <v>9</v>
      </c>
      <c r="I7604" s="38">
        <v>4.7</v>
      </c>
      <c r="J7604" s="38">
        <v>1.3</v>
      </c>
      <c r="K7604" s="38">
        <v>2.6</v>
      </c>
      <c r="L7604" s="38">
        <v>1.016</v>
      </c>
      <c r="M7604" s="38">
        <v>1.2</v>
      </c>
      <c r="N7604" s="38">
        <v>4.8</v>
      </c>
      <c r="P7604" s="38" t="s">
        <v>9</v>
      </c>
      <c r="Q7604" s="38">
        <v>2</v>
      </c>
      <c r="R7604" s="38">
        <v>0</v>
      </c>
      <c r="U7604" s="38">
        <v>0</v>
      </c>
      <c r="V7604" s="38">
        <v>2.2000000000000002</v>
      </c>
      <c r="W7604" s="38">
        <v>9</v>
      </c>
      <c r="X7604" s="38">
        <v>9</v>
      </c>
      <c r="Y7604" s="38" t="s">
        <v>9</v>
      </c>
      <c r="Z7604" s="38" t="s">
        <v>9</v>
      </c>
      <c r="AA7604" s="38">
        <v>0</v>
      </c>
      <c r="AB7604" s="38">
        <v>25</v>
      </c>
      <c r="AC7604" s="38">
        <v>0.8</v>
      </c>
      <c r="AD7604" s="38">
        <v>0.8</v>
      </c>
    </row>
    <row r="7605" spans="1:30" x14ac:dyDescent="0.25">
      <c r="A7605" s="22">
        <v>45956</v>
      </c>
      <c r="B7605" s="38">
        <v>4</v>
      </c>
      <c r="C7605" s="38">
        <v>8.1999999999999993</v>
      </c>
      <c r="D7605" s="38">
        <v>0.4</v>
      </c>
      <c r="E7605" s="38">
        <v>0</v>
      </c>
      <c r="F7605" s="38">
        <v>0</v>
      </c>
      <c r="G7605" s="38">
        <v>0</v>
      </c>
      <c r="H7605" s="38">
        <v>2</v>
      </c>
      <c r="I7605" s="38">
        <v>3.1</v>
      </c>
      <c r="J7605" s="38">
        <v>0.5</v>
      </c>
      <c r="K7605" s="38">
        <v>2.6</v>
      </c>
      <c r="L7605" s="38">
        <v>3.0479999999999996</v>
      </c>
      <c r="M7605" s="38">
        <v>0</v>
      </c>
      <c r="N7605" s="38">
        <v>1.8</v>
      </c>
      <c r="P7605" s="38">
        <v>2</v>
      </c>
      <c r="Q7605" s="38">
        <v>1.8</v>
      </c>
      <c r="R7605" s="38">
        <v>4.2</v>
      </c>
      <c r="U7605" s="38">
        <v>6</v>
      </c>
      <c r="V7605" s="38">
        <v>0</v>
      </c>
      <c r="W7605" s="38">
        <v>0</v>
      </c>
      <c r="X7605" s="38">
        <v>0.3</v>
      </c>
      <c r="Y7605" s="38">
        <v>0</v>
      </c>
      <c r="Z7605" s="38">
        <v>0</v>
      </c>
      <c r="AA7605" s="38">
        <v>0</v>
      </c>
      <c r="AB7605" s="38">
        <v>0</v>
      </c>
      <c r="AC7605" s="38">
        <v>0</v>
      </c>
      <c r="AD7605" s="38">
        <v>0</v>
      </c>
    </row>
    <row r="7606" spans="1:30" x14ac:dyDescent="0.25">
      <c r="A7606" s="22">
        <v>45957</v>
      </c>
      <c r="B7606" s="38">
        <v>13</v>
      </c>
      <c r="C7606" s="38">
        <v>4</v>
      </c>
      <c r="D7606" s="38">
        <v>10</v>
      </c>
      <c r="E7606" s="38">
        <v>0</v>
      </c>
      <c r="F7606" s="38">
        <v>2</v>
      </c>
      <c r="G7606" s="38">
        <v>2</v>
      </c>
      <c r="H7606" s="38">
        <v>4</v>
      </c>
      <c r="I7606" s="38">
        <v>1.1000000000000001</v>
      </c>
      <c r="J7606" s="38">
        <v>4.2</v>
      </c>
      <c r="K7606" s="38">
        <v>5.2</v>
      </c>
      <c r="L7606" s="38">
        <v>0.50800000000000001</v>
      </c>
      <c r="M7606" s="38">
        <v>5</v>
      </c>
      <c r="N7606" s="38">
        <v>0.8</v>
      </c>
      <c r="P7606" s="38">
        <v>8</v>
      </c>
      <c r="Q7606" s="38">
        <v>0</v>
      </c>
      <c r="R7606" s="38">
        <v>0</v>
      </c>
      <c r="U7606" s="38">
        <v>6</v>
      </c>
      <c r="V7606" s="38">
        <v>7</v>
      </c>
      <c r="W7606" s="38">
        <v>8.1</v>
      </c>
      <c r="X7606" s="38">
        <v>0</v>
      </c>
      <c r="Y7606" s="38">
        <v>3</v>
      </c>
      <c r="Z7606" s="38">
        <v>5.2</v>
      </c>
      <c r="AA7606" s="38">
        <v>0</v>
      </c>
      <c r="AB7606" s="38">
        <v>9</v>
      </c>
      <c r="AC7606" s="38">
        <v>0</v>
      </c>
      <c r="AD7606" s="38">
        <v>0</v>
      </c>
    </row>
    <row r="7607" spans="1:30" x14ac:dyDescent="0.25">
      <c r="A7607" s="22">
        <v>45958</v>
      </c>
      <c r="B7607" s="38">
        <v>0</v>
      </c>
      <c r="C7607" s="38">
        <v>1.2</v>
      </c>
      <c r="D7607" s="38">
        <v>8</v>
      </c>
      <c r="E7607" s="38">
        <v>7</v>
      </c>
      <c r="F7607" s="38">
        <v>0</v>
      </c>
      <c r="G7607" s="38">
        <v>2</v>
      </c>
      <c r="H7607" s="38">
        <v>0</v>
      </c>
      <c r="I7607" s="38">
        <v>4</v>
      </c>
      <c r="J7607" s="38">
        <v>5</v>
      </c>
      <c r="K7607" s="38">
        <v>2.2000000000000002</v>
      </c>
      <c r="L7607" s="38">
        <v>1.016</v>
      </c>
      <c r="M7607" s="38">
        <v>3.4</v>
      </c>
      <c r="N7607" s="38">
        <v>1</v>
      </c>
      <c r="P7607" s="38">
        <v>1</v>
      </c>
      <c r="Q7607" s="38">
        <v>2.1</v>
      </c>
      <c r="R7607" s="38">
        <v>0</v>
      </c>
      <c r="U7607" s="38">
        <v>8</v>
      </c>
      <c r="V7607" s="38">
        <v>4</v>
      </c>
      <c r="W7607" s="38">
        <v>6.2</v>
      </c>
      <c r="X7607" s="38" t="s">
        <v>9</v>
      </c>
      <c r="Y7607" s="38" t="s">
        <v>9</v>
      </c>
      <c r="Z7607" s="38">
        <v>2.8</v>
      </c>
      <c r="AA7607" s="38">
        <v>6</v>
      </c>
      <c r="AB7607" s="38">
        <v>25</v>
      </c>
      <c r="AC7607" s="38">
        <v>0</v>
      </c>
      <c r="AD7607" s="38">
        <v>0</v>
      </c>
    </row>
    <row r="7608" spans="1:30" x14ac:dyDescent="0.25">
      <c r="A7608" s="22">
        <v>45959</v>
      </c>
      <c r="B7608" s="38">
        <v>0</v>
      </c>
      <c r="C7608" s="38">
        <v>1</v>
      </c>
      <c r="D7608" s="38">
        <v>0</v>
      </c>
      <c r="E7608" s="38">
        <v>0</v>
      </c>
      <c r="F7608" s="38">
        <v>0</v>
      </c>
      <c r="G7608" s="38">
        <v>0</v>
      </c>
      <c r="H7608" s="38">
        <v>0</v>
      </c>
      <c r="I7608" s="38">
        <v>0.8</v>
      </c>
      <c r="J7608" s="38">
        <v>0</v>
      </c>
      <c r="K7608" s="38">
        <v>0</v>
      </c>
      <c r="L7608" s="38">
        <v>1.016</v>
      </c>
      <c r="M7608" s="38">
        <v>0.4</v>
      </c>
      <c r="N7608" s="38">
        <v>0</v>
      </c>
      <c r="P7608" s="38">
        <v>0</v>
      </c>
      <c r="Q7608" s="38">
        <v>0</v>
      </c>
      <c r="R7608" s="38">
        <v>0</v>
      </c>
      <c r="U7608" s="38">
        <v>0</v>
      </c>
      <c r="V7608" s="38">
        <v>0</v>
      </c>
      <c r="W7608" s="38">
        <v>0</v>
      </c>
      <c r="X7608" s="38">
        <v>21</v>
      </c>
      <c r="Y7608" s="38">
        <v>0</v>
      </c>
      <c r="Z7608" s="38" t="s">
        <v>9</v>
      </c>
      <c r="AA7608" s="38">
        <v>0</v>
      </c>
      <c r="AB7608" s="38">
        <v>0</v>
      </c>
      <c r="AC7608" s="38">
        <v>0</v>
      </c>
      <c r="AD7608" s="38">
        <v>0</v>
      </c>
    </row>
    <row r="7609" spans="1:30" x14ac:dyDescent="0.25">
      <c r="A7609" s="22">
        <v>45960</v>
      </c>
      <c r="B7609" s="38">
        <v>3</v>
      </c>
      <c r="C7609" s="38">
        <v>0</v>
      </c>
      <c r="D7609" s="38">
        <v>0</v>
      </c>
      <c r="E7609" s="38">
        <v>0</v>
      </c>
      <c r="F7609" s="38">
        <v>0</v>
      </c>
      <c r="G7609" s="38">
        <v>1.5</v>
      </c>
      <c r="H7609" s="38">
        <v>0</v>
      </c>
      <c r="I7609" s="38">
        <v>0</v>
      </c>
      <c r="J7609" s="38">
        <v>0</v>
      </c>
      <c r="K7609" s="38">
        <v>0</v>
      </c>
      <c r="L7609" s="38">
        <v>9.9060000000000006</v>
      </c>
      <c r="M7609" s="38">
        <v>2</v>
      </c>
      <c r="N7609" s="38">
        <v>2.4</v>
      </c>
      <c r="P7609" s="38">
        <v>4</v>
      </c>
      <c r="Q7609" s="38">
        <v>33</v>
      </c>
      <c r="R7609" s="38">
        <v>0</v>
      </c>
      <c r="U7609" s="38">
        <v>0</v>
      </c>
      <c r="V7609" s="38">
        <v>0</v>
      </c>
      <c r="W7609" s="38">
        <v>0</v>
      </c>
      <c r="X7609" s="38">
        <v>0</v>
      </c>
      <c r="Y7609" s="38">
        <v>0</v>
      </c>
      <c r="Z7609" s="38">
        <v>0</v>
      </c>
      <c r="AA7609" s="38">
        <v>0</v>
      </c>
      <c r="AB7609" s="38">
        <v>0</v>
      </c>
      <c r="AC7609" s="38">
        <v>0</v>
      </c>
      <c r="AD7609" s="38">
        <v>0.4</v>
      </c>
    </row>
    <row r="7610" spans="1:30" x14ac:dyDescent="0.25">
      <c r="A7610" s="22">
        <v>45961</v>
      </c>
      <c r="B7610" s="38">
        <v>51</v>
      </c>
      <c r="C7610" s="38">
        <v>14.2</v>
      </c>
      <c r="D7610" s="38">
        <v>32</v>
      </c>
      <c r="E7610" s="38">
        <v>0</v>
      </c>
      <c r="F7610" s="38">
        <v>14.2</v>
      </c>
      <c r="G7610" s="38">
        <v>22.5</v>
      </c>
      <c r="H7610" s="38">
        <v>12</v>
      </c>
      <c r="I7610" s="38">
        <v>6.2</v>
      </c>
      <c r="J7610" s="38">
        <v>28.1</v>
      </c>
      <c r="K7610" s="38">
        <v>18</v>
      </c>
      <c r="L7610" s="38">
        <v>29.209999999999997</v>
      </c>
      <c r="M7610" s="38">
        <v>8.3000000000000007</v>
      </c>
      <c r="N7610" s="38">
        <v>52.000000000000021</v>
      </c>
      <c r="P7610" s="38">
        <v>26</v>
      </c>
      <c r="Q7610" s="38">
        <v>23.9</v>
      </c>
      <c r="R7610" s="38">
        <v>40.200000000000003</v>
      </c>
      <c r="U7610" s="38">
        <v>24</v>
      </c>
      <c r="V7610" s="38">
        <v>45</v>
      </c>
      <c r="W7610" s="38">
        <v>18</v>
      </c>
      <c r="X7610" s="38">
        <v>8.6</v>
      </c>
      <c r="Y7610" s="38">
        <v>10.8</v>
      </c>
      <c r="Z7610" s="38">
        <v>14.2</v>
      </c>
      <c r="AA7610" s="38">
        <v>22</v>
      </c>
      <c r="AB7610" s="38">
        <v>21</v>
      </c>
      <c r="AC7610" s="38">
        <v>5.8000000000000016</v>
      </c>
      <c r="AD7610" s="38">
        <v>8.2000000000000028</v>
      </c>
    </row>
    <row r="7611" spans="1:30" x14ac:dyDescent="0.25">
      <c r="A7611" s="22">
        <v>45962</v>
      </c>
      <c r="B7611" s="38">
        <v>14.4</v>
      </c>
      <c r="C7611" s="38">
        <v>10.199999999999999</v>
      </c>
      <c r="D7611" s="38">
        <v>14.4</v>
      </c>
      <c r="E7611" s="38">
        <v>0</v>
      </c>
      <c r="F7611" s="38">
        <v>11.3</v>
      </c>
      <c r="G7611" s="38">
        <v>22.5</v>
      </c>
      <c r="H7611" s="38">
        <v>19.2</v>
      </c>
      <c r="I7611" s="38">
        <v>9.8000000000000007</v>
      </c>
      <c r="J7611" s="38">
        <v>0</v>
      </c>
      <c r="K7611" s="38">
        <v>25</v>
      </c>
      <c r="L7611" s="38">
        <v>18.033999999999999</v>
      </c>
      <c r="M7611" s="38">
        <v>6.4</v>
      </c>
      <c r="N7611" s="38">
        <v>1.6</v>
      </c>
      <c r="P7611" s="38">
        <v>11.2</v>
      </c>
      <c r="Q7611" s="38">
        <v>23.9</v>
      </c>
      <c r="R7611" s="38">
        <v>19.2</v>
      </c>
      <c r="U7611" s="38">
        <v>18</v>
      </c>
      <c r="V7611" s="38">
        <v>0</v>
      </c>
      <c r="W7611" s="38">
        <v>24</v>
      </c>
      <c r="X7611" s="38">
        <v>24</v>
      </c>
      <c r="Y7611" s="38">
        <v>11.2</v>
      </c>
      <c r="Z7611" s="38">
        <v>15.4</v>
      </c>
      <c r="AA7611" s="38">
        <v>12</v>
      </c>
      <c r="AB7611" s="38">
        <v>24</v>
      </c>
      <c r="AC7611" s="38">
        <v>5.8</v>
      </c>
      <c r="AD7611" s="38">
        <v>8.7999999999999989</v>
      </c>
    </row>
    <row r="7612" spans="1:30" x14ac:dyDescent="0.25">
      <c r="A7612" s="22">
        <v>45963</v>
      </c>
      <c r="B7612" s="38">
        <v>11</v>
      </c>
      <c r="C7612" s="38">
        <v>54.2</v>
      </c>
      <c r="D7612" s="38">
        <v>10</v>
      </c>
      <c r="E7612" s="38">
        <v>0</v>
      </c>
      <c r="F7612" s="38">
        <v>9</v>
      </c>
      <c r="G7612" s="38">
        <v>9</v>
      </c>
      <c r="H7612" s="38">
        <v>5</v>
      </c>
      <c r="I7612" s="38">
        <v>9.9</v>
      </c>
      <c r="J7612" s="38">
        <v>14</v>
      </c>
      <c r="K7612" s="38">
        <v>4.8</v>
      </c>
      <c r="L7612" s="38">
        <v>0</v>
      </c>
      <c r="M7612" s="38">
        <v>8.3000000000000007</v>
      </c>
      <c r="N7612" s="38">
        <v>4.8000000000000007</v>
      </c>
      <c r="P7612" s="38">
        <v>0</v>
      </c>
      <c r="Q7612" s="38">
        <v>0.4</v>
      </c>
      <c r="R7612" s="38">
        <v>0</v>
      </c>
      <c r="U7612" s="38">
        <v>6</v>
      </c>
      <c r="V7612" s="38">
        <v>18</v>
      </c>
      <c r="W7612" s="38">
        <v>4</v>
      </c>
      <c r="X7612" s="38">
        <v>12</v>
      </c>
      <c r="Y7612" s="38">
        <v>2</v>
      </c>
      <c r="Z7612" s="38">
        <v>1</v>
      </c>
      <c r="AA7612" s="38">
        <v>0</v>
      </c>
      <c r="AB7612" s="38">
        <v>12</v>
      </c>
      <c r="AC7612" s="38">
        <v>0</v>
      </c>
      <c r="AD7612" s="38">
        <v>0</v>
      </c>
    </row>
    <row r="7613" spans="1:30" x14ac:dyDescent="0.25">
      <c r="A7613" s="22">
        <v>45964</v>
      </c>
      <c r="B7613" s="38">
        <v>0</v>
      </c>
      <c r="C7613" s="38">
        <v>0.8</v>
      </c>
      <c r="D7613" s="38">
        <v>1.6</v>
      </c>
      <c r="E7613" s="38">
        <v>0</v>
      </c>
      <c r="F7613" s="38">
        <v>0</v>
      </c>
      <c r="G7613" s="38">
        <v>0</v>
      </c>
      <c r="H7613" s="38" t="s">
        <v>38</v>
      </c>
      <c r="I7613" s="38" t="s">
        <v>38</v>
      </c>
      <c r="J7613" s="38">
        <v>0</v>
      </c>
      <c r="K7613" s="38">
        <v>4.8</v>
      </c>
      <c r="L7613" s="38">
        <v>0</v>
      </c>
      <c r="M7613" s="38">
        <v>0</v>
      </c>
      <c r="N7613" s="38">
        <v>0</v>
      </c>
      <c r="P7613" s="38">
        <v>0</v>
      </c>
      <c r="Q7613" s="38">
        <v>0</v>
      </c>
      <c r="R7613" s="38">
        <v>0</v>
      </c>
      <c r="U7613" s="38">
        <v>0</v>
      </c>
      <c r="V7613" s="38">
        <v>0</v>
      </c>
      <c r="W7613" s="38">
        <v>30</v>
      </c>
      <c r="X7613" s="38" t="s">
        <v>38</v>
      </c>
      <c r="Y7613" s="38">
        <v>3.2</v>
      </c>
      <c r="Z7613" s="38" t="s">
        <v>38</v>
      </c>
      <c r="AA7613" s="38">
        <v>0</v>
      </c>
      <c r="AB7613" s="38">
        <v>0</v>
      </c>
      <c r="AC7613" s="38">
        <v>0.2</v>
      </c>
      <c r="AD7613" s="38">
        <v>0.2</v>
      </c>
    </row>
    <row r="7614" spans="1:30" x14ac:dyDescent="0.25">
      <c r="A7614" s="22">
        <v>45965</v>
      </c>
      <c r="B7614" s="38">
        <v>0</v>
      </c>
      <c r="C7614" s="38">
        <v>0.4</v>
      </c>
      <c r="D7614" s="38" t="s">
        <v>38</v>
      </c>
      <c r="E7614" s="38">
        <v>0</v>
      </c>
      <c r="F7614" s="38" t="s">
        <v>38</v>
      </c>
      <c r="G7614" s="38">
        <v>0</v>
      </c>
      <c r="H7614" s="38" t="s">
        <v>38</v>
      </c>
      <c r="I7614" s="38">
        <v>0</v>
      </c>
      <c r="J7614" s="38">
        <v>0</v>
      </c>
      <c r="K7614" s="38">
        <v>0</v>
      </c>
      <c r="L7614" s="38">
        <v>0</v>
      </c>
      <c r="M7614" s="38">
        <v>0</v>
      </c>
      <c r="N7614" s="38">
        <v>12.2</v>
      </c>
      <c r="P7614" s="38">
        <v>0</v>
      </c>
      <c r="Q7614" s="38">
        <v>0.2</v>
      </c>
      <c r="R7614" s="38">
        <v>0</v>
      </c>
      <c r="U7614" s="38">
        <v>0</v>
      </c>
      <c r="V7614" s="38">
        <v>3</v>
      </c>
      <c r="X7614" s="38" t="s">
        <v>38</v>
      </c>
      <c r="Y7614" s="38">
        <v>0</v>
      </c>
      <c r="Z7614" s="38">
        <v>0</v>
      </c>
      <c r="AA7614" s="38">
        <v>0</v>
      </c>
      <c r="AB7614" s="38">
        <v>0</v>
      </c>
      <c r="AC7614" s="38">
        <v>0</v>
      </c>
      <c r="AD7614" s="38">
        <v>1.4000000000000001</v>
      </c>
    </row>
    <row r="7615" spans="1:30" x14ac:dyDescent="0.25">
      <c r="A7615" s="22">
        <v>45966</v>
      </c>
      <c r="B7615" s="38">
        <v>2</v>
      </c>
      <c r="C7615" s="38">
        <v>1.2</v>
      </c>
      <c r="D7615" s="38">
        <v>2.8</v>
      </c>
      <c r="E7615" s="38">
        <v>0</v>
      </c>
      <c r="F7615" s="38">
        <v>13.3</v>
      </c>
      <c r="G7615" s="38">
        <v>0</v>
      </c>
      <c r="H7615" s="38">
        <v>10.8</v>
      </c>
      <c r="I7615" s="38">
        <v>5.8</v>
      </c>
      <c r="J7615" s="38">
        <v>16.2</v>
      </c>
      <c r="K7615" s="38">
        <v>12.6</v>
      </c>
      <c r="L7615" s="38">
        <v>1.27</v>
      </c>
      <c r="M7615" s="38">
        <v>10.5</v>
      </c>
      <c r="N7615" s="38">
        <v>2.6</v>
      </c>
      <c r="P7615" s="38">
        <v>0</v>
      </c>
      <c r="Q7615" s="38">
        <v>1.6</v>
      </c>
      <c r="R7615" s="38">
        <v>0</v>
      </c>
      <c r="U7615" s="38">
        <v>4</v>
      </c>
      <c r="V7615" s="38">
        <v>0</v>
      </c>
      <c r="W7615" s="38">
        <v>12.4</v>
      </c>
      <c r="X7615" s="38">
        <v>3</v>
      </c>
      <c r="Y7615" s="38">
        <v>5</v>
      </c>
      <c r="Z7615" s="38">
        <v>5.4</v>
      </c>
      <c r="AA7615" s="38">
        <v>0</v>
      </c>
      <c r="AB7615" s="38">
        <v>3</v>
      </c>
      <c r="AC7615" s="38">
        <v>1</v>
      </c>
      <c r="AD7615" s="38">
        <v>3.8000000000000003</v>
      </c>
    </row>
    <row r="7616" spans="1:30" x14ac:dyDescent="0.25">
      <c r="A7616" s="22">
        <v>45967</v>
      </c>
      <c r="B7616" s="38">
        <v>0</v>
      </c>
      <c r="C7616" s="38">
        <v>14</v>
      </c>
      <c r="D7616" s="38">
        <v>18.8</v>
      </c>
      <c r="E7616" s="38">
        <v>8</v>
      </c>
      <c r="F7616" s="38">
        <v>14.2</v>
      </c>
      <c r="G7616" s="38">
        <v>3</v>
      </c>
      <c r="H7616" s="38">
        <v>3</v>
      </c>
      <c r="I7616" s="38">
        <v>4</v>
      </c>
      <c r="J7616" s="38">
        <v>0</v>
      </c>
      <c r="K7616" s="38">
        <v>10</v>
      </c>
      <c r="L7616" s="38">
        <v>14.224</v>
      </c>
      <c r="M7616" s="38">
        <v>3.2</v>
      </c>
      <c r="N7616" s="38">
        <v>7.0000000000000018</v>
      </c>
      <c r="P7616" s="38">
        <v>14.2</v>
      </c>
      <c r="Q7616" s="38">
        <v>11.9</v>
      </c>
      <c r="R7616" s="38">
        <v>6</v>
      </c>
      <c r="U7616" s="38">
        <v>10</v>
      </c>
      <c r="V7616" s="38">
        <v>6</v>
      </c>
      <c r="W7616" s="38">
        <v>7</v>
      </c>
      <c r="X7616" s="38">
        <v>8</v>
      </c>
      <c r="Y7616" s="38">
        <v>6</v>
      </c>
      <c r="Z7616" s="38">
        <v>3</v>
      </c>
      <c r="AA7616" s="38">
        <v>0</v>
      </c>
      <c r="AB7616" s="38">
        <v>0</v>
      </c>
      <c r="AC7616" s="38">
        <v>2.8</v>
      </c>
      <c r="AD7616" s="38">
        <v>1.2</v>
      </c>
    </row>
    <row r="7617" spans="1:30" x14ac:dyDescent="0.25">
      <c r="A7617" s="22">
        <v>45968</v>
      </c>
      <c r="B7617" s="38">
        <v>6</v>
      </c>
      <c r="C7617" s="38">
        <v>12</v>
      </c>
      <c r="D7617" s="38">
        <v>10</v>
      </c>
      <c r="E7617" s="38">
        <v>0</v>
      </c>
      <c r="F7617" s="38">
        <v>15</v>
      </c>
      <c r="G7617" s="38">
        <v>17</v>
      </c>
      <c r="H7617" s="38">
        <v>15</v>
      </c>
      <c r="I7617" s="38">
        <v>21</v>
      </c>
      <c r="J7617" s="38">
        <v>22.2</v>
      </c>
      <c r="K7617" s="38">
        <v>28</v>
      </c>
      <c r="L7617" s="38">
        <v>2.2859999999999996</v>
      </c>
      <c r="M7617" s="38">
        <v>17.100000000000001</v>
      </c>
      <c r="N7617" s="38">
        <v>16.599999999999998</v>
      </c>
      <c r="P7617" s="38">
        <v>11</v>
      </c>
      <c r="Q7617" s="38">
        <v>7.8</v>
      </c>
      <c r="R7617" s="38">
        <v>1.2</v>
      </c>
      <c r="U7617" s="38">
        <v>6</v>
      </c>
      <c r="V7617" s="38">
        <v>10</v>
      </c>
      <c r="W7617" s="38">
        <v>14.8</v>
      </c>
      <c r="X7617" s="38">
        <v>6</v>
      </c>
      <c r="Y7617" s="38">
        <v>10.8</v>
      </c>
      <c r="Z7617" s="38">
        <v>12.2</v>
      </c>
      <c r="AA7617" s="38">
        <v>0</v>
      </c>
      <c r="AB7617" s="38">
        <v>6</v>
      </c>
      <c r="AC7617" s="38">
        <v>18.799999999999997</v>
      </c>
      <c r="AD7617" s="38">
        <v>18.399999999999995</v>
      </c>
    </row>
    <row r="7618" spans="1:30" x14ac:dyDescent="0.25">
      <c r="A7618" s="22">
        <v>45969</v>
      </c>
      <c r="B7618" s="38">
        <v>0</v>
      </c>
      <c r="C7618" s="38">
        <v>8.1999999999999993</v>
      </c>
      <c r="D7618" s="38">
        <v>4.8</v>
      </c>
      <c r="E7618" s="38">
        <v>0</v>
      </c>
      <c r="F7618" s="38">
        <v>1</v>
      </c>
      <c r="G7618" s="38">
        <v>2</v>
      </c>
      <c r="H7618" s="38">
        <v>1</v>
      </c>
      <c r="I7618" s="38">
        <v>1.8</v>
      </c>
      <c r="J7618" s="38">
        <v>0</v>
      </c>
      <c r="K7618" s="38">
        <v>0</v>
      </c>
      <c r="L7618" s="38">
        <v>5.08</v>
      </c>
      <c r="M7618" s="38">
        <v>0.4</v>
      </c>
      <c r="N7618" s="38">
        <v>4.5999999999999996</v>
      </c>
      <c r="P7618" s="38">
        <v>12</v>
      </c>
      <c r="Q7618" s="38">
        <v>2</v>
      </c>
      <c r="R7618" s="38">
        <v>1</v>
      </c>
      <c r="U7618" s="38">
        <v>0</v>
      </c>
      <c r="V7618" s="38">
        <v>0</v>
      </c>
      <c r="W7618" s="38">
        <v>12.2</v>
      </c>
      <c r="X7618" s="38">
        <v>8</v>
      </c>
      <c r="Y7618" s="38">
        <v>0.8</v>
      </c>
      <c r="Z7618" s="38">
        <v>2.4</v>
      </c>
      <c r="AA7618" s="38">
        <v>0</v>
      </c>
      <c r="AB7618" s="38">
        <v>2.4</v>
      </c>
      <c r="AC7618" s="38">
        <v>0</v>
      </c>
      <c r="AD7618" s="38">
        <v>0</v>
      </c>
    </row>
    <row r="7619" spans="1:30" x14ac:dyDescent="0.25">
      <c r="A7619" s="22">
        <v>45970</v>
      </c>
      <c r="B7619" s="38">
        <v>18.2</v>
      </c>
      <c r="C7619" s="38">
        <v>22</v>
      </c>
      <c r="D7619" s="38">
        <v>20</v>
      </c>
      <c r="E7619" s="38">
        <v>10</v>
      </c>
      <c r="F7619" s="38">
        <v>9.1</v>
      </c>
      <c r="G7619" s="38">
        <v>11</v>
      </c>
      <c r="H7619" s="38">
        <v>7.2</v>
      </c>
      <c r="I7619" s="38">
        <v>10.8</v>
      </c>
      <c r="J7619" s="38">
        <v>0</v>
      </c>
      <c r="K7619" s="38">
        <v>0</v>
      </c>
      <c r="L7619" s="38">
        <v>3.8099999999999996</v>
      </c>
      <c r="M7619" s="38">
        <v>8.8000000000000007</v>
      </c>
      <c r="N7619" s="38">
        <v>12.4</v>
      </c>
      <c r="P7619" s="38">
        <v>6</v>
      </c>
      <c r="Q7619" s="38">
        <v>18.3</v>
      </c>
      <c r="R7619" s="38">
        <v>22</v>
      </c>
      <c r="U7619" s="38">
        <v>28</v>
      </c>
      <c r="V7619" s="38">
        <v>2</v>
      </c>
      <c r="W7619" s="38">
        <v>28</v>
      </c>
      <c r="X7619" s="38">
        <v>18.3</v>
      </c>
      <c r="Y7619" s="38">
        <v>10</v>
      </c>
      <c r="Z7619" s="38">
        <v>0</v>
      </c>
      <c r="AA7619" s="38">
        <v>0</v>
      </c>
      <c r="AB7619" s="38">
        <v>9</v>
      </c>
      <c r="AC7619" s="38">
        <v>1.4000000000000001</v>
      </c>
      <c r="AD7619" s="38">
        <v>3.2</v>
      </c>
    </row>
    <row r="7620" spans="1:30" x14ac:dyDescent="0.25">
      <c r="A7620" s="22">
        <v>45971</v>
      </c>
      <c r="B7620" s="38">
        <v>24</v>
      </c>
      <c r="C7620" s="38" t="s">
        <v>38</v>
      </c>
      <c r="D7620" s="38">
        <v>4</v>
      </c>
      <c r="E7620" s="38">
        <v>0</v>
      </c>
      <c r="F7620" s="38">
        <v>0</v>
      </c>
      <c r="G7620" s="38">
        <v>0</v>
      </c>
      <c r="H7620" s="38" t="s">
        <v>38</v>
      </c>
      <c r="I7620" s="38">
        <v>0.8</v>
      </c>
      <c r="J7620" s="38">
        <v>0</v>
      </c>
      <c r="K7620" s="38">
        <v>0</v>
      </c>
      <c r="L7620" s="38">
        <v>0</v>
      </c>
      <c r="M7620" s="38">
        <v>0.4</v>
      </c>
      <c r="N7620" s="38">
        <v>1</v>
      </c>
      <c r="P7620" s="38">
        <v>2</v>
      </c>
      <c r="Q7620" s="38">
        <v>0</v>
      </c>
      <c r="R7620" s="38">
        <v>13.9</v>
      </c>
      <c r="U7620" s="38">
        <v>2</v>
      </c>
      <c r="V7620" s="38">
        <v>10</v>
      </c>
      <c r="W7620" s="38">
        <v>10.1</v>
      </c>
      <c r="X7620" s="38" t="s">
        <v>38</v>
      </c>
      <c r="Y7620" s="38">
        <v>0</v>
      </c>
      <c r="Z7620" s="38">
        <v>10.199999999999999</v>
      </c>
      <c r="AA7620" s="38">
        <v>0</v>
      </c>
      <c r="AB7620" s="38">
        <v>0</v>
      </c>
      <c r="AC7620" s="38">
        <v>0.60000000000000009</v>
      </c>
      <c r="AD7620" s="38">
        <v>1</v>
      </c>
    </row>
    <row r="7621" spans="1:30" x14ac:dyDescent="0.25">
      <c r="A7621" s="22">
        <v>45972</v>
      </c>
      <c r="B7621" s="38">
        <v>1</v>
      </c>
      <c r="C7621" s="38">
        <v>6</v>
      </c>
      <c r="D7621" s="38">
        <v>0.6</v>
      </c>
      <c r="E7621" s="38">
        <v>0</v>
      </c>
      <c r="F7621" s="38">
        <v>3.4</v>
      </c>
      <c r="G7621" s="38">
        <v>3</v>
      </c>
      <c r="H7621" s="38">
        <v>4</v>
      </c>
      <c r="I7621" s="38">
        <v>1.2</v>
      </c>
      <c r="J7621" s="38">
        <v>11</v>
      </c>
      <c r="K7621" s="38">
        <v>5.8</v>
      </c>
      <c r="L7621" s="38">
        <v>1.27</v>
      </c>
      <c r="M7621" s="38">
        <v>4.5999999999999996</v>
      </c>
      <c r="N7621" s="38">
        <v>6.8000000000000007</v>
      </c>
      <c r="P7621" s="38">
        <v>2</v>
      </c>
      <c r="Q7621" s="38">
        <v>0</v>
      </c>
      <c r="R7621" s="38">
        <v>13.1</v>
      </c>
      <c r="U7621" s="38">
        <v>0</v>
      </c>
      <c r="V7621" s="38">
        <v>0</v>
      </c>
      <c r="W7621" s="38">
        <v>0</v>
      </c>
      <c r="X7621" s="38">
        <v>2</v>
      </c>
      <c r="Y7621" s="38">
        <v>4</v>
      </c>
      <c r="Z7621" s="38">
        <v>4.5999999999999996</v>
      </c>
      <c r="AA7621" s="38">
        <v>0</v>
      </c>
      <c r="AB7621" s="38">
        <v>2</v>
      </c>
      <c r="AC7621" s="38">
        <v>9.4</v>
      </c>
      <c r="AD7621" s="38">
        <v>11.000000000000002</v>
      </c>
    </row>
    <row r="7622" spans="1:30" x14ac:dyDescent="0.25">
      <c r="A7622" s="22">
        <v>45973</v>
      </c>
      <c r="B7622" s="38">
        <v>4</v>
      </c>
      <c r="C7622" s="38">
        <v>8</v>
      </c>
      <c r="D7622" s="38">
        <v>16</v>
      </c>
      <c r="E7622" s="38">
        <v>0</v>
      </c>
      <c r="F7622" s="38">
        <v>0</v>
      </c>
      <c r="G7622" s="38">
        <v>0</v>
      </c>
      <c r="H7622" s="38" t="s">
        <v>38</v>
      </c>
      <c r="I7622" s="38">
        <v>1.5</v>
      </c>
      <c r="J7622" s="38">
        <v>4</v>
      </c>
      <c r="K7622" s="38">
        <v>2.2000000000000002</v>
      </c>
      <c r="L7622" s="38">
        <v>0.7619999999999999</v>
      </c>
      <c r="M7622" s="38">
        <v>0</v>
      </c>
      <c r="N7622" s="38">
        <v>0.2</v>
      </c>
      <c r="P7622" s="38">
        <v>0</v>
      </c>
      <c r="Q7622" s="38">
        <v>10.199999999999999</v>
      </c>
      <c r="R7622" s="38">
        <v>3.1</v>
      </c>
      <c r="U7622" s="38">
        <v>7</v>
      </c>
      <c r="V7622" s="38">
        <v>9</v>
      </c>
      <c r="W7622" s="38">
        <v>2.2000000000000002</v>
      </c>
      <c r="X7622" s="38">
        <v>1</v>
      </c>
      <c r="Y7622" s="38">
        <v>0</v>
      </c>
      <c r="Z7622" s="38">
        <v>0</v>
      </c>
      <c r="AA7622" s="38">
        <v>0</v>
      </c>
      <c r="AB7622" s="38">
        <v>1</v>
      </c>
      <c r="AC7622" s="38">
        <v>4</v>
      </c>
      <c r="AD7622" s="38">
        <v>0.60000000000000009</v>
      </c>
    </row>
    <row r="7623" spans="1:30" x14ac:dyDescent="0.25">
      <c r="A7623" s="22">
        <v>45974</v>
      </c>
      <c r="B7623" s="38">
        <v>5</v>
      </c>
      <c r="C7623" s="38">
        <v>2.4</v>
      </c>
      <c r="D7623" s="38">
        <v>10.8</v>
      </c>
      <c r="E7623" s="38">
        <v>0</v>
      </c>
      <c r="F7623" s="38">
        <v>0</v>
      </c>
      <c r="G7623" s="38">
        <v>0</v>
      </c>
      <c r="H7623" s="38">
        <v>0</v>
      </c>
      <c r="I7623" s="38">
        <v>0.8</v>
      </c>
      <c r="J7623" s="38">
        <v>7</v>
      </c>
      <c r="K7623" s="38">
        <v>6.4</v>
      </c>
      <c r="L7623" s="38">
        <v>4.0640000000000001</v>
      </c>
      <c r="M7623" s="38">
        <v>0.6</v>
      </c>
      <c r="N7623" s="38">
        <v>11.399999999999999</v>
      </c>
      <c r="P7623" s="38">
        <v>0</v>
      </c>
      <c r="Q7623" s="38">
        <v>1.8</v>
      </c>
      <c r="R7623" s="38">
        <v>0</v>
      </c>
      <c r="U7623" s="38">
        <v>8</v>
      </c>
      <c r="V7623" s="38">
        <v>5</v>
      </c>
      <c r="W7623" s="38">
        <v>1.8</v>
      </c>
      <c r="X7623" s="38">
        <v>4</v>
      </c>
      <c r="Y7623" s="38">
        <v>0</v>
      </c>
      <c r="Z7623" s="38">
        <v>0</v>
      </c>
      <c r="AA7623" s="38">
        <v>0</v>
      </c>
      <c r="AB7623" s="38">
        <v>4</v>
      </c>
      <c r="AC7623" s="38">
        <v>0.4</v>
      </c>
      <c r="AD7623" s="38">
        <v>3.8000000000000003</v>
      </c>
    </row>
    <row r="7624" spans="1:30" x14ac:dyDescent="0.25">
      <c r="A7624" s="22">
        <v>45975</v>
      </c>
      <c r="B7624" s="38">
        <v>0</v>
      </c>
      <c r="C7624" s="38">
        <v>2</v>
      </c>
      <c r="D7624" s="38">
        <v>2</v>
      </c>
      <c r="E7624" s="38">
        <v>0</v>
      </c>
      <c r="F7624" s="38" t="s">
        <v>38</v>
      </c>
      <c r="G7624" s="38">
        <v>5</v>
      </c>
      <c r="H7624" s="38">
        <v>2.4</v>
      </c>
      <c r="I7624" s="38">
        <v>3</v>
      </c>
      <c r="J7624" s="38">
        <v>5</v>
      </c>
      <c r="K7624" s="38">
        <v>7.2</v>
      </c>
      <c r="L7624" s="38">
        <v>0.7619999999999999</v>
      </c>
      <c r="M7624" s="38">
        <v>5.2</v>
      </c>
      <c r="N7624" s="38">
        <v>9.3999999999999986</v>
      </c>
      <c r="P7624" s="38">
        <v>0</v>
      </c>
      <c r="Q7624" s="38">
        <v>0.2</v>
      </c>
      <c r="R7624" s="38">
        <v>27.1</v>
      </c>
      <c r="U7624" s="38">
        <v>0</v>
      </c>
      <c r="V7624" s="38">
        <v>0</v>
      </c>
      <c r="W7624" s="38">
        <v>5.2</v>
      </c>
      <c r="X7624" s="38">
        <v>5</v>
      </c>
      <c r="Y7624" s="38">
        <v>4.2</v>
      </c>
      <c r="Z7624" s="38">
        <v>14.6</v>
      </c>
      <c r="AA7624" s="38">
        <v>0</v>
      </c>
      <c r="AB7624" s="38">
        <v>5</v>
      </c>
      <c r="AC7624" s="38">
        <v>1.2</v>
      </c>
      <c r="AD7624" s="38">
        <v>0.8</v>
      </c>
    </row>
    <row r="7625" spans="1:30" x14ac:dyDescent="0.25">
      <c r="A7625" s="22">
        <v>45976</v>
      </c>
      <c r="B7625" s="38">
        <v>6</v>
      </c>
      <c r="C7625" s="38" t="s">
        <v>38</v>
      </c>
      <c r="D7625" s="38">
        <v>6.9</v>
      </c>
      <c r="E7625" s="38">
        <v>0</v>
      </c>
      <c r="F7625" s="38">
        <v>5.3</v>
      </c>
      <c r="G7625" s="38">
        <v>0</v>
      </c>
      <c r="H7625" s="38" t="s">
        <v>38</v>
      </c>
      <c r="I7625" s="38">
        <v>0</v>
      </c>
      <c r="J7625" s="38">
        <v>10</v>
      </c>
      <c r="K7625" s="38">
        <v>1.2</v>
      </c>
      <c r="L7625" s="38">
        <v>0</v>
      </c>
      <c r="M7625" s="38">
        <v>0.6</v>
      </c>
      <c r="N7625" s="38">
        <v>20.599999999999994</v>
      </c>
      <c r="P7625" s="38">
        <v>0</v>
      </c>
      <c r="Q7625" s="38">
        <v>0</v>
      </c>
      <c r="R7625" s="38">
        <v>0</v>
      </c>
      <c r="U7625" s="38">
        <v>0</v>
      </c>
      <c r="V7625" s="38">
        <v>0</v>
      </c>
      <c r="W7625" s="38">
        <v>0</v>
      </c>
      <c r="X7625" s="38">
        <v>2</v>
      </c>
      <c r="Y7625" s="38">
        <v>0</v>
      </c>
      <c r="Z7625" s="38">
        <v>0</v>
      </c>
      <c r="AA7625" s="38">
        <v>0</v>
      </c>
      <c r="AB7625" s="38">
        <v>2</v>
      </c>
      <c r="AC7625" s="38">
        <v>6.3999999999999995</v>
      </c>
      <c r="AD7625" s="38">
        <v>7.8</v>
      </c>
    </row>
    <row r="7626" spans="1:30" x14ac:dyDescent="0.25">
      <c r="A7626" s="22">
        <v>45977</v>
      </c>
      <c r="B7626" s="38">
        <v>30</v>
      </c>
      <c r="C7626" s="38">
        <v>6.2</v>
      </c>
      <c r="D7626" s="38">
        <v>27</v>
      </c>
      <c r="E7626" s="38">
        <v>0</v>
      </c>
      <c r="F7626" s="38">
        <v>16</v>
      </c>
      <c r="G7626" s="38">
        <v>4.5</v>
      </c>
      <c r="H7626" s="38">
        <v>20.2</v>
      </c>
      <c r="I7626" s="38">
        <v>3.5</v>
      </c>
      <c r="J7626" s="38">
        <v>13</v>
      </c>
      <c r="K7626" s="38">
        <v>6.4</v>
      </c>
      <c r="L7626" s="38">
        <v>17.272000000000002</v>
      </c>
      <c r="M7626" s="38">
        <v>3.6</v>
      </c>
      <c r="N7626" s="38">
        <v>22.999999999999993</v>
      </c>
      <c r="P7626" s="38">
        <v>6.2</v>
      </c>
      <c r="Q7626" s="38">
        <v>20.2</v>
      </c>
      <c r="R7626" s="38">
        <v>0</v>
      </c>
      <c r="U7626" s="38">
        <v>30</v>
      </c>
      <c r="V7626" s="38">
        <v>18</v>
      </c>
      <c r="W7626" s="38">
        <v>6</v>
      </c>
      <c r="X7626" s="38">
        <v>26.3</v>
      </c>
      <c r="Y7626" s="38">
        <v>16</v>
      </c>
      <c r="Z7626" s="38">
        <v>6</v>
      </c>
      <c r="AA7626" s="38">
        <v>0</v>
      </c>
      <c r="AB7626" s="38">
        <v>26.3</v>
      </c>
      <c r="AC7626" s="38">
        <v>4</v>
      </c>
      <c r="AD7626" s="38">
        <v>3.4000000000000004</v>
      </c>
    </row>
    <row r="7627" spans="1:30" x14ac:dyDescent="0.25">
      <c r="A7627" s="22">
        <v>45978</v>
      </c>
      <c r="B7627" s="38">
        <v>32</v>
      </c>
      <c r="C7627" s="38">
        <v>14.4</v>
      </c>
      <c r="D7627" s="38">
        <v>17.2</v>
      </c>
      <c r="E7627" s="38">
        <v>0</v>
      </c>
      <c r="F7627" s="38">
        <v>0</v>
      </c>
      <c r="G7627" s="38">
        <v>6.5</v>
      </c>
      <c r="H7627" s="38">
        <v>4.8</v>
      </c>
      <c r="I7627" s="38">
        <v>1.1000000000000001</v>
      </c>
      <c r="J7627" s="38">
        <v>13</v>
      </c>
      <c r="K7627" s="38">
        <v>1.2</v>
      </c>
      <c r="L7627" s="38">
        <v>2.032</v>
      </c>
      <c r="M7627" s="38">
        <v>15.6</v>
      </c>
      <c r="N7627" s="38">
        <v>5.6000000000000014</v>
      </c>
      <c r="P7627" s="38">
        <v>14.4</v>
      </c>
      <c r="Q7627" s="38">
        <v>2.7</v>
      </c>
      <c r="R7627" s="38">
        <v>9.1</v>
      </c>
      <c r="U7627" s="38">
        <v>32</v>
      </c>
      <c r="V7627" s="38">
        <v>0</v>
      </c>
      <c r="W7627" s="38">
        <v>36</v>
      </c>
      <c r="X7627" s="38" t="s">
        <v>38</v>
      </c>
      <c r="Y7627" s="38">
        <v>0.8</v>
      </c>
      <c r="Z7627" s="38">
        <v>36</v>
      </c>
      <c r="AA7627" s="38">
        <v>0</v>
      </c>
      <c r="AB7627" s="38">
        <v>0</v>
      </c>
      <c r="AC7627" s="38">
        <v>0.2</v>
      </c>
      <c r="AD7627" s="38">
        <v>0.2</v>
      </c>
    </row>
    <row r="7628" spans="1:30" x14ac:dyDescent="0.25">
      <c r="A7628" s="22">
        <v>45979</v>
      </c>
      <c r="B7628" s="38">
        <v>11</v>
      </c>
      <c r="C7628" s="38">
        <v>12.4</v>
      </c>
      <c r="D7628" s="38">
        <v>12.8</v>
      </c>
      <c r="E7628" s="38">
        <v>0</v>
      </c>
      <c r="F7628" s="38">
        <v>2.4</v>
      </c>
      <c r="G7628" s="38">
        <v>5.5</v>
      </c>
      <c r="H7628" s="38">
        <v>6.2</v>
      </c>
      <c r="I7628" s="38">
        <v>11.9</v>
      </c>
      <c r="J7628" s="38">
        <v>12</v>
      </c>
      <c r="K7628" s="38">
        <v>4.4000000000000004</v>
      </c>
      <c r="L7628" s="38">
        <v>4.8259999999999996</v>
      </c>
      <c r="M7628" s="38">
        <v>12.8</v>
      </c>
      <c r="N7628" s="38">
        <v>9.9999999999999982</v>
      </c>
      <c r="P7628" s="38">
        <v>12.4</v>
      </c>
      <c r="Q7628" s="38">
        <v>5</v>
      </c>
      <c r="R7628" s="38">
        <v>0</v>
      </c>
      <c r="U7628" s="38">
        <v>11</v>
      </c>
      <c r="V7628" s="38">
        <v>6</v>
      </c>
      <c r="W7628" s="38">
        <v>3.8</v>
      </c>
      <c r="X7628" s="38">
        <v>2</v>
      </c>
      <c r="Y7628" s="38">
        <v>2.2000000000000002</v>
      </c>
      <c r="Z7628" s="38">
        <v>3.8</v>
      </c>
      <c r="AA7628" s="38">
        <v>0</v>
      </c>
      <c r="AB7628" s="38">
        <v>2</v>
      </c>
      <c r="AC7628" s="38">
        <v>10.4</v>
      </c>
      <c r="AD7628" s="38">
        <v>8.4</v>
      </c>
    </row>
    <row r="7629" spans="1:30" x14ac:dyDescent="0.25">
      <c r="A7629" s="22">
        <v>45980</v>
      </c>
      <c r="B7629" s="38">
        <v>17</v>
      </c>
      <c r="C7629" s="38">
        <v>9.6</v>
      </c>
      <c r="D7629" s="38">
        <v>16</v>
      </c>
      <c r="E7629" s="38">
        <v>0</v>
      </c>
      <c r="F7629" s="38">
        <v>6.2</v>
      </c>
      <c r="G7629" s="38">
        <v>6.5</v>
      </c>
      <c r="H7629" s="38">
        <v>8</v>
      </c>
      <c r="I7629" s="38">
        <v>3.5</v>
      </c>
      <c r="J7629" s="38">
        <v>7</v>
      </c>
      <c r="K7629" s="38">
        <v>6.3</v>
      </c>
      <c r="L7629" s="38">
        <v>6.0959999999999992</v>
      </c>
      <c r="M7629" s="38">
        <v>6.8</v>
      </c>
      <c r="N7629" s="38">
        <v>20.999999999999996</v>
      </c>
      <c r="P7629" s="38">
        <v>9.6</v>
      </c>
      <c r="Q7629" s="38">
        <v>5.2</v>
      </c>
      <c r="R7629" s="38">
        <v>7.5</v>
      </c>
      <c r="U7629" s="38">
        <v>17</v>
      </c>
      <c r="V7629" s="38">
        <v>0</v>
      </c>
      <c r="W7629" s="38">
        <v>0</v>
      </c>
      <c r="X7629" s="38">
        <v>11</v>
      </c>
      <c r="Y7629" s="38">
        <v>5.2</v>
      </c>
      <c r="Z7629" s="38">
        <v>6</v>
      </c>
      <c r="AA7629" s="38">
        <v>0</v>
      </c>
      <c r="AB7629" s="38">
        <v>0</v>
      </c>
      <c r="AC7629" s="38">
        <v>12</v>
      </c>
      <c r="AD7629" s="38">
        <v>7.4</v>
      </c>
    </row>
    <row r="7630" spans="1:30" x14ac:dyDescent="0.25">
      <c r="A7630" s="22">
        <v>45981</v>
      </c>
      <c r="B7630" s="38">
        <v>26</v>
      </c>
      <c r="C7630" s="38">
        <v>12</v>
      </c>
      <c r="D7630" s="38">
        <v>22.8</v>
      </c>
      <c r="E7630" s="38">
        <v>0</v>
      </c>
      <c r="F7630" s="38">
        <v>2</v>
      </c>
      <c r="G7630" s="38">
        <v>2.5</v>
      </c>
      <c r="H7630" s="38">
        <v>4</v>
      </c>
      <c r="I7630" s="38">
        <v>4</v>
      </c>
      <c r="J7630" s="38">
        <v>0</v>
      </c>
      <c r="K7630" s="38">
        <v>12.5</v>
      </c>
      <c r="L7630" s="38">
        <v>1.778</v>
      </c>
      <c r="M7630" s="38">
        <v>3</v>
      </c>
      <c r="N7630" s="38">
        <v>13.399999999999999</v>
      </c>
      <c r="P7630" s="38">
        <v>12</v>
      </c>
      <c r="Q7630" s="38">
        <v>1.8</v>
      </c>
      <c r="R7630" s="38">
        <v>0</v>
      </c>
      <c r="U7630" s="38">
        <v>26</v>
      </c>
      <c r="V7630" s="38">
        <v>12.2</v>
      </c>
      <c r="W7630" s="38">
        <v>2</v>
      </c>
      <c r="X7630" s="38">
        <v>10</v>
      </c>
      <c r="Y7630" s="38">
        <v>4</v>
      </c>
      <c r="Z7630" s="38">
        <v>2</v>
      </c>
      <c r="AA7630" s="38">
        <v>16</v>
      </c>
      <c r="AB7630" s="38">
        <v>30</v>
      </c>
      <c r="AC7630" s="38">
        <v>0.2</v>
      </c>
      <c r="AD7630" s="38">
        <v>0</v>
      </c>
    </row>
    <row r="7631" spans="1:30" x14ac:dyDescent="0.25">
      <c r="A7631" s="22">
        <v>45982</v>
      </c>
      <c r="B7631" s="38">
        <v>10</v>
      </c>
      <c r="C7631" s="38">
        <v>4</v>
      </c>
      <c r="D7631" s="38">
        <v>10</v>
      </c>
      <c r="E7631" s="38">
        <v>0</v>
      </c>
      <c r="F7631" s="38">
        <v>0</v>
      </c>
      <c r="G7631" s="38">
        <v>10.5</v>
      </c>
      <c r="H7631" s="38">
        <v>0.4</v>
      </c>
      <c r="I7631" s="38">
        <v>0.9</v>
      </c>
      <c r="J7631" s="38">
        <v>26</v>
      </c>
      <c r="K7631" s="38">
        <v>10.5</v>
      </c>
      <c r="L7631" s="38">
        <v>18.287999999999997</v>
      </c>
      <c r="M7631" s="38">
        <v>3.2</v>
      </c>
      <c r="N7631" s="38">
        <v>3.600000000000001</v>
      </c>
      <c r="P7631" s="38">
        <v>4</v>
      </c>
      <c r="Q7631" s="38">
        <v>11.7</v>
      </c>
      <c r="R7631" s="38">
        <v>2.2999999999999998</v>
      </c>
      <c r="U7631" s="38">
        <v>10</v>
      </c>
      <c r="V7631" s="38">
        <v>0</v>
      </c>
      <c r="W7631" s="38">
        <v>3.3</v>
      </c>
      <c r="X7631" s="38">
        <v>7</v>
      </c>
      <c r="Y7631" s="38">
        <v>2.6</v>
      </c>
      <c r="Z7631" s="38">
        <v>16.2</v>
      </c>
      <c r="AA7631" s="38">
        <v>8</v>
      </c>
      <c r="AB7631" s="38">
        <v>8</v>
      </c>
      <c r="AC7631" s="38">
        <v>0.8</v>
      </c>
      <c r="AD7631" s="38">
        <v>1.4</v>
      </c>
    </row>
    <row r="7632" spans="1:30" x14ac:dyDescent="0.25">
      <c r="A7632" s="22">
        <v>45983</v>
      </c>
      <c r="B7632" s="38">
        <v>0</v>
      </c>
      <c r="C7632" s="38" t="s">
        <v>38</v>
      </c>
      <c r="D7632" s="38">
        <v>5.6</v>
      </c>
      <c r="E7632" s="38">
        <v>0</v>
      </c>
      <c r="F7632" s="38">
        <v>1.3</v>
      </c>
      <c r="G7632" s="38">
        <v>4</v>
      </c>
      <c r="H7632" s="38">
        <v>4.8</v>
      </c>
      <c r="I7632" s="38">
        <v>2.2999999999999998</v>
      </c>
      <c r="J7632" s="38">
        <v>1</v>
      </c>
      <c r="K7632" s="38">
        <v>0</v>
      </c>
      <c r="L7632" s="38">
        <v>0.7619999999999999</v>
      </c>
      <c r="M7632" s="38">
        <v>8.6</v>
      </c>
      <c r="N7632" s="38">
        <v>9.6</v>
      </c>
      <c r="P7632" s="38" t="s">
        <v>38</v>
      </c>
      <c r="Q7632" s="38">
        <v>2</v>
      </c>
      <c r="R7632" s="38">
        <v>14</v>
      </c>
      <c r="U7632" s="38">
        <v>0</v>
      </c>
      <c r="V7632" s="38">
        <v>0</v>
      </c>
      <c r="W7632" s="38">
        <v>0.4</v>
      </c>
      <c r="X7632" s="38" t="s">
        <v>38</v>
      </c>
      <c r="Y7632" s="38" t="s">
        <v>38</v>
      </c>
      <c r="Z7632" s="38">
        <v>0.4</v>
      </c>
      <c r="AA7632" s="38">
        <v>0</v>
      </c>
      <c r="AB7632" s="38">
        <v>2</v>
      </c>
      <c r="AC7632" s="38">
        <v>1.4</v>
      </c>
      <c r="AD7632" s="38">
        <v>0.8</v>
      </c>
    </row>
    <row r="7633" spans="1:30" x14ac:dyDescent="0.25">
      <c r="A7633" s="22">
        <v>45984</v>
      </c>
      <c r="B7633" s="38">
        <v>4</v>
      </c>
      <c r="C7633" s="38" t="s">
        <v>38</v>
      </c>
      <c r="D7633" s="38">
        <v>2.6</v>
      </c>
      <c r="E7633" s="38">
        <v>0</v>
      </c>
      <c r="F7633" s="38" t="s">
        <v>38</v>
      </c>
      <c r="G7633" s="38">
        <v>9.1999999999999993</v>
      </c>
      <c r="H7633" s="38">
        <v>2</v>
      </c>
      <c r="I7633" s="38">
        <v>5.6</v>
      </c>
      <c r="J7633" s="38">
        <v>7</v>
      </c>
      <c r="K7633" s="38">
        <v>4.2</v>
      </c>
      <c r="L7633" s="38">
        <v>1.016</v>
      </c>
      <c r="M7633" s="38">
        <v>3.2</v>
      </c>
      <c r="N7633" s="38">
        <v>8.8000000000000007</v>
      </c>
      <c r="P7633" s="38" t="s">
        <v>38</v>
      </c>
      <c r="Q7633" s="38">
        <v>1</v>
      </c>
      <c r="R7633" s="38">
        <v>2</v>
      </c>
      <c r="U7633" s="38">
        <v>4</v>
      </c>
      <c r="V7633" s="38">
        <v>0</v>
      </c>
      <c r="W7633" s="38">
        <v>0</v>
      </c>
      <c r="X7633" s="38" t="s">
        <v>38</v>
      </c>
      <c r="Y7633" s="38">
        <v>0</v>
      </c>
      <c r="Z7633" s="38">
        <v>0</v>
      </c>
      <c r="AA7633" s="38">
        <v>0</v>
      </c>
      <c r="AB7633" s="38">
        <v>0</v>
      </c>
      <c r="AC7633" s="38">
        <v>2.2000000000000002</v>
      </c>
      <c r="AD7633" s="38">
        <v>6.2000000000000011</v>
      </c>
    </row>
    <row r="7634" spans="1:30" x14ac:dyDescent="0.25">
      <c r="A7634" s="22">
        <v>45985</v>
      </c>
      <c r="B7634" s="38">
        <v>14</v>
      </c>
      <c r="C7634" s="38">
        <v>24</v>
      </c>
      <c r="D7634" s="38">
        <v>26</v>
      </c>
      <c r="E7634" s="38">
        <v>0</v>
      </c>
      <c r="F7634" s="38">
        <v>12</v>
      </c>
      <c r="G7634" s="38">
        <v>14</v>
      </c>
      <c r="H7634" s="38">
        <v>10</v>
      </c>
      <c r="I7634" s="38">
        <v>15.2</v>
      </c>
      <c r="J7634" s="38">
        <v>14</v>
      </c>
      <c r="K7634" s="38">
        <v>22.4</v>
      </c>
      <c r="L7634" s="38">
        <v>10.921999999999999</v>
      </c>
      <c r="M7634" s="38">
        <v>12.3</v>
      </c>
      <c r="N7634" s="38">
        <v>20.599999999999998</v>
      </c>
      <c r="P7634" s="38">
        <v>24</v>
      </c>
      <c r="Q7634" s="38">
        <v>16</v>
      </c>
      <c r="R7634" s="38">
        <v>10</v>
      </c>
      <c r="U7634" s="38">
        <v>28</v>
      </c>
      <c r="V7634" s="38">
        <v>7</v>
      </c>
      <c r="W7634" s="38">
        <v>14</v>
      </c>
      <c r="X7634" s="38">
        <v>18</v>
      </c>
      <c r="Y7634" s="38">
        <v>6.8</v>
      </c>
      <c r="Z7634" s="38">
        <v>14</v>
      </c>
      <c r="AA7634" s="38">
        <v>0</v>
      </c>
      <c r="AB7634" s="38">
        <v>18</v>
      </c>
      <c r="AC7634" s="38">
        <v>9.6000000000000014</v>
      </c>
      <c r="AD7634" s="38">
        <v>3.6000000000000005</v>
      </c>
    </row>
    <row r="7635" spans="1:30" x14ac:dyDescent="0.25">
      <c r="A7635" s="22">
        <v>45986</v>
      </c>
      <c r="B7635" s="38">
        <v>20</v>
      </c>
      <c r="C7635" s="38">
        <v>10.4</v>
      </c>
      <c r="D7635" s="38">
        <v>8.3000000000000007</v>
      </c>
      <c r="E7635" s="38">
        <v>0</v>
      </c>
      <c r="F7635" s="38">
        <v>1.3</v>
      </c>
      <c r="G7635" s="38">
        <v>6.5</v>
      </c>
      <c r="H7635" s="38">
        <v>3.8</v>
      </c>
      <c r="I7635" s="38">
        <v>2</v>
      </c>
      <c r="J7635" s="38">
        <v>20</v>
      </c>
      <c r="K7635" s="38">
        <v>5</v>
      </c>
      <c r="L7635" s="38">
        <v>20.574000000000002</v>
      </c>
      <c r="M7635" s="38">
        <v>6</v>
      </c>
      <c r="N7635" s="38">
        <v>37.6</v>
      </c>
      <c r="P7635" s="38">
        <v>10.4</v>
      </c>
      <c r="Q7635" s="38">
        <v>2.2999999999999998</v>
      </c>
      <c r="R7635" s="38">
        <v>3.8</v>
      </c>
      <c r="U7635" s="38">
        <v>8</v>
      </c>
      <c r="V7635" s="38">
        <v>12</v>
      </c>
      <c r="W7635" s="38">
        <v>4.2</v>
      </c>
      <c r="X7635" s="38">
        <v>2</v>
      </c>
      <c r="Y7635" s="38">
        <v>3.8</v>
      </c>
      <c r="Z7635" s="38">
        <v>4.2</v>
      </c>
      <c r="AA7635" s="38">
        <v>0</v>
      </c>
      <c r="AB7635" s="38">
        <v>2</v>
      </c>
      <c r="AC7635" s="38">
        <v>25.400000000000002</v>
      </c>
      <c r="AD7635" s="38">
        <v>26.399999999999988</v>
      </c>
    </row>
    <row r="7636" spans="1:30" x14ac:dyDescent="0.25">
      <c r="A7636" s="22">
        <v>45987</v>
      </c>
      <c r="B7636" s="38">
        <v>10</v>
      </c>
      <c r="C7636" s="38">
        <v>48</v>
      </c>
      <c r="D7636" s="38">
        <v>63.6</v>
      </c>
      <c r="E7636" s="38">
        <v>14</v>
      </c>
      <c r="F7636" s="38">
        <v>21.1</v>
      </c>
      <c r="G7636" s="38">
        <v>36.5</v>
      </c>
      <c r="H7636" s="38">
        <v>24</v>
      </c>
      <c r="I7636" s="38">
        <v>37.6</v>
      </c>
      <c r="J7636" s="38">
        <v>56.3</v>
      </c>
      <c r="K7636" s="38">
        <v>0</v>
      </c>
      <c r="L7636" s="38">
        <v>10.667999999999999</v>
      </c>
      <c r="M7636" s="38">
        <v>30.6</v>
      </c>
      <c r="N7636" s="38">
        <v>35.400000000000006</v>
      </c>
      <c r="P7636" s="38">
        <v>4</v>
      </c>
      <c r="Q7636" s="38">
        <v>40.4</v>
      </c>
      <c r="R7636" s="38">
        <v>27.9</v>
      </c>
      <c r="U7636" s="38">
        <v>54</v>
      </c>
      <c r="V7636" s="38">
        <v>0</v>
      </c>
      <c r="W7636" s="38">
        <v>0</v>
      </c>
      <c r="X7636" s="38">
        <v>29</v>
      </c>
      <c r="Y7636" s="38">
        <v>30.8</v>
      </c>
      <c r="Z7636" s="38">
        <v>32.6</v>
      </c>
      <c r="AA7636" s="38">
        <v>0</v>
      </c>
      <c r="AB7636" s="38">
        <v>46</v>
      </c>
      <c r="AC7636" s="38">
        <v>4</v>
      </c>
      <c r="AD7636" s="38">
        <v>4.0000000000000009</v>
      </c>
    </row>
    <row r="7637" spans="1:30" x14ac:dyDescent="0.25">
      <c r="A7637" s="22">
        <v>45988</v>
      </c>
      <c r="B7637" s="38">
        <v>4</v>
      </c>
      <c r="C7637" s="38">
        <v>7.2</v>
      </c>
      <c r="D7637" s="38">
        <v>8.8000000000000007</v>
      </c>
      <c r="E7637" s="38">
        <v>4</v>
      </c>
      <c r="F7637" s="38" t="s">
        <v>38</v>
      </c>
      <c r="G7637" s="38">
        <v>0</v>
      </c>
      <c r="H7637" s="38">
        <v>1</v>
      </c>
      <c r="I7637" s="38">
        <v>0.8</v>
      </c>
      <c r="J7637" s="38">
        <v>4.0999999999999996</v>
      </c>
      <c r="K7637" s="38">
        <v>0</v>
      </c>
      <c r="L7637" s="38">
        <v>3.8099999999999996</v>
      </c>
      <c r="M7637" s="38">
        <v>2.4</v>
      </c>
      <c r="N7637" s="38">
        <v>2.4000000000000004</v>
      </c>
      <c r="P7637" s="38">
        <v>2</v>
      </c>
      <c r="Q7637" s="38">
        <v>4</v>
      </c>
      <c r="R7637" s="38">
        <v>4</v>
      </c>
      <c r="U7637" s="38">
        <v>2</v>
      </c>
      <c r="V7637" s="38">
        <v>1.3</v>
      </c>
      <c r="W7637" s="38">
        <v>1.2</v>
      </c>
      <c r="X7637" s="38">
        <v>8</v>
      </c>
      <c r="Y7637" s="38">
        <v>0</v>
      </c>
      <c r="Z7637" s="38">
        <v>0</v>
      </c>
      <c r="AA7637" s="38">
        <v>0</v>
      </c>
      <c r="AB7637" s="38">
        <v>73</v>
      </c>
      <c r="AC7637" s="38">
        <v>3.6</v>
      </c>
      <c r="AD7637" s="38">
        <v>3.4000000000000004</v>
      </c>
    </row>
    <row r="7638" spans="1:30" x14ac:dyDescent="0.25">
      <c r="A7638" s="22">
        <v>45989</v>
      </c>
      <c r="B7638" s="38">
        <v>9</v>
      </c>
      <c r="C7638" s="38">
        <v>4.2</v>
      </c>
      <c r="D7638" s="38">
        <v>4.0999999999999996</v>
      </c>
      <c r="E7638" s="38">
        <v>0</v>
      </c>
      <c r="F7638" s="38">
        <v>5.4</v>
      </c>
      <c r="G7638" s="38">
        <v>5.5</v>
      </c>
      <c r="H7638" s="38">
        <v>2</v>
      </c>
      <c r="I7638" s="38">
        <v>7.5</v>
      </c>
      <c r="J7638" s="38">
        <v>4.2</v>
      </c>
      <c r="K7638" s="38">
        <v>0</v>
      </c>
      <c r="L7638" s="38">
        <v>5.8419999999999996</v>
      </c>
      <c r="M7638" s="38">
        <v>2.8</v>
      </c>
      <c r="N7638" s="38">
        <v>5.1999999999999993</v>
      </c>
      <c r="P7638" s="38">
        <v>8</v>
      </c>
      <c r="Q7638" s="38">
        <v>0.8</v>
      </c>
      <c r="R7638" s="38">
        <v>2</v>
      </c>
      <c r="U7638" s="38">
        <v>9</v>
      </c>
      <c r="V7638" s="38">
        <v>4.2</v>
      </c>
      <c r="W7638" s="38">
        <v>6</v>
      </c>
      <c r="X7638" s="38">
        <v>2</v>
      </c>
      <c r="Y7638" s="38">
        <v>4.2</v>
      </c>
      <c r="Z7638" s="38">
        <v>5.2</v>
      </c>
      <c r="AA7638" s="38">
        <v>8</v>
      </c>
      <c r="AB7638" s="38">
        <v>68</v>
      </c>
      <c r="AC7638" s="38">
        <v>0.4</v>
      </c>
      <c r="AD7638" s="38">
        <v>1</v>
      </c>
    </row>
    <row r="7639" spans="1:30" x14ac:dyDescent="0.25">
      <c r="A7639" s="22">
        <v>45990</v>
      </c>
      <c r="B7639" s="38">
        <v>0</v>
      </c>
      <c r="C7639" s="38">
        <v>4.2</v>
      </c>
      <c r="D7639" s="38">
        <v>4.4000000000000004</v>
      </c>
      <c r="E7639" s="38">
        <v>0</v>
      </c>
      <c r="F7639" s="38">
        <v>0</v>
      </c>
      <c r="G7639" s="38">
        <v>6.5</v>
      </c>
      <c r="H7639" s="38">
        <v>3.8</v>
      </c>
      <c r="I7639" s="38">
        <v>3.2</v>
      </c>
      <c r="J7639" s="38">
        <v>4.4000000000000004</v>
      </c>
      <c r="K7639" s="38">
        <v>0</v>
      </c>
      <c r="L7639" s="38">
        <v>0.7619999999999999</v>
      </c>
      <c r="M7639" s="38">
        <v>5</v>
      </c>
      <c r="N7639" s="38">
        <v>4.0000000000000009</v>
      </c>
      <c r="P7639" s="38">
        <v>4</v>
      </c>
      <c r="Q7639" s="38">
        <v>3</v>
      </c>
      <c r="R7639" s="38">
        <v>0</v>
      </c>
      <c r="U7639" s="38">
        <v>0</v>
      </c>
      <c r="V7639" s="38">
        <v>0</v>
      </c>
      <c r="W7639" s="38">
        <v>0</v>
      </c>
      <c r="X7639" s="38">
        <v>1</v>
      </c>
      <c r="Y7639" s="38" t="s">
        <v>38</v>
      </c>
      <c r="Z7639" s="38">
        <v>2</v>
      </c>
      <c r="AA7639" s="38">
        <v>0</v>
      </c>
      <c r="AB7639" s="38">
        <v>10</v>
      </c>
      <c r="AC7639" s="38">
        <v>1.4</v>
      </c>
      <c r="AD7639" s="38">
        <v>1.2000000000000002</v>
      </c>
    </row>
    <row r="7640" spans="1:30" x14ac:dyDescent="0.25">
      <c r="A7640" s="22">
        <v>45991</v>
      </c>
      <c r="B7640" s="38">
        <v>17</v>
      </c>
      <c r="C7640" s="38">
        <v>13.2</v>
      </c>
      <c r="D7640" s="38">
        <v>11.2</v>
      </c>
      <c r="E7640" s="38">
        <v>0</v>
      </c>
      <c r="F7640" s="38">
        <v>6</v>
      </c>
      <c r="G7640" s="38">
        <v>12.5</v>
      </c>
      <c r="H7640" s="38">
        <v>11.4</v>
      </c>
      <c r="I7640" s="38">
        <v>11.3</v>
      </c>
      <c r="J7640" s="38">
        <v>17</v>
      </c>
      <c r="K7640" s="38">
        <v>10.199999999999999</v>
      </c>
      <c r="L7640" s="38">
        <v>8.636000000000001</v>
      </c>
      <c r="M7640" s="38">
        <v>14.8</v>
      </c>
      <c r="N7640" s="38">
        <v>17.599999999999994</v>
      </c>
      <c r="P7640" s="38">
        <v>2</v>
      </c>
      <c r="Q7640" s="38">
        <v>4.5</v>
      </c>
      <c r="R7640" s="38">
        <v>11.4</v>
      </c>
      <c r="U7640" s="38">
        <v>12</v>
      </c>
      <c r="V7640" s="38">
        <v>12</v>
      </c>
      <c r="W7640" s="38">
        <v>4</v>
      </c>
      <c r="X7640" s="38">
        <v>4</v>
      </c>
      <c r="Y7640" s="38">
        <v>7.7</v>
      </c>
      <c r="Z7640" s="38">
        <v>4</v>
      </c>
      <c r="AA7640" s="38">
        <v>0</v>
      </c>
      <c r="AB7640" s="38">
        <v>4</v>
      </c>
      <c r="AC7640" s="38">
        <v>5.2</v>
      </c>
      <c r="AD7640" s="38">
        <v>5.8000000000000007</v>
      </c>
    </row>
    <row r="7641" spans="1:30" x14ac:dyDescent="0.25">
      <c r="A7641" s="22">
        <v>45992</v>
      </c>
      <c r="B7641" s="38">
        <v>13</v>
      </c>
      <c r="C7641" s="38">
        <v>4.5999999999999996</v>
      </c>
      <c r="D7641" s="38">
        <v>1.6</v>
      </c>
      <c r="E7641" s="38">
        <v>0</v>
      </c>
      <c r="F7641" s="38">
        <v>13</v>
      </c>
      <c r="G7641" s="38">
        <v>6.5</v>
      </c>
      <c r="H7641" s="38">
        <v>4.4000000000000004</v>
      </c>
      <c r="I7641" s="38">
        <v>7.5</v>
      </c>
      <c r="J7641" s="38">
        <v>6.1</v>
      </c>
      <c r="K7641" s="38">
        <v>6.2</v>
      </c>
      <c r="L7641" s="38">
        <v>8.1280000000000001</v>
      </c>
      <c r="M7641" s="38">
        <v>8.5</v>
      </c>
      <c r="N7641" s="38">
        <v>22</v>
      </c>
      <c r="P7641" s="38">
        <v>8</v>
      </c>
      <c r="Q7641" s="38">
        <v>13.8</v>
      </c>
      <c r="R7641" s="38">
        <v>2</v>
      </c>
      <c r="U7641" s="38">
        <v>2</v>
      </c>
      <c r="V7641" s="38">
        <v>6</v>
      </c>
      <c r="W7641" s="38">
        <v>4.0999999999999996</v>
      </c>
      <c r="X7641" s="38">
        <v>2</v>
      </c>
      <c r="Y7641" s="38">
        <v>0.8</v>
      </c>
      <c r="Z7641" s="38">
        <v>5.8</v>
      </c>
      <c r="AA7641" s="38">
        <v>3</v>
      </c>
      <c r="AB7641" s="38">
        <v>6</v>
      </c>
      <c r="AC7641" s="38">
        <v>4.8000000000000007</v>
      </c>
      <c r="AD7641" s="38">
        <v>4.4000000000000004</v>
      </c>
    </row>
    <row r="7642" spans="1:30" x14ac:dyDescent="0.25">
      <c r="A7642" s="22">
        <v>45993</v>
      </c>
      <c r="B7642" s="38">
        <v>5</v>
      </c>
      <c r="C7642" s="38">
        <v>2.6</v>
      </c>
      <c r="D7642" s="38">
        <v>6.3</v>
      </c>
      <c r="E7642" s="38">
        <v>0</v>
      </c>
      <c r="F7642" s="38">
        <v>3.3</v>
      </c>
      <c r="G7642" s="38">
        <v>4.5</v>
      </c>
      <c r="H7642" s="38">
        <v>8</v>
      </c>
      <c r="I7642" s="38">
        <v>0.2</v>
      </c>
      <c r="J7642" s="38">
        <v>4</v>
      </c>
      <c r="K7642" s="38">
        <v>5.2</v>
      </c>
      <c r="L7642" s="38">
        <v>4.3180000000000005</v>
      </c>
      <c r="M7642" s="38">
        <v>4.8</v>
      </c>
      <c r="N7642" s="38">
        <v>23.399999999999995</v>
      </c>
      <c r="P7642" s="38" t="s">
        <v>38</v>
      </c>
      <c r="Q7642" s="38">
        <v>69.3</v>
      </c>
      <c r="R7642" s="38">
        <v>3</v>
      </c>
      <c r="U7642" s="38">
        <v>18</v>
      </c>
      <c r="V7642" s="38">
        <v>0</v>
      </c>
      <c r="W7642" s="38">
        <v>0</v>
      </c>
      <c r="X7642" s="38">
        <v>2</v>
      </c>
      <c r="Y7642" s="38">
        <v>8.1999999999999993</v>
      </c>
      <c r="Z7642" s="38">
        <v>8.1999999999999993</v>
      </c>
      <c r="AA7642" s="38">
        <v>17</v>
      </c>
      <c r="AB7642" s="38">
        <v>2</v>
      </c>
      <c r="AC7642" s="38">
        <v>7</v>
      </c>
      <c r="AD7642" s="38">
        <v>13.8</v>
      </c>
    </row>
    <row r="7643" spans="1:30" x14ac:dyDescent="0.25">
      <c r="A7643" s="22">
        <v>45994</v>
      </c>
      <c r="B7643" s="38">
        <v>52</v>
      </c>
      <c r="C7643" s="38">
        <v>52.4</v>
      </c>
      <c r="D7643" s="38">
        <v>56.4</v>
      </c>
      <c r="E7643" s="38">
        <v>30</v>
      </c>
      <c r="F7643" s="38">
        <v>51.4</v>
      </c>
      <c r="G7643" s="38">
        <v>48</v>
      </c>
      <c r="H7643" s="38">
        <v>62</v>
      </c>
      <c r="I7643" s="38">
        <v>31.2</v>
      </c>
      <c r="J7643" s="38">
        <v>72.5</v>
      </c>
      <c r="K7643" s="38">
        <v>67.8</v>
      </c>
      <c r="L7643" s="38">
        <v>56.133999999999993</v>
      </c>
      <c r="M7643" s="38">
        <v>32.4</v>
      </c>
      <c r="N7643" s="38">
        <v>81.8</v>
      </c>
      <c r="P7643" s="38">
        <v>68</v>
      </c>
      <c r="Q7643" s="38">
        <v>6.1</v>
      </c>
      <c r="R7643" s="38">
        <v>60</v>
      </c>
      <c r="U7643" s="38">
        <v>106</v>
      </c>
      <c r="V7643" s="38">
        <v>49.3</v>
      </c>
      <c r="W7643" s="38">
        <v>50.2</v>
      </c>
      <c r="X7643" s="38">
        <v>44</v>
      </c>
      <c r="Y7643" s="38">
        <v>48.6</v>
      </c>
      <c r="Z7643" s="38">
        <v>50.4</v>
      </c>
      <c r="AA7643" s="38">
        <v>112</v>
      </c>
      <c r="AB7643" s="38">
        <v>125</v>
      </c>
      <c r="AC7643" s="38">
        <v>34.199999999999989</v>
      </c>
      <c r="AD7643" s="38">
        <v>37.399999999999963</v>
      </c>
    </row>
    <row r="7644" spans="1:30" x14ac:dyDescent="0.25">
      <c r="A7644" s="22">
        <v>45995</v>
      </c>
      <c r="B7644" s="38">
        <v>23</v>
      </c>
      <c r="C7644" s="38">
        <v>28.4</v>
      </c>
      <c r="D7644" s="38">
        <v>30.4</v>
      </c>
      <c r="E7644" s="38">
        <v>45</v>
      </c>
      <c r="F7644" s="38">
        <v>9.1999999999999993</v>
      </c>
      <c r="G7644" s="38">
        <v>8.5</v>
      </c>
      <c r="H7644" s="38">
        <v>13.3</v>
      </c>
      <c r="I7644" s="38">
        <v>36.5</v>
      </c>
      <c r="J7644" s="38">
        <v>22.1</v>
      </c>
      <c r="K7644" s="38">
        <v>23.9</v>
      </c>
      <c r="L7644" s="38">
        <v>20.065999999999999</v>
      </c>
      <c r="M7644" s="38">
        <v>32.799999999999997</v>
      </c>
      <c r="N7644" s="38">
        <v>45.400000000000006</v>
      </c>
      <c r="P7644" s="38">
        <v>36</v>
      </c>
      <c r="Q7644" s="38">
        <v>19.399999999999999</v>
      </c>
      <c r="R7644" s="38">
        <v>4</v>
      </c>
      <c r="U7644" s="38">
        <v>16</v>
      </c>
      <c r="V7644" s="38">
        <v>24.2</v>
      </c>
      <c r="W7644" s="38">
        <v>22.8</v>
      </c>
      <c r="X7644" s="38">
        <v>30.2</v>
      </c>
      <c r="Y7644" s="38">
        <v>14</v>
      </c>
      <c r="Z7644" s="38">
        <v>12</v>
      </c>
      <c r="AA7644" s="38">
        <v>44</v>
      </c>
      <c r="AB7644" s="38">
        <v>8</v>
      </c>
      <c r="AC7644" s="38">
        <v>32.800000000000004</v>
      </c>
      <c r="AD7644" s="38">
        <v>38.800000000000004</v>
      </c>
    </row>
    <row r="7645" spans="1:30" x14ac:dyDescent="0.25">
      <c r="A7645" s="22">
        <v>45996</v>
      </c>
      <c r="B7645" s="38">
        <v>25</v>
      </c>
      <c r="C7645" s="38">
        <v>20</v>
      </c>
      <c r="D7645" s="38">
        <v>26</v>
      </c>
      <c r="E7645" s="38">
        <v>25</v>
      </c>
      <c r="F7645" s="38">
        <v>0</v>
      </c>
      <c r="G7645" s="38">
        <v>50.5</v>
      </c>
      <c r="H7645" s="38">
        <v>35</v>
      </c>
      <c r="I7645" s="38">
        <v>42.1</v>
      </c>
      <c r="J7645" s="38">
        <v>46.4</v>
      </c>
      <c r="K7645" s="38">
        <v>51.4</v>
      </c>
      <c r="L7645" s="38">
        <v>18.287999999999997</v>
      </c>
      <c r="M7645" s="38">
        <v>48.5</v>
      </c>
      <c r="N7645" s="38">
        <v>17.599999999999994</v>
      </c>
      <c r="P7645" s="38">
        <v>16</v>
      </c>
      <c r="Q7645" s="38">
        <v>6.5</v>
      </c>
      <c r="R7645" s="38">
        <v>23</v>
      </c>
      <c r="U7645" s="38">
        <v>26</v>
      </c>
      <c r="V7645" s="38">
        <v>27.1</v>
      </c>
      <c r="W7645" s="38">
        <v>34.799999999999997</v>
      </c>
      <c r="X7645" s="38">
        <v>24.2</v>
      </c>
      <c r="Y7645" s="38">
        <v>34.799999999999997</v>
      </c>
      <c r="Z7645" s="38">
        <v>51.4</v>
      </c>
      <c r="AA7645" s="38">
        <v>34</v>
      </c>
      <c r="AB7645" s="38">
        <v>4</v>
      </c>
      <c r="AC7645" s="38">
        <v>4.2</v>
      </c>
      <c r="AD7645" s="38">
        <v>3.4000000000000008</v>
      </c>
    </row>
    <row r="7646" spans="1:30" x14ac:dyDescent="0.25">
      <c r="A7646" s="22">
        <v>45997</v>
      </c>
      <c r="B7646" s="38">
        <v>5</v>
      </c>
      <c r="C7646" s="38">
        <v>7.2</v>
      </c>
      <c r="D7646" s="38">
        <v>14</v>
      </c>
      <c r="E7646" s="38">
        <v>0</v>
      </c>
      <c r="F7646" s="38">
        <v>5.4</v>
      </c>
      <c r="G7646" s="38">
        <v>13</v>
      </c>
      <c r="H7646" s="38">
        <v>3.8</v>
      </c>
      <c r="I7646" s="38">
        <v>7.2</v>
      </c>
      <c r="J7646" s="38">
        <v>16.100000000000001</v>
      </c>
      <c r="K7646" s="38">
        <v>11.8</v>
      </c>
      <c r="L7646" s="38">
        <v>0.50800000000000001</v>
      </c>
      <c r="M7646" s="38">
        <v>6.5</v>
      </c>
      <c r="N7646" s="38">
        <v>9.9999999999999982</v>
      </c>
      <c r="P7646" s="38">
        <v>10</v>
      </c>
      <c r="Q7646" s="38">
        <v>1.8</v>
      </c>
      <c r="R7646" s="38">
        <v>0</v>
      </c>
      <c r="U7646" s="38">
        <v>12</v>
      </c>
      <c r="V7646" s="38">
        <v>4.8</v>
      </c>
      <c r="W7646" s="38">
        <v>8.6</v>
      </c>
      <c r="X7646" s="38">
        <v>3</v>
      </c>
      <c r="Y7646" s="38">
        <v>5.2</v>
      </c>
      <c r="Z7646" s="38">
        <v>10.4</v>
      </c>
      <c r="AA7646" s="38">
        <v>10</v>
      </c>
      <c r="AB7646" s="38">
        <v>2</v>
      </c>
      <c r="AC7646" s="38">
        <v>1.6</v>
      </c>
      <c r="AD7646" s="38">
        <v>1</v>
      </c>
    </row>
    <row r="7647" spans="1:30" x14ac:dyDescent="0.25">
      <c r="A7647" s="22">
        <v>45998</v>
      </c>
      <c r="B7647" s="38">
        <v>0</v>
      </c>
      <c r="C7647" s="38">
        <v>6.2</v>
      </c>
      <c r="D7647" s="38">
        <v>16.2</v>
      </c>
      <c r="E7647" s="38">
        <v>5</v>
      </c>
      <c r="F7647" s="38">
        <v>2.2000000000000002</v>
      </c>
      <c r="G7647" s="38">
        <v>15</v>
      </c>
      <c r="H7647" s="38">
        <v>7.8</v>
      </c>
      <c r="I7647" s="38">
        <v>17</v>
      </c>
      <c r="J7647" s="38">
        <v>11</v>
      </c>
      <c r="K7647" s="38">
        <v>4.4000000000000004</v>
      </c>
      <c r="L7647" s="38">
        <v>0</v>
      </c>
      <c r="M7647" s="38">
        <v>20.8</v>
      </c>
      <c r="N7647" s="38">
        <v>12.199999999999998</v>
      </c>
      <c r="P7647" s="38" t="s">
        <v>38</v>
      </c>
      <c r="Q7647" s="38">
        <v>5.5</v>
      </c>
      <c r="R7647" s="38">
        <v>0</v>
      </c>
      <c r="U7647" s="38">
        <v>10</v>
      </c>
      <c r="V7647" s="38">
        <v>8.6</v>
      </c>
      <c r="W7647" s="38">
        <v>20.6</v>
      </c>
      <c r="X7647" s="38">
        <v>10.199999999999999</v>
      </c>
      <c r="Y7647" s="38">
        <v>6</v>
      </c>
      <c r="Z7647" s="38">
        <v>6</v>
      </c>
      <c r="AA7647" s="38">
        <v>7</v>
      </c>
      <c r="AB7647" s="38">
        <v>4</v>
      </c>
      <c r="AC7647" s="38">
        <v>21.799999999999997</v>
      </c>
      <c r="AD7647" s="38">
        <v>22.199999999999992</v>
      </c>
    </row>
    <row r="7648" spans="1:30" x14ac:dyDescent="0.25">
      <c r="A7648" s="22">
        <v>45999</v>
      </c>
      <c r="B7648" s="38">
        <v>9</v>
      </c>
      <c r="C7648" s="38">
        <v>10</v>
      </c>
      <c r="D7648" s="38">
        <v>2.4</v>
      </c>
      <c r="E7648" s="38">
        <v>0</v>
      </c>
      <c r="F7648" s="38">
        <v>4</v>
      </c>
      <c r="G7648" s="38">
        <v>9.5</v>
      </c>
      <c r="H7648" s="38">
        <v>4</v>
      </c>
      <c r="I7648" s="38">
        <v>6.6</v>
      </c>
      <c r="J7648" s="38">
        <v>10.4</v>
      </c>
      <c r="K7648" s="38">
        <v>10.3</v>
      </c>
      <c r="L7648" s="38">
        <v>3.8099999999999996</v>
      </c>
      <c r="M7648" s="38">
        <v>4</v>
      </c>
      <c r="N7648" s="38">
        <v>3.6000000000000005</v>
      </c>
      <c r="P7648" s="38">
        <v>4</v>
      </c>
      <c r="Q7648" s="38">
        <v>8.9</v>
      </c>
      <c r="R7648" s="38">
        <v>7</v>
      </c>
      <c r="U7648" s="38">
        <v>2</v>
      </c>
      <c r="V7648" s="38">
        <v>12.4</v>
      </c>
      <c r="W7648" s="38">
        <v>4.5999999999999996</v>
      </c>
      <c r="X7648" s="38">
        <v>4</v>
      </c>
      <c r="Y7648" s="38">
        <v>4.4000000000000004</v>
      </c>
      <c r="Z7648" s="38">
        <v>4.8</v>
      </c>
      <c r="AA7648" s="38">
        <v>4</v>
      </c>
      <c r="AB7648" s="38">
        <v>0</v>
      </c>
      <c r="AC7648" s="38">
        <v>0.4</v>
      </c>
      <c r="AD7648" s="38">
        <v>0</v>
      </c>
    </row>
    <row r="7649" spans="1:30" x14ac:dyDescent="0.25">
      <c r="A7649" s="22">
        <v>46000</v>
      </c>
      <c r="B7649" s="38">
        <v>11</v>
      </c>
      <c r="C7649" s="38">
        <v>27.2</v>
      </c>
      <c r="D7649" s="38">
        <v>38</v>
      </c>
      <c r="E7649" s="38">
        <v>0</v>
      </c>
      <c r="F7649" s="38">
        <v>0</v>
      </c>
      <c r="G7649" s="38">
        <v>22.5</v>
      </c>
      <c r="H7649" s="38">
        <v>6</v>
      </c>
      <c r="I7649" s="38">
        <v>12.8</v>
      </c>
      <c r="J7649" s="38">
        <v>32.799999999999997</v>
      </c>
      <c r="K7649" s="38">
        <v>36.4</v>
      </c>
      <c r="L7649" s="38">
        <v>4.8259999999999996</v>
      </c>
      <c r="M7649" s="38">
        <v>10.5</v>
      </c>
      <c r="N7649" s="38">
        <v>34.200000000000003</v>
      </c>
      <c r="P7649" s="38">
        <v>8</v>
      </c>
      <c r="Q7649" s="38">
        <v>0</v>
      </c>
      <c r="R7649" s="38">
        <v>8</v>
      </c>
      <c r="U7649" s="38">
        <v>32</v>
      </c>
      <c r="V7649" s="38">
        <v>7.1</v>
      </c>
      <c r="W7649" s="38">
        <v>20.2</v>
      </c>
      <c r="X7649" s="38">
        <v>15</v>
      </c>
      <c r="Y7649" s="38">
        <v>10.4</v>
      </c>
      <c r="Z7649" s="38">
        <v>20.2</v>
      </c>
      <c r="AA7649" s="38">
        <v>2</v>
      </c>
      <c r="AB7649" s="38">
        <v>23</v>
      </c>
      <c r="AC7649" s="38">
        <v>8.7999999999999989</v>
      </c>
      <c r="AD7649" s="38">
        <v>7.6000000000000032</v>
      </c>
    </row>
    <row r="7650" spans="1:30" x14ac:dyDescent="0.25">
      <c r="A7650" s="22">
        <v>46001</v>
      </c>
      <c r="B7650" s="38">
        <v>0</v>
      </c>
      <c r="C7650" s="38">
        <v>2.4</v>
      </c>
      <c r="D7650" s="38">
        <v>0</v>
      </c>
      <c r="E7650" s="38">
        <v>0</v>
      </c>
      <c r="F7650" s="38">
        <v>0</v>
      </c>
      <c r="G7650" s="38">
        <v>0</v>
      </c>
      <c r="H7650" s="38" t="s">
        <v>38</v>
      </c>
      <c r="I7650" s="38">
        <v>0.1</v>
      </c>
      <c r="J7650" s="38">
        <v>0</v>
      </c>
      <c r="K7650" s="38">
        <v>0</v>
      </c>
      <c r="L7650" s="38">
        <v>0.50800000000000001</v>
      </c>
      <c r="M7650" s="38">
        <v>0</v>
      </c>
      <c r="N7650" s="38">
        <v>0.2</v>
      </c>
      <c r="P7650" s="38" t="s">
        <v>38</v>
      </c>
      <c r="Q7650" s="38">
        <v>0</v>
      </c>
      <c r="R7650" s="38">
        <v>0</v>
      </c>
      <c r="U7650" s="38">
        <v>0</v>
      </c>
      <c r="V7650" s="38">
        <v>0</v>
      </c>
      <c r="W7650" s="38">
        <v>0</v>
      </c>
      <c r="X7650" s="38">
        <v>3</v>
      </c>
      <c r="Y7650" s="38" t="s">
        <v>38</v>
      </c>
      <c r="Z7650" s="38">
        <v>2.4</v>
      </c>
      <c r="AA7650" s="38">
        <v>12</v>
      </c>
      <c r="AB7650" s="38">
        <v>0</v>
      </c>
      <c r="AC7650" s="38">
        <v>0.2</v>
      </c>
      <c r="AD7650" s="38">
        <v>0</v>
      </c>
    </row>
    <row r="7651" spans="1:30" x14ac:dyDescent="0.25">
      <c r="A7651" s="22">
        <v>46002</v>
      </c>
      <c r="B7651" s="38">
        <v>0</v>
      </c>
      <c r="C7651" s="38">
        <v>2.8</v>
      </c>
      <c r="D7651" s="38">
        <v>2</v>
      </c>
      <c r="E7651" s="38">
        <v>0</v>
      </c>
      <c r="F7651" s="38" t="s">
        <v>38</v>
      </c>
      <c r="G7651" s="38">
        <v>0</v>
      </c>
      <c r="H7651" s="38">
        <v>0</v>
      </c>
      <c r="I7651" s="38" t="s">
        <v>38</v>
      </c>
      <c r="J7651" s="38">
        <v>1.1000000000000001</v>
      </c>
      <c r="K7651" s="38">
        <v>0</v>
      </c>
      <c r="L7651" s="38">
        <v>8.636000000000001</v>
      </c>
      <c r="M7651" s="38">
        <v>0</v>
      </c>
      <c r="N7651" s="38">
        <v>0</v>
      </c>
      <c r="P7651" s="38">
        <v>0</v>
      </c>
      <c r="Q7651" s="38">
        <v>14.8</v>
      </c>
      <c r="R7651" s="38">
        <v>12</v>
      </c>
      <c r="U7651" s="38">
        <v>0</v>
      </c>
      <c r="V7651" s="38">
        <v>0</v>
      </c>
      <c r="W7651" s="38">
        <v>0</v>
      </c>
      <c r="X7651" s="38" t="s">
        <v>38</v>
      </c>
      <c r="Y7651" s="38">
        <v>0</v>
      </c>
      <c r="Z7651" s="38">
        <v>0</v>
      </c>
      <c r="AA7651" s="38">
        <v>0</v>
      </c>
      <c r="AB7651" s="38">
        <v>0</v>
      </c>
      <c r="AC7651" s="38">
        <v>0</v>
      </c>
      <c r="AD7651" s="38">
        <v>0</v>
      </c>
    </row>
    <row r="7652" spans="1:30" x14ac:dyDescent="0.25">
      <c r="A7652" s="22">
        <v>46003</v>
      </c>
      <c r="B7652" s="38">
        <v>11</v>
      </c>
      <c r="C7652" s="38">
        <v>12.4</v>
      </c>
      <c r="D7652" s="38">
        <v>20</v>
      </c>
      <c r="E7652" s="38">
        <v>0</v>
      </c>
      <c r="F7652" s="38">
        <v>13</v>
      </c>
      <c r="G7652" s="38">
        <v>12.07</v>
      </c>
      <c r="H7652" s="38">
        <v>12.8</v>
      </c>
      <c r="I7652" s="38">
        <v>7.8</v>
      </c>
      <c r="J7652" s="38">
        <v>12.2</v>
      </c>
      <c r="K7652" s="38">
        <v>10.8</v>
      </c>
      <c r="L7652" s="38">
        <v>0.7619999999999999</v>
      </c>
      <c r="M7652" s="38">
        <v>10.8</v>
      </c>
      <c r="N7652" s="38">
        <v>13.599999999999998</v>
      </c>
      <c r="P7652" s="38">
        <v>6</v>
      </c>
      <c r="Q7652" s="38">
        <v>0</v>
      </c>
      <c r="R7652" s="38">
        <v>0</v>
      </c>
      <c r="U7652" s="38">
        <v>14</v>
      </c>
      <c r="V7652" s="38">
        <v>4.0999999999999996</v>
      </c>
      <c r="W7652" s="38">
        <v>8</v>
      </c>
      <c r="X7652" s="38">
        <v>12</v>
      </c>
      <c r="Y7652" s="38">
        <v>12.4</v>
      </c>
      <c r="Z7652" s="38">
        <v>13.4</v>
      </c>
      <c r="AA7652" s="38">
        <v>5</v>
      </c>
      <c r="AB7652" s="38">
        <v>46</v>
      </c>
      <c r="AC7652" s="38">
        <v>5.6000000000000005</v>
      </c>
      <c r="AD7652" s="38">
        <v>4.8000000000000016</v>
      </c>
    </row>
    <row r="7653" spans="1:30" x14ac:dyDescent="0.25">
      <c r="A7653" s="22">
        <v>46004</v>
      </c>
      <c r="B7653" s="38">
        <v>19</v>
      </c>
      <c r="C7653" s="38">
        <v>4.2</v>
      </c>
      <c r="D7653" s="38">
        <v>1.8</v>
      </c>
      <c r="E7653" s="38">
        <v>0</v>
      </c>
      <c r="F7653" s="38">
        <v>0</v>
      </c>
      <c r="G7653" s="38">
        <v>0</v>
      </c>
      <c r="H7653" s="38" t="s">
        <v>38</v>
      </c>
      <c r="I7653" s="38">
        <v>0.5</v>
      </c>
      <c r="J7653" s="38">
        <v>0</v>
      </c>
      <c r="K7653" s="38">
        <v>0</v>
      </c>
      <c r="L7653" s="38">
        <v>1.778</v>
      </c>
      <c r="M7653" s="38">
        <v>0</v>
      </c>
      <c r="N7653" s="38">
        <v>4</v>
      </c>
      <c r="P7653" s="38">
        <v>4</v>
      </c>
      <c r="Q7653" s="38">
        <v>10.8</v>
      </c>
      <c r="R7653" s="38">
        <v>61</v>
      </c>
      <c r="U7653" s="38">
        <v>0</v>
      </c>
      <c r="V7653" s="38">
        <v>1.4</v>
      </c>
      <c r="W7653" s="38">
        <v>3</v>
      </c>
      <c r="X7653" s="38">
        <v>3</v>
      </c>
      <c r="Y7653" s="38" t="s">
        <v>38</v>
      </c>
      <c r="Z7653" s="38" t="s">
        <v>38</v>
      </c>
      <c r="AA7653" s="38">
        <v>0</v>
      </c>
      <c r="AB7653" s="38">
        <v>4</v>
      </c>
      <c r="AC7653" s="38">
        <v>0.8</v>
      </c>
      <c r="AD7653" s="38">
        <v>0.4</v>
      </c>
    </row>
    <row r="7654" spans="1:30" x14ac:dyDescent="0.25">
      <c r="A7654" s="22">
        <v>46005</v>
      </c>
      <c r="B7654" s="38">
        <v>0</v>
      </c>
      <c r="C7654" s="38">
        <v>24.2</v>
      </c>
      <c r="D7654" s="38">
        <v>22</v>
      </c>
      <c r="E7654" s="38">
        <v>0</v>
      </c>
      <c r="F7654" s="38">
        <v>0</v>
      </c>
      <c r="G7654" s="38">
        <v>14.5</v>
      </c>
      <c r="H7654" s="38">
        <v>8</v>
      </c>
      <c r="I7654" s="38">
        <v>9.1</v>
      </c>
      <c r="J7654" s="38">
        <v>19.8</v>
      </c>
      <c r="K7654" s="38">
        <v>18</v>
      </c>
      <c r="L7654" s="38">
        <v>10.413999999999998</v>
      </c>
      <c r="M7654" s="38">
        <v>8</v>
      </c>
      <c r="N7654" s="38">
        <v>17.400000000000002</v>
      </c>
      <c r="P7654" s="38" t="s">
        <v>38</v>
      </c>
      <c r="Q7654" s="38">
        <v>0.3</v>
      </c>
      <c r="R7654" s="38">
        <v>0</v>
      </c>
      <c r="U7654" s="38">
        <v>23</v>
      </c>
      <c r="V7654" s="38">
        <v>4.4000000000000004</v>
      </c>
      <c r="W7654" s="38">
        <v>11.4</v>
      </c>
      <c r="X7654" s="38">
        <v>12</v>
      </c>
      <c r="Y7654" s="38">
        <v>10</v>
      </c>
      <c r="Z7654" s="38">
        <v>10.5</v>
      </c>
      <c r="AA7654" s="38">
        <v>26</v>
      </c>
      <c r="AB7654" s="38">
        <v>20</v>
      </c>
      <c r="AC7654" s="38">
        <v>7.3999999999999995</v>
      </c>
      <c r="AD7654" s="38">
        <v>7.400000000000003</v>
      </c>
    </row>
    <row r="7655" spans="1:30" x14ac:dyDescent="0.25">
      <c r="A7655" s="22">
        <v>46006</v>
      </c>
      <c r="B7655" s="38">
        <v>0</v>
      </c>
      <c r="C7655" s="38">
        <v>2</v>
      </c>
      <c r="D7655" s="38">
        <v>4.8</v>
      </c>
      <c r="E7655" s="38">
        <v>0</v>
      </c>
      <c r="F7655" s="38">
        <v>0</v>
      </c>
      <c r="G7655" s="38">
        <v>2.5</v>
      </c>
      <c r="H7655" s="38">
        <v>1.1000000000000001</v>
      </c>
      <c r="I7655" s="38">
        <v>0.8</v>
      </c>
      <c r="J7655" s="38">
        <v>1.1000000000000001</v>
      </c>
      <c r="K7655" s="38">
        <v>0</v>
      </c>
      <c r="L7655" s="38">
        <v>1.016</v>
      </c>
      <c r="M7655" s="38">
        <v>2.2000000000000002</v>
      </c>
      <c r="N7655" s="38">
        <v>6</v>
      </c>
      <c r="P7655" s="38" t="s">
        <v>38</v>
      </c>
      <c r="Q7655" s="38">
        <v>0</v>
      </c>
      <c r="R7655" s="38">
        <v>0</v>
      </c>
      <c r="U7655" s="38">
        <v>6</v>
      </c>
      <c r="V7655" s="38">
        <v>0</v>
      </c>
      <c r="W7655" s="38">
        <v>2.1</v>
      </c>
      <c r="X7655" s="38">
        <v>4</v>
      </c>
      <c r="Y7655" s="38" t="s">
        <v>38</v>
      </c>
      <c r="Z7655" s="38">
        <v>4</v>
      </c>
      <c r="AA7655" s="38">
        <v>0</v>
      </c>
      <c r="AB7655" s="38">
        <v>23</v>
      </c>
      <c r="AC7655" s="38">
        <v>2.6</v>
      </c>
      <c r="AD7655" s="38">
        <v>3.6</v>
      </c>
    </row>
    <row r="7656" spans="1:30" x14ac:dyDescent="0.25">
      <c r="A7656" s="22">
        <v>46007</v>
      </c>
      <c r="B7656" s="38">
        <v>0</v>
      </c>
      <c r="C7656" s="38">
        <v>1.6</v>
      </c>
      <c r="D7656" s="38">
        <v>6</v>
      </c>
      <c r="E7656" s="38">
        <v>0</v>
      </c>
      <c r="F7656" s="38" t="s">
        <v>38</v>
      </c>
      <c r="G7656" s="38">
        <v>0</v>
      </c>
      <c r="H7656" s="38" t="s">
        <v>38</v>
      </c>
      <c r="I7656" s="38">
        <v>0</v>
      </c>
      <c r="J7656" s="38">
        <v>0</v>
      </c>
      <c r="K7656" s="38">
        <v>3.2</v>
      </c>
      <c r="L7656" s="38">
        <v>2.2859999999999996</v>
      </c>
      <c r="M7656" s="38">
        <v>0</v>
      </c>
      <c r="N7656" s="38">
        <v>3.4</v>
      </c>
      <c r="P7656" s="38" t="s">
        <v>38</v>
      </c>
      <c r="Q7656" s="38">
        <v>3.3</v>
      </c>
      <c r="R7656" s="38">
        <v>3</v>
      </c>
      <c r="U7656" s="38">
        <v>3</v>
      </c>
      <c r="V7656" s="38">
        <v>0</v>
      </c>
      <c r="W7656" s="38">
        <v>0</v>
      </c>
      <c r="X7656" s="38" t="s">
        <v>38</v>
      </c>
      <c r="Y7656" s="38" t="s">
        <v>38</v>
      </c>
      <c r="Z7656" s="38">
        <v>0.6</v>
      </c>
      <c r="AA7656" s="38">
        <v>0</v>
      </c>
      <c r="AB7656" s="38">
        <v>0</v>
      </c>
      <c r="AC7656" s="38">
        <v>0.2</v>
      </c>
      <c r="AD7656" s="38">
        <v>0</v>
      </c>
    </row>
    <row r="7657" spans="1:30" x14ac:dyDescent="0.25">
      <c r="A7657" s="22">
        <v>46008</v>
      </c>
      <c r="B7657" s="38">
        <v>10</v>
      </c>
      <c r="C7657" s="38">
        <v>13.8</v>
      </c>
      <c r="D7657" s="38">
        <v>18.600000000000001</v>
      </c>
      <c r="E7657" s="38">
        <v>4</v>
      </c>
      <c r="F7657" s="38">
        <v>7.3</v>
      </c>
      <c r="G7657" s="38">
        <v>10.5</v>
      </c>
      <c r="H7657" s="38">
        <v>8</v>
      </c>
      <c r="I7657" s="38">
        <v>8.4</v>
      </c>
      <c r="J7657" s="38">
        <v>18</v>
      </c>
      <c r="K7657" s="38">
        <v>17.7</v>
      </c>
      <c r="L7657" s="38">
        <v>2.032</v>
      </c>
      <c r="M7657" s="38">
        <v>6.6</v>
      </c>
      <c r="N7657" s="38">
        <v>14.600000000000001</v>
      </c>
      <c r="P7657" s="38">
        <v>4</v>
      </c>
      <c r="Q7657" s="38">
        <v>3.5</v>
      </c>
      <c r="R7657" s="38">
        <v>2</v>
      </c>
      <c r="U7657" s="38">
        <v>20</v>
      </c>
      <c r="V7657" s="38">
        <v>5.3</v>
      </c>
      <c r="W7657" s="38">
        <v>2.1</v>
      </c>
      <c r="X7657" s="38">
        <v>0.4</v>
      </c>
      <c r="Y7657" s="38">
        <v>3.6</v>
      </c>
      <c r="Z7657" s="38">
        <v>4.8</v>
      </c>
      <c r="AA7657" s="38">
        <v>12</v>
      </c>
      <c r="AB7657" s="38">
        <v>3</v>
      </c>
      <c r="AC7657" s="38">
        <v>8</v>
      </c>
      <c r="AD7657" s="38">
        <v>9.6</v>
      </c>
    </row>
    <row r="7658" spans="1:30" x14ac:dyDescent="0.25">
      <c r="A7658" s="22">
        <v>46009</v>
      </c>
      <c r="B7658" s="38">
        <v>11</v>
      </c>
      <c r="C7658" s="38">
        <v>2</v>
      </c>
      <c r="D7658" s="38">
        <v>2.2000000000000002</v>
      </c>
      <c r="E7658" s="38">
        <v>6</v>
      </c>
      <c r="F7658" s="38">
        <v>1</v>
      </c>
      <c r="G7658" s="38">
        <v>1.5</v>
      </c>
      <c r="H7658" s="38">
        <v>0.7</v>
      </c>
      <c r="I7658" s="38">
        <v>0.4</v>
      </c>
      <c r="J7658" s="38">
        <v>2</v>
      </c>
      <c r="K7658" s="38">
        <v>2.7</v>
      </c>
      <c r="L7658" s="38">
        <v>10.413999999999998</v>
      </c>
      <c r="M7658" s="38">
        <v>1.2</v>
      </c>
      <c r="N7658" s="38">
        <v>2.8000000000000003</v>
      </c>
      <c r="P7658" s="38" t="s">
        <v>38</v>
      </c>
      <c r="Q7658" s="38">
        <v>3.4</v>
      </c>
      <c r="R7658" s="38">
        <v>1</v>
      </c>
      <c r="U7658" s="38">
        <v>0</v>
      </c>
      <c r="V7658" s="38">
        <v>0</v>
      </c>
      <c r="W7658" s="38">
        <v>0</v>
      </c>
      <c r="X7658" s="38">
        <v>4</v>
      </c>
      <c r="Y7658" s="38">
        <v>0</v>
      </c>
      <c r="Z7658" s="38">
        <v>0</v>
      </c>
      <c r="AA7658" s="38">
        <v>8</v>
      </c>
      <c r="AB7658" s="38">
        <v>0</v>
      </c>
      <c r="AC7658" s="38">
        <v>2.2000000000000002</v>
      </c>
      <c r="AD7658" s="38">
        <v>4</v>
      </c>
    </row>
    <row r="7659" spans="1:30" x14ac:dyDescent="0.25">
      <c r="A7659" s="22">
        <v>46010</v>
      </c>
      <c r="B7659" s="38">
        <v>3</v>
      </c>
      <c r="C7659" s="38">
        <v>8.1999999999999993</v>
      </c>
      <c r="D7659" s="38">
        <v>6.6</v>
      </c>
      <c r="E7659" s="38">
        <v>4</v>
      </c>
      <c r="F7659" s="38">
        <v>7</v>
      </c>
      <c r="G7659" s="38">
        <v>8.5</v>
      </c>
      <c r="H7659" s="38">
        <v>9.1999999999999993</v>
      </c>
      <c r="I7659" s="38">
        <v>5.0999999999999996</v>
      </c>
      <c r="J7659" s="38">
        <v>8.6</v>
      </c>
      <c r="K7659" s="38">
        <v>6.2</v>
      </c>
      <c r="L7659" s="38">
        <v>5.5880000000000001</v>
      </c>
      <c r="M7659" s="38">
        <v>10.1</v>
      </c>
      <c r="N7659" s="38">
        <v>7.6000000000000005</v>
      </c>
      <c r="P7659" s="38">
        <v>4</v>
      </c>
      <c r="Q7659" s="38">
        <v>8</v>
      </c>
      <c r="R7659" s="38">
        <v>16</v>
      </c>
      <c r="U7659" s="38">
        <v>19</v>
      </c>
      <c r="V7659" s="38">
        <v>4.2</v>
      </c>
      <c r="W7659" s="38">
        <v>8.1</v>
      </c>
      <c r="X7659" s="38">
        <v>2</v>
      </c>
      <c r="Y7659" s="38">
        <v>5.4</v>
      </c>
      <c r="Z7659" s="38">
        <v>6.2</v>
      </c>
      <c r="AA7659" s="38">
        <v>5</v>
      </c>
      <c r="AB7659" s="38">
        <v>0</v>
      </c>
      <c r="AC7659" s="38">
        <v>2</v>
      </c>
      <c r="AD7659" s="38">
        <v>1</v>
      </c>
    </row>
    <row r="7660" spans="1:30" x14ac:dyDescent="0.25">
      <c r="A7660" s="22">
        <v>46011</v>
      </c>
      <c r="B7660" s="38">
        <v>0</v>
      </c>
      <c r="C7660" s="38">
        <v>2.8</v>
      </c>
      <c r="D7660" s="38">
        <v>41.4</v>
      </c>
      <c r="E7660" s="38">
        <v>4</v>
      </c>
      <c r="F7660" s="38">
        <v>0</v>
      </c>
      <c r="G7660" s="38">
        <v>1.5</v>
      </c>
      <c r="H7660" s="38" t="s">
        <v>38</v>
      </c>
      <c r="I7660" s="38">
        <v>4.5999999999999996</v>
      </c>
      <c r="K7660" s="38">
        <v>2</v>
      </c>
      <c r="L7660" s="38">
        <v>10.413999999999998</v>
      </c>
      <c r="M7660" s="38">
        <v>1.6</v>
      </c>
      <c r="N7660" s="38">
        <v>2.8</v>
      </c>
      <c r="P7660" s="38">
        <v>2</v>
      </c>
      <c r="Q7660" s="38">
        <v>7.1</v>
      </c>
      <c r="R7660" s="38">
        <v>12.2</v>
      </c>
      <c r="U7660" s="38">
        <v>2</v>
      </c>
      <c r="V7660" s="38">
        <v>0</v>
      </c>
      <c r="W7660" s="38">
        <v>180</v>
      </c>
      <c r="X7660" s="38">
        <v>2</v>
      </c>
      <c r="Y7660" s="38" t="s">
        <v>38</v>
      </c>
      <c r="Z7660" s="38" t="s">
        <v>38</v>
      </c>
      <c r="AA7660" s="38">
        <v>2</v>
      </c>
      <c r="AB7660" s="38">
        <v>0</v>
      </c>
      <c r="AC7660" s="38">
        <v>0.2</v>
      </c>
      <c r="AD7660" s="38">
        <v>0.2</v>
      </c>
    </row>
    <row r="7661" spans="1:30" x14ac:dyDescent="0.25">
      <c r="A7661" s="22">
        <v>46012</v>
      </c>
      <c r="B7661" s="38">
        <v>25</v>
      </c>
      <c r="C7661" s="38">
        <v>6</v>
      </c>
      <c r="D7661" s="38">
        <v>6</v>
      </c>
      <c r="E7661" s="38">
        <v>4</v>
      </c>
      <c r="F7661" s="38" t="s">
        <v>38</v>
      </c>
      <c r="G7661" s="38">
        <v>8.5</v>
      </c>
      <c r="H7661" s="38">
        <v>1.1000000000000001</v>
      </c>
      <c r="I7661" s="38">
        <v>3.5</v>
      </c>
      <c r="J7661" s="38">
        <v>5.8</v>
      </c>
      <c r="K7661" s="38">
        <v>7.8</v>
      </c>
      <c r="L7661" s="38">
        <v>9.1439999999999984</v>
      </c>
      <c r="M7661" s="38">
        <v>8</v>
      </c>
      <c r="N7661" s="38">
        <v>5.8000000000000007</v>
      </c>
      <c r="P7661" s="38">
        <v>6</v>
      </c>
      <c r="Q7661" s="38">
        <v>0</v>
      </c>
      <c r="R7661" s="38">
        <v>0</v>
      </c>
      <c r="U7661" s="38">
        <v>4</v>
      </c>
      <c r="V7661" s="38">
        <v>4.4000000000000004</v>
      </c>
      <c r="W7661" s="38">
        <v>6.1</v>
      </c>
      <c r="X7661" s="38" t="s">
        <v>38</v>
      </c>
      <c r="Y7661" s="38" t="s">
        <v>38</v>
      </c>
      <c r="Z7661" s="38">
        <v>0</v>
      </c>
      <c r="AA7661" s="38">
        <v>0</v>
      </c>
      <c r="AB7661" s="38">
        <v>0</v>
      </c>
      <c r="AC7661" s="38">
        <v>0.60000000000000009</v>
      </c>
      <c r="AD7661" s="38">
        <v>1</v>
      </c>
    </row>
    <row r="7662" spans="1:30" x14ac:dyDescent="0.25">
      <c r="A7662" s="22">
        <v>46013</v>
      </c>
      <c r="B7662" s="38">
        <v>0</v>
      </c>
      <c r="C7662" s="38" t="s">
        <v>38</v>
      </c>
      <c r="D7662" s="38">
        <v>0</v>
      </c>
      <c r="E7662" s="38">
        <v>0</v>
      </c>
      <c r="F7662" s="38">
        <v>0</v>
      </c>
      <c r="G7662" s="38">
        <v>0</v>
      </c>
      <c r="H7662" s="38" t="s">
        <v>38</v>
      </c>
      <c r="I7662" s="38">
        <v>1.1000000000000001</v>
      </c>
      <c r="J7662" s="38">
        <v>0</v>
      </c>
      <c r="K7662" s="38">
        <v>7.8</v>
      </c>
      <c r="L7662" s="38">
        <v>0</v>
      </c>
      <c r="M7662" s="38">
        <v>0</v>
      </c>
      <c r="N7662" s="38">
        <v>0</v>
      </c>
      <c r="P7662" s="38" t="s">
        <v>38</v>
      </c>
      <c r="Q7662" s="38">
        <v>1.6</v>
      </c>
      <c r="R7662" s="38">
        <v>3.2</v>
      </c>
      <c r="U7662" s="38">
        <v>0</v>
      </c>
      <c r="V7662" s="38">
        <v>0</v>
      </c>
      <c r="W7662" s="38">
        <v>0</v>
      </c>
      <c r="X7662" s="38" t="s">
        <v>38</v>
      </c>
      <c r="Y7662" s="38">
        <v>0</v>
      </c>
      <c r="Z7662" s="38" t="s">
        <v>38</v>
      </c>
      <c r="AA7662" s="38">
        <v>4</v>
      </c>
      <c r="AB7662" s="38">
        <v>0</v>
      </c>
      <c r="AC7662" s="38">
        <v>0</v>
      </c>
      <c r="AD7662" s="38">
        <v>0.60000000000000009</v>
      </c>
    </row>
    <row r="7663" spans="1:30" x14ac:dyDescent="0.25">
      <c r="A7663" s="22">
        <v>46014</v>
      </c>
      <c r="B7663" s="38">
        <v>3</v>
      </c>
      <c r="C7663" s="38">
        <v>1.2</v>
      </c>
      <c r="D7663" s="38">
        <v>0</v>
      </c>
      <c r="E7663" s="38">
        <v>0</v>
      </c>
      <c r="F7663" s="38" t="s">
        <v>38</v>
      </c>
      <c r="G7663" s="38">
        <v>1</v>
      </c>
      <c r="H7663" s="38" t="s">
        <v>38</v>
      </c>
      <c r="I7663" s="38">
        <v>1.8</v>
      </c>
      <c r="J7663" s="38">
        <v>1</v>
      </c>
      <c r="K7663" s="38">
        <v>2.8</v>
      </c>
      <c r="L7663" s="38">
        <v>0</v>
      </c>
      <c r="M7663" s="38">
        <v>1</v>
      </c>
      <c r="N7663" s="38">
        <v>8.3999999999999986</v>
      </c>
      <c r="P7663" s="38" t="s">
        <v>38</v>
      </c>
      <c r="Q7663" s="38">
        <v>5</v>
      </c>
      <c r="R7663" s="38">
        <v>0</v>
      </c>
      <c r="U7663" s="38">
        <v>2</v>
      </c>
      <c r="V7663" s="38">
        <v>1.2</v>
      </c>
      <c r="W7663" s="38">
        <v>4.0999999999999996</v>
      </c>
      <c r="X7663" s="38" t="s">
        <v>38</v>
      </c>
      <c r="Y7663" s="38">
        <v>3.2</v>
      </c>
      <c r="Z7663" s="38">
        <v>0</v>
      </c>
      <c r="AA7663" s="38">
        <v>0</v>
      </c>
      <c r="AB7663" s="38">
        <v>0</v>
      </c>
      <c r="AC7663" s="38">
        <v>1.4</v>
      </c>
      <c r="AD7663" s="38">
        <v>2.1999999999999997</v>
      </c>
    </row>
    <row r="7664" spans="1:30" x14ac:dyDescent="0.25">
      <c r="A7664" s="22">
        <v>46015</v>
      </c>
      <c r="B7664" s="38">
        <v>6</v>
      </c>
      <c r="C7664" s="38">
        <v>4.2</v>
      </c>
      <c r="D7664" s="38">
        <v>6</v>
      </c>
      <c r="E7664" s="38">
        <v>0</v>
      </c>
      <c r="F7664" s="38">
        <v>0</v>
      </c>
      <c r="G7664" s="38">
        <v>7</v>
      </c>
      <c r="H7664" s="38">
        <v>1.2</v>
      </c>
      <c r="I7664" s="38">
        <v>2</v>
      </c>
      <c r="J7664" s="38">
        <v>0</v>
      </c>
      <c r="K7664" s="38">
        <v>3.9</v>
      </c>
      <c r="L7664" s="38">
        <v>0.7619999999999999</v>
      </c>
      <c r="M7664" s="38">
        <v>5.8</v>
      </c>
      <c r="N7664" s="38">
        <v>0</v>
      </c>
      <c r="P7664" s="38">
        <v>2</v>
      </c>
      <c r="Q7664" s="38">
        <v>0</v>
      </c>
      <c r="R7664" s="38">
        <v>6.9</v>
      </c>
      <c r="U7664" s="38">
        <v>2</v>
      </c>
      <c r="V7664" s="38">
        <v>0</v>
      </c>
      <c r="W7664" s="38">
        <v>4.0999999999999996</v>
      </c>
      <c r="X7664" s="38" t="s">
        <v>38</v>
      </c>
      <c r="Y7664" s="38">
        <v>4.4000000000000004</v>
      </c>
      <c r="Z7664" s="38">
        <v>6.8</v>
      </c>
      <c r="AA7664" s="38">
        <v>8</v>
      </c>
      <c r="AB7664" s="38">
        <v>0</v>
      </c>
      <c r="AC7664" s="38">
        <v>0</v>
      </c>
      <c r="AD7664" s="38">
        <v>0.2</v>
      </c>
    </row>
    <row r="7665" spans="1:30" x14ac:dyDescent="0.25">
      <c r="A7665" s="22">
        <v>46016</v>
      </c>
      <c r="B7665" s="38">
        <v>0</v>
      </c>
      <c r="C7665" s="38" t="s">
        <v>38</v>
      </c>
      <c r="D7665" s="38">
        <v>0</v>
      </c>
      <c r="E7665" s="38">
        <v>0</v>
      </c>
      <c r="F7665" s="38">
        <v>0</v>
      </c>
      <c r="G7665" s="38">
        <v>2.5</v>
      </c>
      <c r="H7665" s="38" t="s">
        <v>38</v>
      </c>
      <c r="I7665" s="38">
        <v>0</v>
      </c>
      <c r="J7665" s="38">
        <v>0</v>
      </c>
      <c r="K7665" s="38">
        <v>0</v>
      </c>
      <c r="L7665" s="38">
        <v>0</v>
      </c>
      <c r="M7665" s="38">
        <v>0</v>
      </c>
      <c r="N7665" s="38">
        <v>0</v>
      </c>
      <c r="P7665" s="38">
        <v>0</v>
      </c>
      <c r="Q7665" s="38">
        <v>6.5</v>
      </c>
      <c r="R7665" s="38">
        <v>3.1</v>
      </c>
      <c r="U7665" s="38">
        <v>0</v>
      </c>
      <c r="V7665" s="38">
        <v>0</v>
      </c>
      <c r="W7665" s="38">
        <v>0</v>
      </c>
      <c r="X7665" s="38">
        <v>4.4000000000000004</v>
      </c>
      <c r="Y7665" s="38">
        <v>0</v>
      </c>
      <c r="Z7665" s="38">
        <v>0</v>
      </c>
      <c r="AA7665" s="38">
        <v>0</v>
      </c>
      <c r="AB7665" s="38">
        <v>0</v>
      </c>
      <c r="AC7665" s="38">
        <v>0</v>
      </c>
      <c r="AD7665" s="38">
        <v>0</v>
      </c>
    </row>
    <row r="7666" spans="1:30" x14ac:dyDescent="0.25">
      <c r="A7666" s="22">
        <v>46017</v>
      </c>
      <c r="B7666" s="38">
        <v>0</v>
      </c>
      <c r="C7666" s="38">
        <v>1.6</v>
      </c>
      <c r="D7666" s="38">
        <v>4</v>
      </c>
      <c r="E7666" s="38">
        <v>0</v>
      </c>
      <c r="F7666" s="38" t="s">
        <v>38</v>
      </c>
      <c r="G7666" s="38">
        <v>2.5</v>
      </c>
      <c r="H7666" s="38">
        <v>2.1</v>
      </c>
      <c r="I7666" s="38">
        <v>0.9</v>
      </c>
      <c r="J7666" s="38">
        <v>4</v>
      </c>
      <c r="K7666" s="38">
        <v>5.9</v>
      </c>
      <c r="L7666" s="38">
        <v>11.176</v>
      </c>
      <c r="M7666" s="38">
        <v>2</v>
      </c>
      <c r="N7666" s="38">
        <v>3.4000000000000004</v>
      </c>
      <c r="P7666" s="38">
        <v>14</v>
      </c>
      <c r="Q7666" s="38">
        <v>6.3</v>
      </c>
      <c r="R7666" s="38">
        <v>11</v>
      </c>
      <c r="U7666" s="38">
        <v>4</v>
      </c>
      <c r="V7666" s="38">
        <v>0</v>
      </c>
      <c r="W7666" s="38">
        <v>0</v>
      </c>
      <c r="X7666" s="38" t="s">
        <v>38</v>
      </c>
      <c r="Y7666" s="38">
        <v>3.8</v>
      </c>
      <c r="Z7666" s="38">
        <v>4.5999999999999996</v>
      </c>
      <c r="AA7666" s="38">
        <v>0</v>
      </c>
      <c r="AB7666" s="38">
        <v>0</v>
      </c>
      <c r="AC7666" s="38">
        <v>1</v>
      </c>
      <c r="AD7666" s="38">
        <v>5.2</v>
      </c>
    </row>
    <row r="7667" spans="1:30" x14ac:dyDescent="0.25">
      <c r="A7667" s="22">
        <v>46018</v>
      </c>
      <c r="B7667" s="38">
        <v>0</v>
      </c>
      <c r="C7667" s="38" t="s">
        <v>38</v>
      </c>
      <c r="D7667" s="38">
        <v>0</v>
      </c>
      <c r="E7667" s="38">
        <v>0</v>
      </c>
      <c r="F7667" s="38" t="s">
        <v>38</v>
      </c>
      <c r="G7667" s="38">
        <v>0</v>
      </c>
      <c r="H7667" s="38" t="s">
        <v>38</v>
      </c>
      <c r="I7667" s="38">
        <v>0.1</v>
      </c>
      <c r="J7667" s="38">
        <v>0</v>
      </c>
      <c r="K7667" s="38">
        <v>0</v>
      </c>
      <c r="L7667" s="38">
        <v>0.50800000000000001</v>
      </c>
      <c r="M7667" s="38">
        <v>0</v>
      </c>
      <c r="N7667" s="38">
        <v>0.60000000000000009</v>
      </c>
      <c r="P7667" s="38">
        <v>0</v>
      </c>
      <c r="Q7667" s="38">
        <v>7.8</v>
      </c>
      <c r="R7667" s="38">
        <v>64.2</v>
      </c>
      <c r="U7667" s="38">
        <v>6</v>
      </c>
      <c r="V7667" s="38">
        <v>0</v>
      </c>
      <c r="W7667" s="38">
        <v>0</v>
      </c>
      <c r="X7667" s="38">
        <v>8</v>
      </c>
      <c r="Y7667" s="38">
        <v>0.8</v>
      </c>
      <c r="Z7667" s="38">
        <v>1.4</v>
      </c>
      <c r="AA7667" s="38">
        <v>2</v>
      </c>
      <c r="AB7667" s="38">
        <v>0</v>
      </c>
      <c r="AC7667" s="38">
        <v>0.60000000000000009</v>
      </c>
      <c r="AD7667" s="38">
        <v>2.6000000000000005</v>
      </c>
    </row>
    <row r="7668" spans="1:30" x14ac:dyDescent="0.25">
      <c r="A7668" s="22">
        <v>46019</v>
      </c>
      <c r="B7668" s="38">
        <v>49</v>
      </c>
      <c r="C7668" s="38">
        <v>6.2</v>
      </c>
      <c r="D7668" s="38">
        <v>16</v>
      </c>
      <c r="E7668" s="38">
        <v>0</v>
      </c>
      <c r="F7668" s="38">
        <v>2</v>
      </c>
      <c r="G7668" s="38">
        <v>5.5</v>
      </c>
      <c r="H7668" s="38">
        <v>7.1</v>
      </c>
      <c r="I7668" s="38">
        <v>0.4</v>
      </c>
      <c r="J7668" s="38">
        <v>5</v>
      </c>
      <c r="K7668" s="38">
        <v>9.8000000000000007</v>
      </c>
      <c r="L7668" s="38">
        <v>20.32</v>
      </c>
      <c r="M7668" s="38">
        <v>3.4</v>
      </c>
      <c r="N7668" s="38">
        <v>41.399999999999991</v>
      </c>
      <c r="P7668" s="38">
        <v>17</v>
      </c>
      <c r="Q7668" s="38">
        <v>62</v>
      </c>
      <c r="R7668" s="38">
        <v>0</v>
      </c>
      <c r="U7668" s="38">
        <v>20</v>
      </c>
      <c r="V7668" s="38">
        <v>2.2000000000000002</v>
      </c>
      <c r="W7668" s="38">
        <v>0</v>
      </c>
      <c r="X7668" s="38">
        <v>50</v>
      </c>
      <c r="Y7668" s="38">
        <v>2</v>
      </c>
      <c r="Z7668" s="38">
        <v>2.6</v>
      </c>
      <c r="AA7668" s="38">
        <v>4</v>
      </c>
      <c r="AB7668" s="38">
        <v>18</v>
      </c>
      <c r="AC7668" s="38">
        <v>28.599999999999998</v>
      </c>
      <c r="AD7668" s="38">
        <v>30.999999999999975</v>
      </c>
    </row>
    <row r="7669" spans="1:30" x14ac:dyDescent="0.25">
      <c r="A7669" s="22">
        <v>46020</v>
      </c>
      <c r="B7669" s="38">
        <v>33</v>
      </c>
      <c r="C7669" s="38">
        <v>0.8</v>
      </c>
      <c r="D7669" s="38">
        <v>40</v>
      </c>
      <c r="E7669" s="38">
        <v>62</v>
      </c>
      <c r="F7669" s="38">
        <v>49.3</v>
      </c>
      <c r="G7669" s="38">
        <v>45.5</v>
      </c>
      <c r="H7669" s="38">
        <v>50</v>
      </c>
      <c r="I7669" s="38">
        <v>32.200000000000003</v>
      </c>
      <c r="J7669" s="38">
        <v>36.200000000000003</v>
      </c>
      <c r="K7669" s="38">
        <v>34</v>
      </c>
      <c r="L7669" s="38">
        <v>79.756</v>
      </c>
      <c r="M7669" s="38">
        <v>42.8</v>
      </c>
      <c r="N7669" s="38">
        <v>24.599999999999991</v>
      </c>
      <c r="P7669" s="38">
        <v>100</v>
      </c>
      <c r="Q7669" s="38">
        <v>6.6</v>
      </c>
      <c r="R7669" s="38">
        <v>0</v>
      </c>
      <c r="U7669" s="38">
        <v>37</v>
      </c>
      <c r="V7669" s="38">
        <v>20.399999999999999</v>
      </c>
      <c r="W7669" s="38">
        <v>24.3</v>
      </c>
      <c r="X7669" s="38">
        <v>11</v>
      </c>
      <c r="Y7669" s="38">
        <v>49.6</v>
      </c>
      <c r="Z7669" s="38">
        <v>5.6</v>
      </c>
      <c r="AA7669" s="38">
        <v>72</v>
      </c>
      <c r="AB7669" s="38">
        <v>30</v>
      </c>
      <c r="AC7669" s="38">
        <v>1</v>
      </c>
      <c r="AD7669" s="38">
        <v>1</v>
      </c>
    </row>
    <row r="7670" spans="1:30" x14ac:dyDescent="0.25">
      <c r="A7670" s="22">
        <v>46021</v>
      </c>
      <c r="B7670" s="38">
        <v>7</v>
      </c>
      <c r="C7670" s="38">
        <v>6.2</v>
      </c>
      <c r="D7670" s="38">
        <v>14</v>
      </c>
      <c r="E7670" s="38">
        <v>0</v>
      </c>
      <c r="F7670" s="38">
        <v>11.2</v>
      </c>
      <c r="G7670" s="38">
        <v>34.5</v>
      </c>
      <c r="H7670" s="38">
        <v>9.8000000000000007</v>
      </c>
      <c r="I7670" s="38">
        <v>11.4</v>
      </c>
      <c r="J7670" s="38">
        <v>20</v>
      </c>
      <c r="K7670" s="38">
        <v>14</v>
      </c>
      <c r="L7670" s="38">
        <v>5.8419999999999996</v>
      </c>
      <c r="M7670" s="38">
        <v>16.2</v>
      </c>
      <c r="N7670" s="38">
        <v>15.199999999999998</v>
      </c>
      <c r="P7670" s="38">
        <v>8</v>
      </c>
      <c r="Q7670" s="38">
        <v>1.3</v>
      </c>
      <c r="R7670" s="38">
        <v>8.1999999999999993</v>
      </c>
      <c r="U7670" s="38">
        <v>14</v>
      </c>
      <c r="V7670" s="38">
        <v>12.1</v>
      </c>
      <c r="W7670" s="38">
        <v>18.2</v>
      </c>
      <c r="X7670" s="38">
        <v>6</v>
      </c>
      <c r="Y7670" s="38">
        <v>10.6</v>
      </c>
      <c r="Z7670" s="38">
        <v>12.4</v>
      </c>
      <c r="AA7670" s="38">
        <v>6</v>
      </c>
      <c r="AB7670" s="38">
        <v>3</v>
      </c>
      <c r="AC7670" s="38">
        <v>12.999999999999998</v>
      </c>
      <c r="AD7670" s="38">
        <v>27.199999999999992</v>
      </c>
    </row>
    <row r="7671" spans="1:30" x14ac:dyDescent="0.25">
      <c r="A7671" s="22">
        <v>46022</v>
      </c>
      <c r="B7671" s="38">
        <v>17</v>
      </c>
      <c r="C7671" s="38">
        <v>24.2</v>
      </c>
      <c r="D7671" s="38">
        <v>16</v>
      </c>
      <c r="E7671" s="38">
        <v>62</v>
      </c>
      <c r="F7671" s="38">
        <v>2.2999999999999998</v>
      </c>
      <c r="G7671" s="38">
        <v>4.5</v>
      </c>
      <c r="H7671" s="38">
        <v>4</v>
      </c>
      <c r="I7671" s="38">
        <v>2.1</v>
      </c>
      <c r="J7671" s="38">
        <v>6</v>
      </c>
      <c r="K7671" s="38">
        <v>4.3</v>
      </c>
      <c r="L7671" s="38">
        <v>4.8259999999999996</v>
      </c>
      <c r="M7671" s="38">
        <v>4</v>
      </c>
      <c r="N7671" s="38">
        <v>6.6000000000000014</v>
      </c>
      <c r="P7671" s="38">
        <v>4</v>
      </c>
      <c r="Q7671" s="38">
        <v>1.2</v>
      </c>
      <c r="R7671" s="38">
        <v>0</v>
      </c>
      <c r="U7671" s="38">
        <v>4</v>
      </c>
      <c r="V7671" s="38">
        <v>2.2999999999999998</v>
      </c>
      <c r="W7671" s="38">
        <v>0</v>
      </c>
      <c r="X7671" s="38">
        <v>3</v>
      </c>
      <c r="Y7671" s="38">
        <v>2.4</v>
      </c>
      <c r="Z7671" s="38">
        <v>3.4</v>
      </c>
      <c r="AA7671" s="38">
        <v>17</v>
      </c>
      <c r="AB7671" s="38">
        <v>0</v>
      </c>
      <c r="AC7671" s="38">
        <v>1.5999999999999999</v>
      </c>
      <c r="AD7671" s="38">
        <v>0.60000000000000009</v>
      </c>
    </row>
  </sheetData>
  <conditionalFormatting sqref="O5127">
    <cfRule type="cellIs" dxfId="0" priority="1" operator="greaterThan">
      <formula>300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selection activeCell="H21" sqref="H21"/>
    </sheetView>
  </sheetViews>
  <sheetFormatPr defaultRowHeight="14.4" x14ac:dyDescent="0.3"/>
  <cols>
    <col min="1" max="1" width="28.6640625" customWidth="1"/>
    <col min="2" max="2" width="12.44140625" bestFit="1" customWidth="1"/>
    <col min="3" max="3" width="13.33203125" bestFit="1" customWidth="1"/>
    <col min="4" max="4" width="9.6640625" bestFit="1" customWidth="1"/>
    <col min="5" max="5" width="15.5546875" bestFit="1" customWidth="1"/>
  </cols>
  <sheetData>
    <row r="1" spans="1:5" ht="15.6" x14ac:dyDescent="0.3">
      <c r="A1" s="46" t="s">
        <v>34</v>
      </c>
      <c r="B1" s="46" t="s">
        <v>35</v>
      </c>
      <c r="C1" s="46" t="s">
        <v>36</v>
      </c>
      <c r="D1" s="46" t="s">
        <v>41</v>
      </c>
      <c r="E1" s="46" t="s">
        <v>42</v>
      </c>
    </row>
    <row r="2" spans="1:5" ht="15.6" x14ac:dyDescent="0.3">
      <c r="A2" s="47" t="s">
        <v>3</v>
      </c>
      <c r="B2" s="48">
        <v>12.088627000000001</v>
      </c>
      <c r="C2" s="48">
        <v>-61.714239999999997</v>
      </c>
      <c r="D2" s="46">
        <v>235.60249999999999</v>
      </c>
      <c r="E2">
        <v>237.76990000000001</v>
      </c>
    </row>
    <row r="3" spans="1:5" ht="15.6" x14ac:dyDescent="0.3">
      <c r="A3" s="49" t="s">
        <v>14</v>
      </c>
      <c r="B3" s="48">
        <v>12.0306</v>
      </c>
      <c r="C3" s="48">
        <v>-61.690300000000001</v>
      </c>
      <c r="D3" s="46">
        <v>23.3584</v>
      </c>
      <c r="E3">
        <v>45.272599999999997</v>
      </c>
    </row>
    <row r="4" spans="1:5" ht="15.6" x14ac:dyDescent="0.3">
      <c r="A4" s="47" t="s">
        <v>17</v>
      </c>
      <c r="B4" s="48">
        <v>12.1594</v>
      </c>
      <c r="C4" s="48">
        <v>-61.648299999999999</v>
      </c>
      <c r="D4" s="46">
        <v>416.1028</v>
      </c>
      <c r="E4">
        <v>377.49529999999999</v>
      </c>
    </row>
    <row r="5" spans="1:5" ht="15.6" x14ac:dyDescent="0.3">
      <c r="A5" s="47" t="s">
        <v>28</v>
      </c>
      <c r="B5" s="48">
        <v>12.071667700000001</v>
      </c>
      <c r="C5" s="48">
        <v>-61.717093300000002</v>
      </c>
      <c r="D5" s="46">
        <v>224.19560000000001</v>
      </c>
      <c r="E5">
        <v>249.35310000000001</v>
      </c>
    </row>
    <row r="6" spans="1:5" ht="15.6" x14ac:dyDescent="0.3">
      <c r="A6" s="47" t="s">
        <v>30</v>
      </c>
      <c r="B6" s="48">
        <v>12.11417</v>
      </c>
      <c r="C6" s="48">
        <v>-61.647213999999998</v>
      </c>
      <c r="D6" s="46">
        <v>197.07159999999999</v>
      </c>
      <c r="E6">
        <v>183.2226</v>
      </c>
    </row>
    <row r="7" spans="1:5" ht="15.6" x14ac:dyDescent="0.3">
      <c r="A7" s="47" t="s">
        <v>26</v>
      </c>
      <c r="B7" s="48">
        <v>12.488185</v>
      </c>
      <c r="C7" s="48">
        <v>-61.453899</v>
      </c>
      <c r="D7" s="46">
        <v>14.8058</v>
      </c>
      <c r="E7" s="46">
        <v>14.8058</v>
      </c>
    </row>
    <row r="8" spans="1:5" ht="15.6" x14ac:dyDescent="0.3">
      <c r="A8" s="49" t="s">
        <v>13</v>
      </c>
      <c r="B8" s="48">
        <v>12.0219</v>
      </c>
      <c r="C8" s="48">
        <v>-61.722200000000001</v>
      </c>
      <c r="D8" s="46">
        <v>54.771299999999997</v>
      </c>
      <c r="E8">
        <v>46.979900000000001</v>
      </c>
    </row>
    <row r="9" spans="1:5" ht="15.6" x14ac:dyDescent="0.3">
      <c r="A9" s="47" t="s">
        <v>33</v>
      </c>
      <c r="B9" s="48">
        <v>12.142362</v>
      </c>
      <c r="C9" s="48">
        <v>-61.694136999999998</v>
      </c>
      <c r="D9" s="46">
        <v>509.97570000000002</v>
      </c>
      <c r="E9">
        <v>485.94240000000002</v>
      </c>
    </row>
    <row r="10" spans="1:5" ht="15.6" x14ac:dyDescent="0.3">
      <c r="A10" s="47" t="s">
        <v>1</v>
      </c>
      <c r="B10" s="48">
        <v>12.117395999999999</v>
      </c>
      <c r="C10" s="48">
        <v>-61.721029000000001</v>
      </c>
      <c r="D10" s="46">
        <v>290.5881</v>
      </c>
      <c r="E10">
        <v>330.06360000000001</v>
      </c>
    </row>
    <row r="11" spans="1:5" ht="15.6" x14ac:dyDescent="0.3">
      <c r="A11" s="50" t="s">
        <v>22</v>
      </c>
      <c r="B11" s="46">
        <v>12.153997</v>
      </c>
      <c r="C11" s="46">
        <v>-61.727609999999999</v>
      </c>
      <c r="D11" s="46">
        <v>75.363200000000006</v>
      </c>
      <c r="E11">
        <v>67.983900000000006</v>
      </c>
    </row>
    <row r="12" spans="1:5" ht="15.6" x14ac:dyDescent="0.3">
      <c r="A12" s="47" t="s">
        <v>21</v>
      </c>
      <c r="B12" s="48">
        <v>12.095800000000001</v>
      </c>
      <c r="C12" s="48">
        <v>-61.696899999999999</v>
      </c>
      <c r="D12" s="46">
        <v>525.63400000000001</v>
      </c>
      <c r="E12">
        <v>522.41579999999999</v>
      </c>
    </row>
    <row r="13" spans="1:5" ht="15.6" x14ac:dyDescent="0.3">
      <c r="A13" s="47" t="s">
        <v>7</v>
      </c>
      <c r="B13" s="48">
        <v>12.1030646</v>
      </c>
      <c r="C13" s="48">
        <v>-61.663122299999998</v>
      </c>
      <c r="D13" s="46">
        <v>367.77749999999997</v>
      </c>
      <c r="E13">
        <v>375.58300000000003</v>
      </c>
    </row>
    <row r="14" spans="1:5" ht="15.6" x14ac:dyDescent="0.3">
      <c r="A14" s="47" t="s">
        <v>19</v>
      </c>
      <c r="B14" s="48">
        <v>12.0661</v>
      </c>
      <c r="C14" s="48">
        <v>-61.700800000000001</v>
      </c>
      <c r="D14" s="46">
        <v>351.82100000000003</v>
      </c>
      <c r="E14">
        <v>382.60169999999999</v>
      </c>
    </row>
    <row r="15" spans="1:5" ht="15.6" x14ac:dyDescent="0.3">
      <c r="A15" s="47" t="s">
        <v>18</v>
      </c>
      <c r="B15" s="48">
        <v>12.074356</v>
      </c>
      <c r="C15" s="48">
        <v>-61.652009999999997</v>
      </c>
      <c r="D15" s="46">
        <v>298.51350000000002</v>
      </c>
      <c r="E15">
        <v>273.30380000000002</v>
      </c>
    </row>
    <row r="16" spans="1:5" ht="15.6" x14ac:dyDescent="0.3">
      <c r="A16" s="47" t="s">
        <v>2</v>
      </c>
      <c r="B16" s="48">
        <v>12.055006000000001</v>
      </c>
      <c r="C16" s="48">
        <v>-61.712854999999998</v>
      </c>
      <c r="D16" s="46">
        <v>371.84199999999998</v>
      </c>
      <c r="E16">
        <v>343.06270000000001</v>
      </c>
    </row>
    <row r="17" spans="1:5" ht="15.6" x14ac:dyDescent="0.3">
      <c r="A17" s="47" t="s">
        <v>24</v>
      </c>
      <c r="B17" s="48">
        <v>12.138669999999999</v>
      </c>
      <c r="C17" s="48">
        <v>-61.659210000000002</v>
      </c>
      <c r="D17" s="46">
        <v>281.63619999999997</v>
      </c>
      <c r="E17">
        <v>266.65460000000002</v>
      </c>
    </row>
    <row r="18" spans="1:5" ht="15.6" x14ac:dyDescent="0.3">
      <c r="A18" s="47" t="s">
        <v>25</v>
      </c>
      <c r="B18" s="48">
        <v>12.142601000000001</v>
      </c>
      <c r="C18" s="48">
        <v>-61.64226</v>
      </c>
      <c r="D18" s="46">
        <v>152.5813</v>
      </c>
      <c r="E18">
        <v>145.59190000000001</v>
      </c>
    </row>
    <row r="19" spans="1:5" ht="15.6" x14ac:dyDescent="0.3">
      <c r="A19" s="47" t="s">
        <v>23</v>
      </c>
      <c r="B19" s="48">
        <v>12.189714</v>
      </c>
      <c r="C19" s="48">
        <v>-61.646901999999997</v>
      </c>
      <c r="D19" s="46">
        <v>141.44069999999999</v>
      </c>
      <c r="E19">
        <v>153.26490000000001</v>
      </c>
    </row>
    <row r="20" spans="1:5" ht="15.6" x14ac:dyDescent="0.3">
      <c r="A20" s="47" t="s">
        <v>16</v>
      </c>
      <c r="B20" s="48">
        <v>12.129049</v>
      </c>
      <c r="C20" s="48">
        <v>-61.731386999999998</v>
      </c>
      <c r="D20" s="46">
        <v>183.54429999999999</v>
      </c>
      <c r="E20">
        <v>205.6737</v>
      </c>
    </row>
    <row r="21" spans="1:5" ht="15.6" x14ac:dyDescent="0.3">
      <c r="A21" s="47" t="s">
        <v>31</v>
      </c>
      <c r="B21" s="48">
        <v>12.085917999999999</v>
      </c>
      <c r="C21" s="48">
        <v>-61.646675999999999</v>
      </c>
      <c r="D21" s="46">
        <v>232.59180000000001</v>
      </c>
      <c r="E21">
        <v>243.21520000000001</v>
      </c>
    </row>
    <row r="22" spans="1:5" ht="15.6" x14ac:dyDescent="0.3">
      <c r="A22" s="47" t="s">
        <v>4</v>
      </c>
      <c r="B22" s="48">
        <v>12.172599999999999</v>
      </c>
      <c r="C22" s="48">
        <v>-61.6477</v>
      </c>
      <c r="D22" s="46">
        <v>251.63800000000001</v>
      </c>
      <c r="E22">
        <v>241.62090000000001</v>
      </c>
    </row>
    <row r="23" spans="1:5" ht="15.6" x14ac:dyDescent="0.3">
      <c r="A23" s="47" t="s">
        <v>5</v>
      </c>
      <c r="B23" s="48">
        <v>12.061538000000001</v>
      </c>
      <c r="C23" s="48">
        <v>-61.685243</v>
      </c>
      <c r="D23" s="46">
        <v>345.41460000000001</v>
      </c>
      <c r="E23">
        <v>338.28550000000001</v>
      </c>
    </row>
    <row r="24" spans="1:5" ht="15.6" x14ac:dyDescent="0.3">
      <c r="A24" s="47" t="s">
        <v>6</v>
      </c>
      <c r="B24" s="48">
        <v>12.5242</v>
      </c>
      <c r="C24" s="48">
        <v>-61.383899999999997</v>
      </c>
      <c r="D24" s="46">
        <v>67.161500000000004</v>
      </c>
      <c r="E24" s="46">
        <v>67.161500000000004</v>
      </c>
    </row>
    <row r="25" spans="1:5" ht="15.6" x14ac:dyDescent="0.3">
      <c r="A25" s="47" t="s">
        <v>32</v>
      </c>
      <c r="B25" s="48">
        <v>12.099763400000001</v>
      </c>
      <c r="C25" s="48">
        <v>-61.652538300000003</v>
      </c>
      <c r="D25" s="46">
        <v>305.5335</v>
      </c>
      <c r="E25">
        <v>304.97250000000003</v>
      </c>
    </row>
    <row r="26" spans="1:5" ht="15.6" x14ac:dyDescent="0.3">
      <c r="A26" s="47" t="s">
        <v>20</v>
      </c>
      <c r="B26" s="48">
        <v>12.065806</v>
      </c>
      <c r="C26" s="48">
        <v>-61.665534000000001</v>
      </c>
      <c r="D26" s="46">
        <v>329.08909999999997</v>
      </c>
      <c r="E26">
        <v>315.15989999999999</v>
      </c>
    </row>
    <row r="27" spans="1:5" ht="15.6" x14ac:dyDescent="0.3">
      <c r="A27" s="47" t="s">
        <v>29</v>
      </c>
      <c r="B27" s="48">
        <v>12.062561000000001</v>
      </c>
      <c r="C27" s="48">
        <v>-61.723345999999999</v>
      </c>
      <c r="D27" s="46">
        <v>240.91480000000001</v>
      </c>
      <c r="E27">
        <v>234.7337</v>
      </c>
    </row>
    <row r="28" spans="1:5" ht="15.6" x14ac:dyDescent="0.3">
      <c r="A28" s="47" t="s">
        <v>27</v>
      </c>
      <c r="B28" s="48">
        <v>12.111325000000001</v>
      </c>
      <c r="C28" s="48">
        <v>-61.6905</v>
      </c>
      <c r="D28" s="46">
        <v>383.87880000000001</v>
      </c>
      <c r="E28">
        <v>395.2903</v>
      </c>
    </row>
    <row r="29" spans="1:5" ht="15.6" x14ac:dyDescent="0.3">
      <c r="A29" s="47" t="s">
        <v>0</v>
      </c>
      <c r="B29" s="48">
        <v>12.176038999999999</v>
      </c>
      <c r="C29" s="48">
        <v>-61.696162999999999</v>
      </c>
      <c r="D29" s="46">
        <v>125.3428</v>
      </c>
      <c r="E29">
        <v>145.113</v>
      </c>
    </row>
    <row r="30" spans="1:5" ht="15.6" x14ac:dyDescent="0.3">
      <c r="A30" s="47" t="s">
        <v>37</v>
      </c>
      <c r="B30" s="48">
        <v>12.080384</v>
      </c>
      <c r="C30" s="48">
        <v>-61.714727000000003</v>
      </c>
      <c r="D30" s="46">
        <v>294.46170000000001</v>
      </c>
      <c r="E30">
        <v>273.98</v>
      </c>
    </row>
    <row r="31" spans="1:5" ht="15.6" x14ac:dyDescent="0.3">
      <c r="A31" s="46" t="s">
        <v>39</v>
      </c>
      <c r="B31" s="46">
        <v>12.00712998</v>
      </c>
      <c r="C31" s="46">
        <v>-61.785920789999999</v>
      </c>
      <c r="D31" s="46">
        <v>11.3223</v>
      </c>
      <c r="E31">
        <v>14.8969</v>
      </c>
    </row>
  </sheetData>
  <sortState xmlns:xlrd2="http://schemas.microsoft.com/office/spreadsheetml/2017/richdata2" ref="A2:C30">
    <sortCondition ref="A2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Rainfall data</vt:lpstr>
      <vt:lpstr>Raingauge 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Mtumda De Gale</dc:creator>
  <cp:lastModifiedBy>Aaron Rampersad</cp:lastModifiedBy>
  <dcterms:created xsi:type="dcterms:W3CDTF">2024-04-08T13:49:35Z</dcterms:created>
  <dcterms:modified xsi:type="dcterms:W3CDTF">2026-04-10T20:42:53Z</dcterms:modified>
</cp:coreProperties>
</file>